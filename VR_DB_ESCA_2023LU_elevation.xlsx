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valerieramirez/Desktop/LSC585Capstone/Coding/"/>
    </mc:Choice>
  </mc:AlternateContent>
  <xr:revisionPtr revIDLastSave="0" documentId="13_ncr:1_{E13E6535-98C2-D144-973C-D30BCA43A257}" xr6:coauthVersionLast="47" xr6:coauthVersionMax="47" xr10:uidLastSave="{00000000-0000-0000-0000-000000000000}"/>
  <bookViews>
    <workbookView xWindow="0" yWindow="760" windowWidth="29400" windowHeight="16640" tabRatio="599" xr2:uid="{00000000-000D-0000-FFFF-FFFF00000000}"/>
  </bookViews>
  <sheets>
    <sheet name="DB" sheetId="1" r:id="rId1"/>
    <sheet name="parameter code key" sheetId="3" r:id="rId2"/>
    <sheet name="plant code key" sheetId="2" r:id="rId3"/>
  </sheets>
  <definedNames>
    <definedName name="_xlnm._FilterDatabase" localSheetId="0" hidden="1">DB!$A$1:$BJ$718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3" i="1" l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J335" i="1"/>
  <c r="BJ336" i="1"/>
  <c r="BJ337" i="1"/>
  <c r="BJ338" i="1"/>
  <c r="BJ339" i="1"/>
  <c r="BJ340" i="1"/>
  <c r="BJ341" i="1"/>
  <c r="BJ342" i="1"/>
  <c r="BJ343" i="1"/>
  <c r="BJ344" i="1"/>
  <c r="BJ345" i="1"/>
  <c r="BJ346" i="1"/>
  <c r="BJ347" i="1"/>
  <c r="BJ348" i="1"/>
  <c r="BJ349" i="1"/>
  <c r="BJ350" i="1"/>
  <c r="BJ351" i="1"/>
  <c r="BJ352" i="1"/>
  <c r="BJ353" i="1"/>
  <c r="BJ354" i="1"/>
  <c r="BJ355" i="1"/>
  <c r="BJ356" i="1"/>
  <c r="BJ357" i="1"/>
  <c r="BJ358" i="1"/>
  <c r="BJ359" i="1"/>
  <c r="BJ360" i="1"/>
  <c r="BJ361" i="1"/>
  <c r="BJ362" i="1"/>
  <c r="BJ363" i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J410" i="1"/>
  <c r="BJ411" i="1"/>
  <c r="BJ412" i="1"/>
  <c r="BJ413" i="1"/>
  <c r="BJ414" i="1"/>
  <c r="BJ415" i="1"/>
  <c r="BJ416" i="1"/>
  <c r="BJ417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J430" i="1"/>
  <c r="BJ431" i="1"/>
  <c r="BJ432" i="1"/>
  <c r="BJ433" i="1"/>
  <c r="BJ434" i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J451" i="1"/>
  <c r="BJ452" i="1"/>
  <c r="BJ453" i="1"/>
  <c r="BJ454" i="1"/>
  <c r="BJ455" i="1"/>
  <c r="BJ456" i="1"/>
  <c r="BJ457" i="1"/>
  <c r="BJ458" i="1"/>
  <c r="BJ459" i="1"/>
  <c r="BJ460" i="1"/>
  <c r="BJ461" i="1"/>
  <c r="BJ462" i="1"/>
  <c r="BJ463" i="1"/>
  <c r="BJ464" i="1"/>
  <c r="BJ465" i="1"/>
  <c r="BJ466" i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J596" i="1"/>
  <c r="BJ597" i="1"/>
  <c r="BJ598" i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J675" i="1"/>
  <c r="BJ676" i="1"/>
  <c r="BJ677" i="1"/>
  <c r="BJ678" i="1"/>
  <c r="BJ679" i="1"/>
  <c r="BJ680" i="1"/>
  <c r="BJ681" i="1"/>
  <c r="BJ682" i="1"/>
  <c r="BJ683" i="1"/>
  <c r="BJ684" i="1"/>
  <c r="BJ685" i="1"/>
  <c r="BJ686" i="1"/>
  <c r="BJ687" i="1"/>
  <c r="BJ688" i="1"/>
  <c r="BJ689" i="1"/>
  <c r="BJ690" i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</author>
  </authors>
  <commentList>
    <comment ref="BG1" authorId="0" shapeId="0" xr:uid="{BC13BC87-4372-4972-A9F2-B4EE39CE9916}">
      <text>
        <r>
          <rPr>
            <b/>
            <sz val="9"/>
            <color indexed="81"/>
            <rFont val="Tahoma"/>
            <family val="2"/>
          </rPr>
          <t>Laura:
CAP data was for year 2000. Laura made adjustments for 2005, 2010, and 2015</t>
        </r>
      </text>
    </comment>
  </commentList>
</comments>
</file>

<file path=xl/sharedStrings.xml><?xml version="1.0" encoding="utf-8"?>
<sst xmlns="http://schemas.openxmlformats.org/spreadsheetml/2006/main" count="26659" uniqueCount="1835">
  <si>
    <t>sample_date</t>
  </si>
  <si>
    <t>site_code</t>
  </si>
  <si>
    <t>AA11</t>
  </si>
  <si>
    <t>AA17</t>
  </si>
  <si>
    <t>AA18</t>
  </si>
  <si>
    <t>AA19</t>
  </si>
  <si>
    <t>AA20</t>
  </si>
  <si>
    <t>AA21</t>
  </si>
  <si>
    <t>AB10</t>
  </si>
  <si>
    <t>AB11</t>
  </si>
  <si>
    <t>AB16</t>
  </si>
  <si>
    <t>AB17</t>
  </si>
  <si>
    <t>AB18</t>
  </si>
  <si>
    <t>AB19</t>
  </si>
  <si>
    <t>AB20</t>
  </si>
  <si>
    <t>AB21</t>
  </si>
  <si>
    <t>AB22</t>
  </si>
  <si>
    <t>AC11</t>
  </si>
  <si>
    <t>AC16</t>
  </si>
  <si>
    <t>AC17</t>
  </si>
  <si>
    <t>AC18</t>
  </si>
  <si>
    <t>AC19</t>
  </si>
  <si>
    <t>AC20</t>
  </si>
  <si>
    <t>AC21</t>
  </si>
  <si>
    <t>AC22</t>
  </si>
  <si>
    <t>AD10</t>
  </si>
  <si>
    <t>AD17</t>
  </si>
  <si>
    <t>AD18</t>
  </si>
  <si>
    <t>AD19</t>
  </si>
  <si>
    <t>AD21</t>
  </si>
  <si>
    <t>AE18</t>
  </si>
  <si>
    <t>AE19</t>
  </si>
  <si>
    <t>AE20</t>
  </si>
  <si>
    <t>AE23</t>
  </si>
  <si>
    <t>AF12</t>
  </si>
  <si>
    <t>AF14</t>
  </si>
  <si>
    <t>AF19</t>
  </si>
  <si>
    <t>AF22</t>
  </si>
  <si>
    <t>AF23</t>
  </si>
  <si>
    <t>AG20</t>
  </si>
  <si>
    <t>E12</t>
  </si>
  <si>
    <t>F12</t>
  </si>
  <si>
    <t>F15</t>
  </si>
  <si>
    <t>F19</t>
  </si>
  <si>
    <t>G10</t>
  </si>
  <si>
    <t>G12</t>
  </si>
  <si>
    <t>G15</t>
  </si>
  <si>
    <t>G19</t>
  </si>
  <si>
    <t>H13</t>
  </si>
  <si>
    <t>H16</t>
  </si>
  <si>
    <t>H19</t>
  </si>
  <si>
    <t>I10</t>
  </si>
  <si>
    <t>I11</t>
  </si>
  <si>
    <t>I14</t>
  </si>
  <si>
    <t>I17</t>
  </si>
  <si>
    <t>J11</t>
  </si>
  <si>
    <t>J16</t>
  </si>
  <si>
    <t>K12</t>
  </si>
  <si>
    <t>K15</t>
  </si>
  <si>
    <t>K18</t>
  </si>
  <si>
    <t>L13</t>
  </si>
  <si>
    <t>L14</t>
  </si>
  <si>
    <t>L18</t>
  </si>
  <si>
    <t>M12</t>
  </si>
  <si>
    <t>M16</t>
  </si>
  <si>
    <t>M17</t>
  </si>
  <si>
    <t>N10</t>
  </si>
  <si>
    <t>N12</t>
  </si>
  <si>
    <t>N16</t>
  </si>
  <si>
    <t>N17</t>
  </si>
  <si>
    <t>O11</t>
  </si>
  <si>
    <t>O16</t>
  </si>
  <si>
    <t>O17</t>
  </si>
  <si>
    <t>P13</t>
  </si>
  <si>
    <t>P16</t>
  </si>
  <si>
    <t>P18</t>
  </si>
  <si>
    <t>Q12</t>
  </si>
  <si>
    <t>Q13</t>
  </si>
  <si>
    <t>Q14</t>
  </si>
  <si>
    <t>Q15</t>
  </si>
  <si>
    <t>Q16</t>
  </si>
  <si>
    <t>R10</t>
  </si>
  <si>
    <t>R11</t>
  </si>
  <si>
    <t>R12</t>
  </si>
  <si>
    <t>R13</t>
  </si>
  <si>
    <t>R14</t>
  </si>
  <si>
    <t>R15</t>
  </si>
  <si>
    <t>R16</t>
  </si>
  <si>
    <t>R18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</si>
  <si>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</si>
  <si>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</si>
  <si>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</si>
  <si>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</si>
  <si>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</si>
  <si>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</si>
  <si>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</si>
  <si>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</si>
  <si>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</si>
  <si>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</si>
  <si>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</si>
  <si>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</si>
  <si>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</si>
  <si>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</si>
  <si>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</si>
  <si>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</si>
  <si>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</si>
  <si>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</si>
  <si>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</si>
  <si>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</si>
  <si>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</si>
  <si>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U11</t>
  </si>
  <si>
    <t>U12</t>
  </si>
  <si>
    <t>U13</t>
  </si>
  <si>
    <t>U14</t>
  </si>
  <si>
    <t>U15</t>
  </si>
  <si>
    <t>U16</t>
  </si>
  <si>
    <t>U19</t>
  </si>
  <si>
    <t>U20</t>
  </si>
  <si>
    <t>U21</t>
  </si>
  <si>
    <t>V11</t>
  </si>
  <si>
    <t>V12</t>
  </si>
  <si>
    <t>V13</t>
  </si>
  <si>
    <t>V14</t>
  </si>
  <si>
    <t>V15</t>
  </si>
  <si>
    <t>V16</t>
  </si>
  <si>
    <t>V18</t>
  </si>
  <si>
    <t>V19</t>
  </si>
  <si>
    <t>V20</t>
  </si>
  <si>
    <t>V21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</si>
  <si>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</si>
  <si>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</si>
  <si>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</si>
  <si>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</si>
  <si>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</si>
  <si>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</si>
  <si>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</si>
  <si>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</si>
  <si>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</si>
  <si>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</si>
  <si>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</si>
  <si>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</si>
  <si>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</si>
  <si>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</si>
  <si>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</si>
  <si>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</si>
  <si>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</si>
  <si>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</si>
  <si>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</si>
  <si>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</si>
  <si>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</si>
  <si>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Y10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</si>
  <si>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</si>
  <si>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</si>
  <si>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</si>
  <si>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</si>
  <si>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</si>
  <si>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</si>
  <si>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</si>
  <si>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</si>
  <si>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</si>
  <si>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Z10</t>
  </si>
  <si>
    <t>Z11</t>
  </si>
  <si>
    <t>Z17</t>
  </si>
  <si>
    <t>Z18</t>
  </si>
  <si>
    <t>Z19</t>
  </si>
  <si>
    <t>Z20</t>
  </si>
  <si>
    <t>Z21</t>
  </si>
  <si>
    <t>Z23</t>
  </si>
  <si>
    <t>Abutilon incanum</t>
  </si>
  <si>
    <t>Acacia</t>
  </si>
  <si>
    <t>Acacia farnesiana</t>
  </si>
  <si>
    <t>Acourtia wrightii</t>
  </si>
  <si>
    <t>Adenophyllum porophylloides</t>
  </si>
  <si>
    <t>Agapanthus</t>
  </si>
  <si>
    <t>Agave weberi</t>
  </si>
  <si>
    <t>Aizoaceae</t>
  </si>
  <si>
    <t>Alcea rosea</t>
  </si>
  <si>
    <t>Allionia choisyi</t>
  </si>
  <si>
    <t>Allionia incarnata</t>
  </si>
  <si>
    <t>Allium</t>
  </si>
  <si>
    <t>Aloe barbadensis</t>
  </si>
  <si>
    <t>Aloe saponaria</t>
  </si>
  <si>
    <t>Alternanthera caracasana</t>
  </si>
  <si>
    <t>Amaranthaceae</t>
  </si>
  <si>
    <t>Amaranthus</t>
  </si>
  <si>
    <t>Amaranthus albus</t>
  </si>
  <si>
    <t>Amaranthus blitoides</t>
  </si>
  <si>
    <t>Amaranthus fimbriatus</t>
  </si>
  <si>
    <t>Amaranthus graecizans</t>
  </si>
  <si>
    <t>Amaranthus hybridus</t>
  </si>
  <si>
    <t>Amaranthus palmeri</t>
  </si>
  <si>
    <t>Amaranthus retroflexus</t>
  </si>
  <si>
    <t>Ambrosia</t>
  </si>
  <si>
    <t>Ambrosia artemisiifolia</t>
  </si>
  <si>
    <t>Ambrosia confertiflora</t>
  </si>
  <si>
    <t>Amsinckia</t>
  </si>
  <si>
    <t>Amsinckia intermedia</t>
  </si>
  <si>
    <t>Amsinckia menziesii</t>
  </si>
  <si>
    <t>Amsinckia tessellata</t>
  </si>
  <si>
    <t>Anagallis arvensis</t>
  </si>
  <si>
    <t>Anemone tuberosa</t>
  </si>
  <si>
    <t>Anethum graveolens</t>
  </si>
  <si>
    <t>Antirrhinum</t>
  </si>
  <si>
    <t>Antirrhinum majus</t>
  </si>
  <si>
    <t>Apiaceae</t>
  </si>
  <si>
    <t>Apium leptophyllum</t>
  </si>
  <si>
    <t>Araceae</t>
  </si>
  <si>
    <t>Arecaceae</t>
  </si>
  <si>
    <t>Arecastrum</t>
  </si>
  <si>
    <t>Argythamnia</t>
  </si>
  <si>
    <t>Argythamnia lanceolata</t>
  </si>
  <si>
    <t>Argythamnia neomexicana</t>
  </si>
  <si>
    <t>Aristida</t>
  </si>
  <si>
    <t>Aristida adscensionis</t>
  </si>
  <si>
    <t>Aristida purpurea</t>
  </si>
  <si>
    <t>Aristida ternipes</t>
  </si>
  <si>
    <t>Aristida wrightii</t>
  </si>
  <si>
    <t>Artemesia stelleriana</t>
  </si>
  <si>
    <t>Artemisia</t>
  </si>
  <si>
    <t>Artemisia filifolia</t>
  </si>
  <si>
    <t>Asclepias</t>
  </si>
  <si>
    <t>Asclepias subulata</t>
  </si>
  <si>
    <t>Asparagus</t>
  </si>
  <si>
    <t>Asparagus officinalis</t>
  </si>
  <si>
    <t>Aster</t>
  </si>
  <si>
    <t>Asteraceae</t>
  </si>
  <si>
    <t>Astragalus</t>
  </si>
  <si>
    <t>Astragalus didymocarpus</t>
  </si>
  <si>
    <t>Astragalus nuttallianus</t>
  </si>
  <si>
    <t>Astragalus tephrodes</t>
  </si>
  <si>
    <t>Astrolepis cochisensis ssp. arizonica Benham</t>
  </si>
  <si>
    <t>Atriplex</t>
  </si>
  <si>
    <t>Atriplex canescens</t>
  </si>
  <si>
    <t>Atriplex elegans</t>
  </si>
  <si>
    <t>Atriplex wrightii</t>
  </si>
  <si>
    <t>Avena fatua</t>
  </si>
  <si>
    <t>Avena sativa</t>
  </si>
  <si>
    <t>Ayenia</t>
  </si>
  <si>
    <t>Baccharis emoryi</t>
  </si>
  <si>
    <t>Baccharis salicifolia</t>
  </si>
  <si>
    <t>Baccharis sarothroides</t>
  </si>
  <si>
    <t>Baileya</t>
  </si>
  <si>
    <t>Baileya multiradiata</t>
  </si>
  <si>
    <t>Bellis perennis</t>
  </si>
  <si>
    <t>Beta vulgaris</t>
  </si>
  <si>
    <t>Boerhavia</t>
  </si>
  <si>
    <t>Boerhavia coccinea</t>
  </si>
  <si>
    <t>Boerhavia coulteri</t>
  </si>
  <si>
    <t>Boerhavia intermedia</t>
  </si>
  <si>
    <t>Boraginaceae</t>
  </si>
  <si>
    <t>Bouteloua</t>
  </si>
  <si>
    <t>Bouteloua aristidoides</t>
  </si>
  <si>
    <t>Bouteloua barbata</t>
  </si>
  <si>
    <t>Bowlesia incana</t>
  </si>
  <si>
    <t>Brachychiton populneum</t>
  </si>
  <si>
    <t>Brandegea bigelovii</t>
  </si>
  <si>
    <t>Brassica</t>
  </si>
  <si>
    <t>Brassica juncea</t>
  </si>
  <si>
    <t>Brassica nigra</t>
  </si>
  <si>
    <t>Brassica oleracea</t>
  </si>
  <si>
    <t>Brassica tournefortii</t>
  </si>
  <si>
    <t>Brassicaceae</t>
  </si>
  <si>
    <t>Brickellia</t>
  </si>
  <si>
    <t>Brickellia coulteri</t>
  </si>
  <si>
    <t>Bromus</t>
  </si>
  <si>
    <t>Bromus arizonicus</t>
  </si>
  <si>
    <t>Bromus carinatus</t>
  </si>
  <si>
    <t>Bromus catharticus</t>
  </si>
  <si>
    <t>Bromus diandrus</t>
  </si>
  <si>
    <t>Bromus rubens</t>
  </si>
  <si>
    <t>Bryophyta</t>
  </si>
  <si>
    <t>Cactaceae</t>
  </si>
  <si>
    <t>Caesalpinia gilliesii</t>
  </si>
  <si>
    <t>Calandrinia ciliata</t>
  </si>
  <si>
    <t>Calendula</t>
  </si>
  <si>
    <t>Calendula officinalis</t>
  </si>
  <si>
    <t>Calibrachoa parviflora</t>
  </si>
  <si>
    <t>Calochortus kennedyi</t>
  </si>
  <si>
    <t>Calycoseris wrightii</t>
  </si>
  <si>
    <t>Camissonia</t>
  </si>
  <si>
    <t>Camissonia californica</t>
  </si>
  <si>
    <t>Camissonia chamaenerioides</t>
  </si>
  <si>
    <t>Camissonia claviformis</t>
  </si>
  <si>
    <t>Camissonia confusa</t>
  </si>
  <si>
    <t>Camissonia micrantha</t>
  </si>
  <si>
    <t>Canna x</t>
  </si>
  <si>
    <t>Canna x generalis</t>
  </si>
  <si>
    <t>Canotia holacantha</t>
  </si>
  <si>
    <t>Capsella bursa-pastoris</t>
  </si>
  <si>
    <t>Capsicum annuum</t>
  </si>
  <si>
    <t>Carissa macrocarpa</t>
  </si>
  <si>
    <t>Carlowrightia arizonica</t>
  </si>
  <si>
    <t>Carpobrotus</t>
  </si>
  <si>
    <t>Carpobrotus edulis</t>
  </si>
  <si>
    <t>Castela emoryi</t>
  </si>
  <si>
    <t>Castilleja exserta</t>
  </si>
  <si>
    <t>Catharanthus roseus</t>
  </si>
  <si>
    <t>Caulanthus</t>
  </si>
  <si>
    <t>Caulanthus lasiophyllus</t>
  </si>
  <si>
    <t>Cenchrus ciliaris</t>
  </si>
  <si>
    <t>Centaurea melitensis</t>
  </si>
  <si>
    <t>Centaurea solstitialis</t>
  </si>
  <si>
    <t>Ceratostigma plumbaginoides</t>
  </si>
  <si>
    <t>Chaenactis</t>
  </si>
  <si>
    <t>Chaenactis carphoclinia</t>
  </si>
  <si>
    <t>Chaenactis fremontii</t>
  </si>
  <si>
    <t>Chaenactis stevioides</t>
  </si>
  <si>
    <t>Chaenostoma cordatum</t>
  </si>
  <si>
    <t>Chamaerops</t>
  </si>
  <si>
    <t>Chamaesyce</t>
  </si>
  <si>
    <t>Chamaesyce abramsiana</t>
  </si>
  <si>
    <t>Chamaesyce albomarginata</t>
  </si>
  <si>
    <t>Chamaesyce arizonica</t>
  </si>
  <si>
    <t>Chamaesyce capitellata</t>
  </si>
  <si>
    <t>Chamaesyce hyssopifolia</t>
  </si>
  <si>
    <t>Chamaesyce maculata</t>
  </si>
  <si>
    <t>Chamaesyce melanadenia</t>
  </si>
  <si>
    <t>Chamaesyce micromera</t>
  </si>
  <si>
    <t>Chamaesyce polycarpa</t>
  </si>
  <si>
    <t>Chamaesyce prostrata</t>
  </si>
  <si>
    <t>Chamaesyce serrula</t>
  </si>
  <si>
    <t>Cheilanthes parryi</t>
  </si>
  <si>
    <t>Chenopodiaceae</t>
  </si>
  <si>
    <t>Chenopodium</t>
  </si>
  <si>
    <t>Chenopodium album</t>
  </si>
  <si>
    <t>Chenopodium berlandieri</t>
  </si>
  <si>
    <t>Chenopodium desiccatum</t>
  </si>
  <si>
    <t>Chenopodium leptophyllum</t>
  </si>
  <si>
    <t>Chenopodium murale</t>
  </si>
  <si>
    <t>Chorizanthe brevicornu</t>
  </si>
  <si>
    <t>Chorizanthe rigida</t>
  </si>
  <si>
    <t>Chrysanthemum</t>
  </si>
  <si>
    <t>Chrysanthemum maximum</t>
  </si>
  <si>
    <t>Ciclospermum leptophyllum</t>
  </si>
  <si>
    <t>Cirsium</t>
  </si>
  <si>
    <t>Cirsium neomexicanum</t>
  </si>
  <si>
    <t>Claytonia perfoliata ssp. mexicana (Rydb.) Miller &amp; Chambers</t>
  </si>
  <si>
    <t>Cleome lutea var. jonesii J.F. Macbr.</t>
  </si>
  <si>
    <t>Coleus scutellarioides</t>
  </si>
  <si>
    <t>Consolida ajacis</t>
  </si>
  <si>
    <t>Convolvulus</t>
  </si>
  <si>
    <t>Convolvulus arvensis</t>
  </si>
  <si>
    <t>Convolvulus mauritanicus</t>
  </si>
  <si>
    <t>Conyza</t>
  </si>
  <si>
    <t>Conyza bonariensis</t>
  </si>
  <si>
    <t>Conyza canadensis</t>
  </si>
  <si>
    <t>Coreopsis</t>
  </si>
  <si>
    <t>Coriandrum sativum</t>
  </si>
  <si>
    <t>Cosmos</t>
  </si>
  <si>
    <t>Cosmos sulphureus</t>
  </si>
  <si>
    <t>Cotula australis</t>
  </si>
  <si>
    <t>Crassula connata</t>
  </si>
  <si>
    <t>Crassula erecta</t>
  </si>
  <si>
    <t>Cressa truxilensis</t>
  </si>
  <si>
    <t>Cryptantha</t>
  </si>
  <si>
    <t>Cryptantha angustifolia</t>
  </si>
  <si>
    <t>Cryptantha barbigera</t>
  </si>
  <si>
    <t>Cryptantha decipiens</t>
  </si>
  <si>
    <t>Cryptantha maritima</t>
  </si>
  <si>
    <t>Cryptantha micrantha</t>
  </si>
  <si>
    <t>Cryptantha muricata</t>
  </si>
  <si>
    <t>Cryptantha pterocarya</t>
  </si>
  <si>
    <t>Cryptobiotic Crust</t>
  </si>
  <si>
    <t>Cucurbitaceae</t>
  </si>
  <si>
    <t>Cuscuta</t>
  </si>
  <si>
    <t>Cyclospermum leptophyllum</t>
  </si>
  <si>
    <t>Cynodon</t>
  </si>
  <si>
    <t>Cynodon dactylon</t>
  </si>
  <si>
    <t>Cyperaceae</t>
  </si>
  <si>
    <t>Cyperus</t>
  </si>
  <si>
    <t>Cyperus acuminatus</t>
  </si>
  <si>
    <t>Cyperus rotundus</t>
  </si>
  <si>
    <t>Dalea</t>
  </si>
  <si>
    <t>Dalea greggii</t>
  </si>
  <si>
    <t>Dalea mollis</t>
  </si>
  <si>
    <t>Dalea mollissima</t>
  </si>
  <si>
    <t>Dalea neomexicana</t>
  </si>
  <si>
    <t>Dasyochloa pulchella</t>
  </si>
  <si>
    <t>Datura discolor</t>
  </si>
  <si>
    <t>Datura wrightii</t>
  </si>
  <si>
    <t>Daucus carota</t>
  </si>
  <si>
    <t>Daucus pusillus</t>
  </si>
  <si>
    <t>Delphinium</t>
  </si>
  <si>
    <t>Delphinium parishii</t>
  </si>
  <si>
    <t>Descurainia</t>
  </si>
  <si>
    <t>Descurainia pinnata</t>
  </si>
  <si>
    <t>Descurainia sophia</t>
  </si>
  <si>
    <t>Dianthus</t>
  </si>
  <si>
    <t>Dichelostemma capitatum</t>
  </si>
  <si>
    <t>Dichelostemma pulchellum</t>
  </si>
  <si>
    <t>Dichondra</t>
  </si>
  <si>
    <t>Dichondra micrantha</t>
  </si>
  <si>
    <t>Dichondra repens</t>
  </si>
  <si>
    <t>Digitaria sanguinalis</t>
  </si>
  <si>
    <t>Dimorphocarpa wislizeni</t>
  </si>
  <si>
    <t>Dimorphotheca</t>
  </si>
  <si>
    <t>Dimorphotheca sinuata</t>
  </si>
  <si>
    <t>Ditaxis lanceolata</t>
  </si>
  <si>
    <t>Ditaxis neomexicana</t>
  </si>
  <si>
    <t>Draba brachycarpa</t>
  </si>
  <si>
    <t>Draba cuneifolia</t>
  </si>
  <si>
    <t>Draba nemorosa</t>
  </si>
  <si>
    <t>Dudleya</t>
  </si>
  <si>
    <t>Dyssodia porophylloides</t>
  </si>
  <si>
    <t>Ebenopsis ebano</t>
  </si>
  <si>
    <t>Echinocactus emoryi</t>
  </si>
  <si>
    <t>Echinochloa colona</t>
  </si>
  <si>
    <t>Eclipta prostrata</t>
  </si>
  <si>
    <t>Eleusine indica</t>
  </si>
  <si>
    <t>Emmenanthe penduliflora</t>
  </si>
  <si>
    <t>Eragrostis cilianensis</t>
  </si>
  <si>
    <t>Eragrostis mexicana</t>
  </si>
  <si>
    <t>Eragrostis pectinacea</t>
  </si>
  <si>
    <t>Eriastrum</t>
  </si>
  <si>
    <t>Eriastrum diffusum</t>
  </si>
  <si>
    <t>Eriastrum eremicum</t>
  </si>
  <si>
    <t>Erigeron bonariensis</t>
  </si>
  <si>
    <t>Erigeron canadensis</t>
  </si>
  <si>
    <t>Erigeron divergens</t>
  </si>
  <si>
    <t>Erigeron lobatus</t>
  </si>
  <si>
    <t>Eriochloa acuminata</t>
  </si>
  <si>
    <t>Eriogonum</t>
  </si>
  <si>
    <t>Eriogonum deflexum</t>
  </si>
  <si>
    <t>Eriogonum inflatum</t>
  </si>
  <si>
    <t>Eriogonum palmerianum</t>
  </si>
  <si>
    <t>Eriogonum thomasii</t>
  </si>
  <si>
    <t>Eriophyllum</t>
  </si>
  <si>
    <t>Eriophyllum lanosum</t>
  </si>
  <si>
    <t>Eriophyllum pringlei</t>
  </si>
  <si>
    <t>Erodium</t>
  </si>
  <si>
    <t>Erodium cicutarium</t>
  </si>
  <si>
    <t>Erodium texanum</t>
  </si>
  <si>
    <t>Eschscholzia</t>
  </si>
  <si>
    <t>Eschscholzia californica</t>
  </si>
  <si>
    <t>Eschscholzia minutiflora</t>
  </si>
  <si>
    <t>Eucrypta</t>
  </si>
  <si>
    <t>Eucrypta chrysanthemifolia</t>
  </si>
  <si>
    <t>Eucrypta micrantha</t>
  </si>
  <si>
    <t>Euphorbia</t>
  </si>
  <si>
    <t>Euphorbia capitellata</t>
  </si>
  <si>
    <t>Euphorbia eriantha</t>
  </si>
  <si>
    <t>Euphorbia maculata</t>
  </si>
  <si>
    <t>Euphorbia ophthalmica</t>
  </si>
  <si>
    <t>Euphorbia polycarpa</t>
  </si>
  <si>
    <t>Euphorbia prostrata</t>
  </si>
  <si>
    <t>Euphorbia supina</t>
  </si>
  <si>
    <t>Euphorbiaceae</t>
  </si>
  <si>
    <t>Evax multicaulis</t>
  </si>
  <si>
    <t>Fabaceae</t>
  </si>
  <si>
    <t>Filago</t>
  </si>
  <si>
    <t>Filago arizonica</t>
  </si>
  <si>
    <t>Filago californica</t>
  </si>
  <si>
    <t>Fouquieria</t>
  </si>
  <si>
    <t>Fragaria</t>
  </si>
  <si>
    <t>Funastrum cynanchoides</t>
  </si>
  <si>
    <t>Galium</t>
  </si>
  <si>
    <t>Gazania</t>
  </si>
  <si>
    <t>Geranium</t>
  </si>
  <si>
    <t>Gilia</t>
  </si>
  <si>
    <t>Gilia flavocincta</t>
  </si>
  <si>
    <t>Gilia stellata</t>
  </si>
  <si>
    <t>Glandularia</t>
  </si>
  <si>
    <t>Glandularia pulchella</t>
  </si>
  <si>
    <t>Gnaphalium</t>
  </si>
  <si>
    <t>Gossypium hirsutum</t>
  </si>
  <si>
    <t>Greeneocharis circumscissa</t>
  </si>
  <si>
    <t>Hardenbergia violacea</t>
  </si>
  <si>
    <t>Harpagonella palmeri</t>
  </si>
  <si>
    <t>Hedypnois cretica</t>
  </si>
  <si>
    <t>Helianthus</t>
  </si>
  <si>
    <t>Helianthus annuus</t>
  </si>
  <si>
    <t>Helianthus annuus Sungold</t>
  </si>
  <si>
    <t>Heliomeris longifolia var. annua (M. E. Jones) Yates</t>
  </si>
  <si>
    <t>Heliotropium curassavicum</t>
  </si>
  <si>
    <t>Herniaria hirsuta</t>
  </si>
  <si>
    <t>Heterotheca subaxillaris</t>
  </si>
  <si>
    <t>Hibiscus</t>
  </si>
  <si>
    <t>Hibiscus grandiflorus</t>
  </si>
  <si>
    <t>Hilaria</t>
  </si>
  <si>
    <t>Hilaria mutica</t>
  </si>
  <si>
    <t>Hilaria rigida</t>
  </si>
  <si>
    <t>Hoffmannseggia</t>
  </si>
  <si>
    <t>Hoffmannseggia densiflora</t>
  </si>
  <si>
    <t>Hoffmannseggia glauca</t>
  </si>
  <si>
    <t>Hordeum</t>
  </si>
  <si>
    <t>Hordeum murinum</t>
  </si>
  <si>
    <t>Hordeum murinum ssp. glaucum (Steud.) Tzvelev</t>
  </si>
  <si>
    <t>Hordeum pusillum</t>
  </si>
  <si>
    <t>Hordeum vulgare</t>
  </si>
  <si>
    <t>Horsfordia newberryi</t>
  </si>
  <si>
    <t>Hydrophyllaceae</t>
  </si>
  <si>
    <t>Hymenoclea</t>
  </si>
  <si>
    <t>Hymenoxys odorata</t>
  </si>
  <si>
    <t>Hyptis emoryi</t>
  </si>
  <si>
    <t>Ipomoea</t>
  </si>
  <si>
    <t>Ipomoea x leucantha</t>
  </si>
  <si>
    <t>Iris</t>
  </si>
  <si>
    <t>Isocoma tenuisecta</t>
  </si>
  <si>
    <t>Jacaranda</t>
  </si>
  <si>
    <t>Janusia</t>
  </si>
  <si>
    <t>Janusia gracilis</t>
  </si>
  <si>
    <t>Jasminum mesnyi</t>
  </si>
  <si>
    <t>Juncus bufonius</t>
  </si>
  <si>
    <t>Juniperus chinensis</t>
  </si>
  <si>
    <t>Kalanchoe</t>
  </si>
  <si>
    <t>Lactuca</t>
  </si>
  <si>
    <t>Lactuca serriola</t>
  </si>
  <si>
    <t>Laennecia coulteri</t>
  </si>
  <si>
    <t>Lamiaceae</t>
  </si>
  <si>
    <t>Lamium amplexicaule</t>
  </si>
  <si>
    <t>Lantana</t>
  </si>
  <si>
    <t>Lasthenia</t>
  </si>
  <si>
    <t>Lasthenia californica</t>
  </si>
  <si>
    <t>Lasthenia chrysostoma</t>
  </si>
  <si>
    <t>Lathyrus odoratus</t>
  </si>
  <si>
    <t>Lavandula</t>
  </si>
  <si>
    <t>Layia glandulosa</t>
  </si>
  <si>
    <t>Lepidium</t>
  </si>
  <si>
    <t>Lepidium densiflorum</t>
  </si>
  <si>
    <t>Lepidium didymum</t>
  </si>
  <si>
    <t>Lepidium integrifolium</t>
  </si>
  <si>
    <t>Lepidium lasiocarpum</t>
  </si>
  <si>
    <t>Lepidium medium</t>
  </si>
  <si>
    <t>Lepidium virginicum</t>
  </si>
  <si>
    <t>Leptochloa</t>
  </si>
  <si>
    <t>Leptochloa dubia</t>
  </si>
  <si>
    <t>Leptochloa fusca ssp. Uninervia</t>
  </si>
  <si>
    <t>Leptochloa panicea</t>
  </si>
  <si>
    <t>Leptochloa uninervia</t>
  </si>
  <si>
    <t>Leptosiphon chrysanthus</t>
  </si>
  <si>
    <t>Lesquerella</t>
  </si>
  <si>
    <t>Lesquerella gordonii</t>
  </si>
  <si>
    <t>Lesquerella tenella</t>
  </si>
  <si>
    <t>Leucanthemum paludosum</t>
  </si>
  <si>
    <t>Leucophyllum</t>
  </si>
  <si>
    <t>Leucophyllum candidum</t>
  </si>
  <si>
    <t>Leucophyllum frutescens</t>
  </si>
  <si>
    <t>Liliaceae</t>
  </si>
  <si>
    <t>Linanthus</t>
  </si>
  <si>
    <t>Linanthus bigelovii</t>
  </si>
  <si>
    <t>Linanthus demissus</t>
  </si>
  <si>
    <t>Linanthus dichotomus</t>
  </si>
  <si>
    <t>Linaria maroccana</t>
  </si>
  <si>
    <t>Linum</t>
  </si>
  <si>
    <t>Linum usitatissimum</t>
  </si>
  <si>
    <t>Lobelia erinus</t>
  </si>
  <si>
    <t>Lobularia maritima Snow Crystals</t>
  </si>
  <si>
    <t>Loeflingia squarrosa</t>
  </si>
  <si>
    <t>Loeseliastrum schottii</t>
  </si>
  <si>
    <t>Logfia arizonica</t>
  </si>
  <si>
    <t>Logfia depressa</t>
  </si>
  <si>
    <t>Lolium</t>
  </si>
  <si>
    <t>Lolium multiflorum</t>
  </si>
  <si>
    <t>Lolium perenne</t>
  </si>
  <si>
    <t>Lolium temulentum</t>
  </si>
  <si>
    <t>Lotus</t>
  </si>
  <si>
    <t>Lotus humistratus</t>
  </si>
  <si>
    <t>Lotus salsuginosus</t>
  </si>
  <si>
    <t>Lotus strigosus</t>
  </si>
  <si>
    <t>Lotus tomentellus</t>
  </si>
  <si>
    <t>Lupinus</t>
  </si>
  <si>
    <t>Lupinus arizonicus</t>
  </si>
  <si>
    <t>Lupinus concinnus</t>
  </si>
  <si>
    <t>Lupinus sparsiflorus</t>
  </si>
  <si>
    <t>Lycianthes rantonnetii</t>
  </si>
  <si>
    <t>Lycium</t>
  </si>
  <si>
    <t>Lythrum californicum</t>
  </si>
  <si>
    <t>Lythrum hyssopifolia</t>
  </si>
  <si>
    <t>Machaeranthera</t>
  </si>
  <si>
    <t>Machaeranthera pinnatifida</t>
  </si>
  <si>
    <t>Malacothrix glabrata</t>
  </si>
  <si>
    <t>Malva</t>
  </si>
  <si>
    <t>Malva neglecta</t>
  </si>
  <si>
    <t>Malva parviflora</t>
  </si>
  <si>
    <t>Malvaceae</t>
  </si>
  <si>
    <t>Marina parryi</t>
  </si>
  <si>
    <t>Matricaria</t>
  </si>
  <si>
    <t>Matthiola</t>
  </si>
  <si>
    <t>Matthiola longipetala</t>
  </si>
  <si>
    <t>Matthiola parviflora</t>
  </si>
  <si>
    <t>Medicago</t>
  </si>
  <si>
    <t>Medicago hispida</t>
  </si>
  <si>
    <t>Medicago lupulina</t>
  </si>
  <si>
    <t>Medicago polymorpha</t>
  </si>
  <si>
    <t>Medicago sativa</t>
  </si>
  <si>
    <t>Melilotus</t>
  </si>
  <si>
    <t>Melilotus indicus</t>
  </si>
  <si>
    <t>Mentha spicata</t>
  </si>
  <si>
    <t>Mentzelia</t>
  </si>
  <si>
    <t>Mentzelia affinis</t>
  </si>
  <si>
    <t>Mentzelia albicaulis</t>
  </si>
  <si>
    <t>Mentzelia involucrata</t>
  </si>
  <si>
    <t>Mentzelia jonesii</t>
  </si>
  <si>
    <t>Mentzelia lindleyi</t>
  </si>
  <si>
    <t>Mentzelia pumila</t>
  </si>
  <si>
    <t>Minuartia</t>
  </si>
  <si>
    <t>Minuartia douglasii</t>
  </si>
  <si>
    <t>Mirabilis</t>
  </si>
  <si>
    <t>Mirabilis bigelovii</t>
  </si>
  <si>
    <t>Mirabilis laevis var. villosa</t>
  </si>
  <si>
    <t>Modiola caroliniana</t>
  </si>
  <si>
    <t>Monocotyledoneae</t>
  </si>
  <si>
    <t>Monolepis</t>
  </si>
  <si>
    <t>Monolepis nuttalliana</t>
  </si>
  <si>
    <t>Monoptilon bellioides</t>
  </si>
  <si>
    <t>Morus alba</t>
  </si>
  <si>
    <t>Muhlenbergia</t>
  </si>
  <si>
    <t>Muhlenbergia microsperma</t>
  </si>
  <si>
    <t>Musa acuminata</t>
  </si>
  <si>
    <t>Myoporum parvifolium</t>
  </si>
  <si>
    <t>Myrtus communis Boetica</t>
  </si>
  <si>
    <t>Nama demissum</t>
  </si>
  <si>
    <t>Nama hispidum</t>
  </si>
  <si>
    <t>Nemacladus glanduliferus</t>
  </si>
  <si>
    <t>Nemacladus glanduliferus var. orientalis McVaugh</t>
  </si>
  <si>
    <t>Neptunia</t>
  </si>
  <si>
    <t>Nicotiana obtusifolia</t>
  </si>
  <si>
    <t>Nicotiana trigonophylla</t>
  </si>
  <si>
    <t>Notholaena californica</t>
  </si>
  <si>
    <t>Notholaena standleyi</t>
  </si>
  <si>
    <t>Nuttallanthus texanus</t>
  </si>
  <si>
    <t>Nyctaginaceae</t>
  </si>
  <si>
    <t>Nymphaea</t>
  </si>
  <si>
    <t>Ocimum basilicum</t>
  </si>
  <si>
    <t>Oenothera</t>
  </si>
  <si>
    <t>Oenothera albicaulis</t>
  </si>
  <si>
    <t>Oenothera curtiflora</t>
  </si>
  <si>
    <t>Oenothera primiveris</t>
  </si>
  <si>
    <t>Oenothera speciosa</t>
  </si>
  <si>
    <t>Oligomeris linifolia</t>
  </si>
  <si>
    <t>Onagraceae</t>
  </si>
  <si>
    <t>Oncosiphon pilulifer</t>
  </si>
  <si>
    <t>Origanum</t>
  </si>
  <si>
    <t>Origanum vulgare</t>
  </si>
  <si>
    <t>Orobanche cooperi</t>
  </si>
  <si>
    <t>Oxalis</t>
  </si>
  <si>
    <t>Oxalis albicans</t>
  </si>
  <si>
    <t>Oxalis corniculata</t>
  </si>
  <si>
    <t>Oxalis pes-caprae</t>
  </si>
  <si>
    <t>Palafoxia arida</t>
  </si>
  <si>
    <t>Papaver</t>
  </si>
  <si>
    <t>Papaver orientale</t>
  </si>
  <si>
    <t>Parietaria hespera</t>
  </si>
  <si>
    <t>Parkinsonia</t>
  </si>
  <si>
    <t>Paspalum dilatatum</t>
  </si>
  <si>
    <t>Passiflora</t>
  </si>
  <si>
    <t>Pectis cylindrica</t>
  </si>
  <si>
    <t>Pectis papposa</t>
  </si>
  <si>
    <t>Pectocarya</t>
  </si>
  <si>
    <t>Pectocarya anisacarpa</t>
  </si>
  <si>
    <t>Pectocarya heterocarpa</t>
  </si>
  <si>
    <t>Pectocarya platycarpa</t>
  </si>
  <si>
    <t>Pectocarya recurvata</t>
  </si>
  <si>
    <t>Pectocarya setosa</t>
  </si>
  <si>
    <t>Pelargonium</t>
  </si>
  <si>
    <t>Pelargonium x hortorum</t>
  </si>
  <si>
    <t>Pennisetum</t>
  </si>
  <si>
    <t>Pennisetum ciliare</t>
  </si>
  <si>
    <t>Pennisetum setaceum</t>
  </si>
  <si>
    <t>Penstemon</t>
  </si>
  <si>
    <t>Penstemon subulatus</t>
  </si>
  <si>
    <t>Perityle emoryi</t>
  </si>
  <si>
    <t>Persicaria lapathifolia</t>
  </si>
  <si>
    <t>Petalonyx thurberi</t>
  </si>
  <si>
    <t>Petroselinum</t>
  </si>
  <si>
    <t>Petroselinum crispum</t>
  </si>
  <si>
    <t>Petunia</t>
  </si>
  <si>
    <t>Petunia parviflora</t>
  </si>
  <si>
    <t>Petunia x atkinsiana</t>
  </si>
  <si>
    <t>Petunia x hybrida</t>
  </si>
  <si>
    <t>Phacelia</t>
  </si>
  <si>
    <t>Phacelia affinis</t>
  </si>
  <si>
    <t>Phacelia ambigua</t>
  </si>
  <si>
    <t>Phacelia crenulata</t>
  </si>
  <si>
    <t>Phacelia crenulata var. ambigua (M. E. Jones) J. F. Macbr.</t>
  </si>
  <si>
    <t>Phacelia cryptantha</t>
  </si>
  <si>
    <t>Phacelia distans</t>
  </si>
  <si>
    <t>Phacelia ramosissima</t>
  </si>
  <si>
    <t>Phalaris</t>
  </si>
  <si>
    <t>Phalaris canariensis</t>
  </si>
  <si>
    <t>Phalaris caroliniana</t>
  </si>
  <si>
    <t>Phalaris minor</t>
  </si>
  <si>
    <t>Pholistoma auritum</t>
  </si>
  <si>
    <t>Phoradendron californicum</t>
  </si>
  <si>
    <t>Photinia x fraseri</t>
  </si>
  <si>
    <t>Phyla nodiflora</t>
  </si>
  <si>
    <t>Physalis</t>
  </si>
  <si>
    <t>Physalis angulata var. lanceifolia (Nees) Water.</t>
  </si>
  <si>
    <t>Physalis crassifolia</t>
  </si>
  <si>
    <t>Physaria tenella</t>
  </si>
  <si>
    <t>Pinus canariensis</t>
  </si>
  <si>
    <t>Pistacia lentiscus</t>
  </si>
  <si>
    <t>Pisum sativum</t>
  </si>
  <si>
    <t>Pittosporum</t>
  </si>
  <si>
    <t>Plagiobothrys arizonicus</t>
  </si>
  <si>
    <t>Plagiobothrys pringlei</t>
  </si>
  <si>
    <t>Plantae</t>
  </si>
  <si>
    <t>Plantago</t>
  </si>
  <si>
    <t>Plantago lanceolata</t>
  </si>
  <si>
    <t>Plantago ovata</t>
  </si>
  <si>
    <t>Plantago patagonica</t>
  </si>
  <si>
    <t>Plantago rhodosperma</t>
  </si>
  <si>
    <t>Pleuraphis</t>
  </si>
  <si>
    <t>Pleuraphis mutica</t>
  </si>
  <si>
    <t>Pleuraphis rigida</t>
  </si>
  <si>
    <t>Poa</t>
  </si>
  <si>
    <t>Poa annua</t>
  </si>
  <si>
    <t>Poa bigelovii</t>
  </si>
  <si>
    <t>Poaceae</t>
  </si>
  <si>
    <t>Polemoniaceae</t>
  </si>
  <si>
    <t>Polygonum</t>
  </si>
  <si>
    <t>Polygonum argyrocoleon</t>
  </si>
  <si>
    <t>Polygonum aviculare</t>
  </si>
  <si>
    <t>Polypogon monspeliensis</t>
  </si>
  <si>
    <t>Porophyllum</t>
  </si>
  <si>
    <t>Porophyllum gracile</t>
  </si>
  <si>
    <t>Portulaca halimoides</t>
  </si>
  <si>
    <t>Portulaca oleracea</t>
  </si>
  <si>
    <t>Prosopis alba</t>
  </si>
  <si>
    <t>Prosopis chilensis</t>
  </si>
  <si>
    <t>Prosopis juliflora</t>
  </si>
  <si>
    <t>Prosopis juliflora var. velutina</t>
  </si>
  <si>
    <t>Prosopis velutina</t>
  </si>
  <si>
    <t>Pseudognaphalium</t>
  </si>
  <si>
    <t>Pseudorontium cyathiferum</t>
  </si>
  <si>
    <t>Pteridaceae</t>
  </si>
  <si>
    <t>Pterostegia drymarioides</t>
  </si>
  <si>
    <t>Punica</t>
  </si>
  <si>
    <t>Quincula lobata</t>
  </si>
  <si>
    <t>Rafinesquia neomexicana</t>
  </si>
  <si>
    <t>Ranunculaceae</t>
  </si>
  <si>
    <t>Ranunculus asiaticus</t>
  </si>
  <si>
    <t>Rhus lancea</t>
  </si>
  <si>
    <t>Rosmarinus</t>
  </si>
  <si>
    <t>Ruellia brittoniana</t>
  </si>
  <si>
    <t>Ruellia peninsularis</t>
  </si>
  <si>
    <t>Rumex</t>
  </si>
  <si>
    <t>Rumex crispus</t>
  </si>
  <si>
    <t>Rumex dentatus</t>
  </si>
  <si>
    <t>Rumex hymenosepalus</t>
  </si>
  <si>
    <t>Salsola</t>
  </si>
  <si>
    <t>Salsola kali</t>
  </si>
  <si>
    <t>Salsola tragus</t>
  </si>
  <si>
    <t>Salvia</t>
  </si>
  <si>
    <t>Salvia columbariae</t>
  </si>
  <si>
    <t>Salvia farinacea</t>
  </si>
  <si>
    <t>Salvia greggii</t>
  </si>
  <si>
    <t>Sansevieria</t>
  </si>
  <si>
    <t>Sarcostemma</t>
  </si>
  <si>
    <t>Sarcostemma cynanchoides</t>
  </si>
  <si>
    <t>Schismus</t>
  </si>
  <si>
    <t>Schismus arabicus</t>
  </si>
  <si>
    <t>Schismus barbatus</t>
  </si>
  <si>
    <t>Selaginella</t>
  </si>
  <si>
    <t>Selaginella arizonica</t>
  </si>
  <si>
    <t>Senecio</t>
  </si>
  <si>
    <t>Senecio lemmonii</t>
  </si>
  <si>
    <t>Senecio vulgaris</t>
  </si>
  <si>
    <t>Senna artemisioides ssp. artemisioides</t>
  </si>
  <si>
    <t>Senna artemisioides ssp. filifolia Randall</t>
  </si>
  <si>
    <t>Senna covesii</t>
  </si>
  <si>
    <t>Setaria</t>
  </si>
  <si>
    <t>Setaria pumila</t>
  </si>
  <si>
    <t>Silene antirrhina</t>
  </si>
  <si>
    <t>Silybum marianum</t>
  </si>
  <si>
    <t>Sinapis arvensis</t>
  </si>
  <si>
    <t>Sisymbrium</t>
  </si>
  <si>
    <t>Sisymbrium irio</t>
  </si>
  <si>
    <t>Sisymbrium orientale</t>
  </si>
  <si>
    <t>Solanum</t>
  </si>
  <si>
    <t>Solanum elaeagnifolium</t>
  </si>
  <si>
    <t>Solanum lycopersicum</t>
  </si>
  <si>
    <t>Solanum melongena</t>
  </si>
  <si>
    <t>Solanum tuberosum</t>
  </si>
  <si>
    <t>Sonchus</t>
  </si>
  <si>
    <t>Sonchus asper</t>
  </si>
  <si>
    <t>Sonchus oleraceus</t>
  </si>
  <si>
    <t>Sorghum</t>
  </si>
  <si>
    <t>Sorghum bicolor</t>
  </si>
  <si>
    <t>Sorghum halepense</t>
  </si>
  <si>
    <t>Spergularia salina</t>
  </si>
  <si>
    <t>Spergularia salina var salina</t>
  </si>
  <si>
    <t>Spermolepis echinata</t>
  </si>
  <si>
    <t>Sphaeralcea</t>
  </si>
  <si>
    <t>Sphaeralcea ambigua</t>
  </si>
  <si>
    <t>Sphaeralcea coulteri</t>
  </si>
  <si>
    <t>Sphaeralcea emoryi</t>
  </si>
  <si>
    <t>Sphenopholis obtusata</t>
  </si>
  <si>
    <t>Spinacia oleracea</t>
  </si>
  <si>
    <t>Sporobolus</t>
  </si>
  <si>
    <t>Stachys coccinea</t>
  </si>
  <si>
    <t>Stellaria</t>
  </si>
  <si>
    <t>Stellaria media</t>
  </si>
  <si>
    <t>Stephanomeria</t>
  </si>
  <si>
    <t>Stephanomeria pauciflora</t>
  </si>
  <si>
    <t>Stylocline</t>
  </si>
  <si>
    <t>Stylocline gnaphalioides</t>
  </si>
  <si>
    <t>Stylocline micropoides</t>
  </si>
  <si>
    <t>Tagetes</t>
  </si>
  <si>
    <t>Tagetes erecta</t>
  </si>
  <si>
    <t>Tagetes patula</t>
  </si>
  <si>
    <t>Tamarix chinensis</t>
  </si>
  <si>
    <t>Taraxacum</t>
  </si>
  <si>
    <t>Taraxacum officinale</t>
  </si>
  <si>
    <t>Thuja occidentalis</t>
  </si>
  <si>
    <t>Thymophylla acerosa</t>
  </si>
  <si>
    <t>Thymophylla pentachaeta</t>
  </si>
  <si>
    <t>Thysanocarpus curvipes</t>
  </si>
  <si>
    <t>Tidestromia lanuginosa</t>
  </si>
  <si>
    <t>Tiquilia plicata</t>
  </si>
  <si>
    <t>Tomostima cuneifolia</t>
  </si>
  <si>
    <t>Torilis nodosa</t>
  </si>
  <si>
    <t>Tragopogon</t>
  </si>
  <si>
    <t>Trianthema portulacastrum</t>
  </si>
  <si>
    <t>Tribulus terrestris</t>
  </si>
  <si>
    <t>Tridens muticus</t>
  </si>
  <si>
    <t>Trifolium mucronatum</t>
  </si>
  <si>
    <t>Triodanis perfoliata var. perfoliata</t>
  </si>
  <si>
    <t>Tripleurospermum perforatum</t>
  </si>
  <si>
    <t>Triticum aestivum</t>
  </si>
  <si>
    <t>Tropaeolum majus</t>
  </si>
  <si>
    <t>Typha</t>
  </si>
  <si>
    <t>Ulmus parvifolia</t>
  </si>
  <si>
    <t>Ulmus pumila</t>
  </si>
  <si>
    <t>unknown</t>
  </si>
  <si>
    <t>Uropappus lindleyi</t>
  </si>
  <si>
    <t>Verbena</t>
  </si>
  <si>
    <t>Verbena rigida</t>
  </si>
  <si>
    <t>Verbesina encelioides</t>
  </si>
  <si>
    <t>Veronica</t>
  </si>
  <si>
    <t>Veronica anagallis-aquatica</t>
  </si>
  <si>
    <t>Veronica arvensis</t>
  </si>
  <si>
    <t>Veronica peregrina</t>
  </si>
  <si>
    <t>Vigna caracalla</t>
  </si>
  <si>
    <t>Viguiera deltoidea var. parishii (Greene) Vasey &amp; Rose</t>
  </si>
  <si>
    <t>Vinca</t>
  </si>
  <si>
    <t>Vinca major</t>
  </si>
  <si>
    <t>Viola</t>
  </si>
  <si>
    <t>Vitex</t>
  </si>
  <si>
    <t>Vitex agnus-castus</t>
  </si>
  <si>
    <t>Vulpia microstachys</t>
  </si>
  <si>
    <t>Vulpia octoflora</t>
  </si>
  <si>
    <t>Washingtonia</t>
  </si>
  <si>
    <t>Washingtonia filifera var. robusta</t>
  </si>
  <si>
    <t>Wisteria sinensis</t>
  </si>
  <si>
    <t>Xanthisma spinulosum</t>
  </si>
  <si>
    <t>Yucca pendula</t>
  </si>
  <si>
    <t>Zea mays</t>
  </si>
  <si>
    <t>Ziziphus</t>
  </si>
  <si>
    <t>Zoysia japonica</t>
  </si>
  <si>
    <t>AA09</t>
  </si>
  <si>
    <t>AC07</t>
  </si>
  <si>
    <t>AC09</t>
  </si>
  <si>
    <t>AD07</t>
  </si>
  <si>
    <t>AE07</t>
  </si>
  <si>
    <t>AE09</t>
  </si>
  <si>
    <t>AF08</t>
  </si>
  <si>
    <t>E08</t>
  </si>
  <si>
    <t>F08</t>
  </si>
  <si>
    <t>G07</t>
  </si>
  <si>
    <t>H07</t>
  </si>
  <si>
    <t>H08</t>
  </si>
  <si>
    <t>J07</t>
  </si>
  <si>
    <t>J09</t>
  </si>
  <si>
    <t>K06</t>
  </si>
  <si>
    <t>K09</t>
  </si>
  <si>
    <t>L07</t>
  </si>
  <si>
    <t>L09</t>
  </si>
  <si>
    <t>M07</t>
  </si>
  <si>
    <t>M09</t>
  </si>
  <si>
    <t>O07</t>
  </si>
  <si>
    <t>O09</t>
  </si>
  <si>
    <t>P08</t>
  </si>
  <si>
    <t>Q07</t>
  </si>
  <si>
    <t>Q09</t>
  </si>
  <si>
    <t>R07</t>
  </si>
  <si>
    <t>S09</t>
  </si>
  <si>
    <t>T08</t>
  </si>
  <si>
    <t>U06</t>
  </si>
  <si>
    <t>U08</t>
  </si>
  <si>
    <t>V07</t>
  </si>
  <si>
    <t>V09</t>
  </si>
  <si>
    <t>W06</t>
  </si>
  <si>
    <t>W09</t>
  </si>
  <si>
    <t>X06</t>
  </si>
  <si>
    <t>X08</t>
  </si>
  <si>
    <t>Y06</t>
  </si>
  <si>
    <t>Vachellia farnesiana</t>
  </si>
  <si>
    <t>Vachellia</t>
  </si>
  <si>
    <t>Aloe vera</t>
  </si>
  <si>
    <t>Syagrus</t>
  </si>
  <si>
    <t>Astrolepis cochisensis subsp. arizonica</t>
  </si>
  <si>
    <t>VACFAR</t>
  </si>
  <si>
    <t>ABUINC</t>
  </si>
  <si>
    <t>ACOWRI</t>
  </si>
  <si>
    <t>ADEPOR</t>
  </si>
  <si>
    <t>AGAWEB</t>
  </si>
  <si>
    <t>ALCROS</t>
  </si>
  <si>
    <t>ALLCHO</t>
  </si>
  <si>
    <t>ALLINC</t>
  </si>
  <si>
    <t>ALOVER</t>
  </si>
  <si>
    <t>ALTCAR</t>
  </si>
  <si>
    <t>AMAALB</t>
  </si>
  <si>
    <t>AMABLI</t>
  </si>
  <si>
    <t>AMAFIM</t>
  </si>
  <si>
    <t>AMAGRA</t>
  </si>
  <si>
    <t>AMAHYB</t>
  </si>
  <si>
    <t>AMAPAL</t>
  </si>
  <si>
    <t>AMARET</t>
  </si>
  <si>
    <t>AMBART</t>
  </si>
  <si>
    <t>AMBCON</t>
  </si>
  <si>
    <t>AMSINT</t>
  </si>
  <si>
    <t>AMSMEN</t>
  </si>
  <si>
    <t>AMSTES</t>
  </si>
  <si>
    <t>ANETUB</t>
  </si>
  <si>
    <t>ANEGRA</t>
  </si>
  <si>
    <t>ANTMAJ</t>
  </si>
  <si>
    <t>ARIADS</t>
  </si>
  <si>
    <t>ARIPUR</t>
  </si>
  <si>
    <t>ARITER</t>
  </si>
  <si>
    <t>ARIWRI</t>
  </si>
  <si>
    <t>ARTSTE</t>
  </si>
  <si>
    <t>ARTFIL</t>
  </si>
  <si>
    <t>ASCSUB</t>
  </si>
  <si>
    <t>ASPOFF</t>
  </si>
  <si>
    <t>ASTDID</t>
  </si>
  <si>
    <t>ASTNUT</t>
  </si>
  <si>
    <t>ASTTEP</t>
  </si>
  <si>
    <t>ATRCAN</t>
  </si>
  <si>
    <t>ATRELE</t>
  </si>
  <si>
    <t>ATRWRI</t>
  </si>
  <si>
    <t>AVEFAT</t>
  </si>
  <si>
    <t>AVESAT</t>
  </si>
  <si>
    <t>BACSAR</t>
  </si>
  <si>
    <t>BAIMUL</t>
  </si>
  <si>
    <t>BELPER</t>
  </si>
  <si>
    <t>BETVUL</t>
  </si>
  <si>
    <t>BOECOC</t>
  </si>
  <si>
    <t>BOECOU</t>
  </si>
  <si>
    <t>BOUARI</t>
  </si>
  <si>
    <t>BOUBAR</t>
  </si>
  <si>
    <t>BOWINC</t>
  </si>
  <si>
    <t>BRAPOP</t>
  </si>
  <si>
    <t>BRABIG</t>
  </si>
  <si>
    <t>BRAJUN</t>
  </si>
  <si>
    <t>BRANIG</t>
  </si>
  <si>
    <t>BRAOLE</t>
  </si>
  <si>
    <t>BRATOU</t>
  </si>
  <si>
    <t>BRICOU</t>
  </si>
  <si>
    <t>BROARI</t>
  </si>
  <si>
    <t>BROCAR</t>
  </si>
  <si>
    <t>BROCAT</t>
  </si>
  <si>
    <t>BRODIA</t>
  </si>
  <si>
    <t>BRORUB</t>
  </si>
  <si>
    <t>CALCIL</t>
  </si>
  <si>
    <t>CALOFF</t>
  </si>
  <si>
    <t>CALPAR</t>
  </si>
  <si>
    <t>CALKEN</t>
  </si>
  <si>
    <t>CALWRI</t>
  </si>
  <si>
    <t>CAMCON</t>
  </si>
  <si>
    <t>CAMMIC</t>
  </si>
  <si>
    <t>CANHOL</t>
  </si>
  <si>
    <t>CAPBUR</t>
  </si>
  <si>
    <t>CAPANN</t>
  </si>
  <si>
    <t>CARMAC</t>
  </si>
  <si>
    <t>CARARI</t>
  </si>
  <si>
    <t>CAREDU</t>
  </si>
  <si>
    <t>CASEMO</t>
  </si>
  <si>
    <t>CASEXS</t>
  </si>
  <si>
    <t>CATROS</t>
  </si>
  <si>
    <t>CENMEL</t>
  </si>
  <si>
    <t>CENSOL</t>
  </si>
  <si>
    <t>CERPLU</t>
  </si>
  <si>
    <t>CHACOR</t>
  </si>
  <si>
    <t>CHAFRE</t>
  </si>
  <si>
    <t>CHASTE</t>
  </si>
  <si>
    <t>CHAHUM</t>
  </si>
  <si>
    <t>CHEALB</t>
  </si>
  <si>
    <t>CHEBER</t>
  </si>
  <si>
    <t>CHEDES</t>
  </si>
  <si>
    <t>CHELEP</t>
  </si>
  <si>
    <t>CHEMUR</t>
  </si>
  <si>
    <t>CHOBRE</t>
  </si>
  <si>
    <t>CHORIG</t>
  </si>
  <si>
    <t>CHRMAX</t>
  </si>
  <si>
    <t>CHYCLA</t>
  </si>
  <si>
    <t>CIRNEO</t>
  </si>
  <si>
    <t>COLSCU</t>
  </si>
  <si>
    <t>CONARV</t>
  </si>
  <si>
    <t>Convolvulus sabatius subsp. mauritanicus</t>
  </si>
  <si>
    <t>CORSAT</t>
  </si>
  <si>
    <t>COSSUL</t>
  </si>
  <si>
    <t>COTAUS</t>
  </si>
  <si>
    <t>CRAPER</t>
  </si>
  <si>
    <t>CRACON</t>
  </si>
  <si>
    <t>CRETRU</t>
  </si>
  <si>
    <t>Phacelia crenulata var. ambigua</t>
  </si>
  <si>
    <t>CRYBAR</t>
  </si>
  <si>
    <t>CRYDEC</t>
  </si>
  <si>
    <t>CRYMAR</t>
  </si>
  <si>
    <t>CRYMUR</t>
  </si>
  <si>
    <t>CRYPTE</t>
  </si>
  <si>
    <t>CRYCRU</t>
  </si>
  <si>
    <t>CYCLEP</t>
  </si>
  <si>
    <t>CYNDAC</t>
  </si>
  <si>
    <t>CYPACU</t>
  </si>
  <si>
    <t>CYPROT</t>
  </si>
  <si>
    <t>DALGRE</t>
  </si>
  <si>
    <t>DALMOL</t>
  </si>
  <si>
    <t>DALIMA</t>
  </si>
  <si>
    <t>DALNEO</t>
  </si>
  <si>
    <t>DATDIS</t>
  </si>
  <si>
    <t>DATWRI</t>
  </si>
  <si>
    <t>DAUCAR</t>
  </si>
  <si>
    <t>DAUPUS</t>
  </si>
  <si>
    <t>DELAJA</t>
  </si>
  <si>
    <t>DELPAR</t>
  </si>
  <si>
    <t>DESPIN</t>
  </si>
  <si>
    <t>DESSOP</t>
  </si>
  <si>
    <t>DICCAP</t>
  </si>
  <si>
    <t>DICCON</t>
  </si>
  <si>
    <t>DICMIC</t>
  </si>
  <si>
    <t>DICREP</t>
  </si>
  <si>
    <t>DIGSAN</t>
  </si>
  <si>
    <t>DIMWIS</t>
  </si>
  <si>
    <t>DIMSIN</t>
  </si>
  <si>
    <t>DITSER</t>
  </si>
  <si>
    <t>ABDBRA</t>
  </si>
  <si>
    <t>DRANEM</t>
  </si>
  <si>
    <t>EBEEBA</t>
  </si>
  <si>
    <t>ECHCOL</t>
  </si>
  <si>
    <t>ECLPRO</t>
  </si>
  <si>
    <t>ELEIND</t>
  </si>
  <si>
    <t>EMMPEN</t>
  </si>
  <si>
    <t>ERACIL</t>
  </si>
  <si>
    <t>ERAMEX</t>
  </si>
  <si>
    <t>ERAPEC</t>
  </si>
  <si>
    <t>EREMIC</t>
  </si>
  <si>
    <t>ERECHA</t>
  </si>
  <si>
    <t>ERIDIF</t>
  </si>
  <si>
    <t>ERIERE</t>
  </si>
  <si>
    <t>ERIBON</t>
  </si>
  <si>
    <t>ERICAN</t>
  </si>
  <si>
    <t>ERILOB</t>
  </si>
  <si>
    <t>ERIACU</t>
  </si>
  <si>
    <t>code</t>
  </si>
  <si>
    <t>ERIDEF</t>
  </si>
  <si>
    <t>ERIINF</t>
  </si>
  <si>
    <t>ERIPAL</t>
  </si>
  <si>
    <t>ERITHO</t>
  </si>
  <si>
    <t>ERILAN</t>
  </si>
  <si>
    <t>ERIPRI</t>
  </si>
  <si>
    <t>EROCIC</t>
  </si>
  <si>
    <t>EROTEX</t>
  </si>
  <si>
    <t>ERYGIL</t>
  </si>
  <si>
    <t>ESCCAL</t>
  </si>
  <si>
    <t>ESCMIN</t>
  </si>
  <si>
    <t>EUCCHR</t>
  </si>
  <si>
    <t>EUCMIC</t>
  </si>
  <si>
    <t>EULCAL</t>
  </si>
  <si>
    <t>EUPABR</t>
  </si>
  <si>
    <t>EUPALB</t>
  </si>
  <si>
    <t>EUPARI</t>
  </si>
  <si>
    <t>EUPCAP</t>
  </si>
  <si>
    <t>EUPERI</t>
  </si>
  <si>
    <t>EUPHYS</t>
  </si>
  <si>
    <t>EUPMAC</t>
  </si>
  <si>
    <t>EUPMEL</t>
  </si>
  <si>
    <t>EUPMIC</t>
  </si>
  <si>
    <t>EUPOPH</t>
  </si>
  <si>
    <t>EUPPOL</t>
  </si>
  <si>
    <t>EUPCHA</t>
  </si>
  <si>
    <t>EUPSER</t>
  </si>
  <si>
    <t>DIAVER</t>
  </si>
  <si>
    <t>FEREMO</t>
  </si>
  <si>
    <t>FILCAL</t>
  </si>
  <si>
    <t>FUNCYN</t>
  </si>
  <si>
    <t>GILFLA</t>
  </si>
  <si>
    <t>GILSTE</t>
  </si>
  <si>
    <t>GOSHIR</t>
  </si>
  <si>
    <t>GRECIR</t>
  </si>
  <si>
    <t>HARVIO</t>
  </si>
  <si>
    <t>HARPAL</t>
  </si>
  <si>
    <t>HEDRHA</t>
  </si>
  <si>
    <t>HELANN</t>
  </si>
  <si>
    <t>Heliomeris longifolia var. annua</t>
  </si>
  <si>
    <t>HELCUR</t>
  </si>
  <si>
    <t>HERHIR</t>
  </si>
  <si>
    <t>HETSUB</t>
  </si>
  <si>
    <t>HILMUT</t>
  </si>
  <si>
    <t>HILRIG</t>
  </si>
  <si>
    <t>HOFGLA</t>
  </si>
  <si>
    <t>HORMUR</t>
  </si>
  <si>
    <t>HORPUS</t>
  </si>
  <si>
    <t>HORVUL</t>
  </si>
  <si>
    <t>HORNEW</t>
  </si>
  <si>
    <t>HYMODO</t>
  </si>
  <si>
    <t>CONEMO</t>
  </si>
  <si>
    <t>ISOTEN</t>
  </si>
  <si>
    <t>COTGRA</t>
  </si>
  <si>
    <t>JASMES</t>
  </si>
  <si>
    <t>JOHANG</t>
  </si>
  <si>
    <t>JUNBUF</t>
  </si>
  <si>
    <t>Podocarpus macrophyllus var. maki</t>
  </si>
  <si>
    <t>LACNOE</t>
  </si>
  <si>
    <t>LACSER</t>
  </si>
  <si>
    <t>LAECOU</t>
  </si>
  <si>
    <t>LAMAMP</t>
  </si>
  <si>
    <t>LASCAL</t>
  </si>
  <si>
    <t>Lasthenia californica subsp. californica</t>
  </si>
  <si>
    <t>LATODO</t>
  </si>
  <si>
    <t>LAYGLA</t>
  </si>
  <si>
    <t>LEPDEN</t>
  </si>
  <si>
    <t>LEPDID</t>
  </si>
  <si>
    <t>LEPINT</t>
  </si>
  <si>
    <t>LEPLAS</t>
  </si>
  <si>
    <t>Lepidium virginicum subsp. menziesii</t>
  </si>
  <si>
    <t>LEPVIR</t>
  </si>
  <si>
    <t>DISDUB</t>
  </si>
  <si>
    <t>LEPPAN</t>
  </si>
  <si>
    <t>Diplachne fusca subsp. uninervia</t>
  </si>
  <si>
    <t>LEPCHR</t>
  </si>
  <si>
    <t>LEUCAN</t>
  </si>
  <si>
    <t>LEUFRU</t>
  </si>
  <si>
    <t>LINBIG</t>
  </si>
  <si>
    <t>LINDEM</t>
  </si>
  <si>
    <t>LINDIC</t>
  </si>
  <si>
    <t>LINMAR</t>
  </si>
  <si>
    <t>LINUSI</t>
  </si>
  <si>
    <t>LOBERI</t>
  </si>
  <si>
    <t>LOESQU</t>
  </si>
  <si>
    <t>LOESCH</t>
  </si>
  <si>
    <t>LOGARI</t>
  </si>
  <si>
    <t>LOGDEP</t>
  </si>
  <si>
    <t>LOLMUL</t>
  </si>
  <si>
    <t>LOLPER</t>
  </si>
  <si>
    <t>LOLTEM</t>
  </si>
  <si>
    <t>ACMBRA</t>
  </si>
  <si>
    <t>ACMMAR</t>
  </si>
  <si>
    <t>ACMSTR</t>
  </si>
  <si>
    <t>ACMINT</t>
  </si>
  <si>
    <t>LUPARI</t>
  </si>
  <si>
    <t>LUPCON</t>
  </si>
  <si>
    <t>LUPSPA</t>
  </si>
  <si>
    <t>LYCRAN</t>
  </si>
  <si>
    <t>LYSARV</t>
  </si>
  <si>
    <t>LYTCAL</t>
  </si>
  <si>
    <t>LYTHYS</t>
  </si>
  <si>
    <t>MALGLA</t>
  </si>
  <si>
    <t>MALNEG</t>
  </si>
  <si>
    <t>MALPAR</t>
  </si>
  <si>
    <t>MARPAR</t>
  </si>
  <si>
    <t>MATLON</t>
  </si>
  <si>
    <t>GUEODO</t>
  </si>
  <si>
    <t>MAUPAL</t>
  </si>
  <si>
    <t>MEDLUP</t>
  </si>
  <si>
    <t>MEDPOL</t>
  </si>
  <si>
    <t>MEDSAT</t>
  </si>
  <si>
    <t>MELIND</t>
  </si>
  <si>
    <t>MENSPI</t>
  </si>
  <si>
    <t>MENAFF</t>
  </si>
  <si>
    <t>MENALB</t>
  </si>
  <si>
    <t>MENINV</t>
  </si>
  <si>
    <t>MENJON</t>
  </si>
  <si>
    <t>MENLIN</t>
  </si>
  <si>
    <t>MENPUM</t>
  </si>
  <si>
    <t>MINDOU</t>
  </si>
  <si>
    <t>MIRBIG</t>
  </si>
  <si>
    <t>MODCAR</t>
  </si>
  <si>
    <t>MONNUT</t>
  </si>
  <si>
    <t>MONBEL</t>
  </si>
  <si>
    <t>MORALB</t>
  </si>
  <si>
    <t>MUHMIC</t>
  </si>
  <si>
    <t>MUNPUL</t>
  </si>
  <si>
    <t>MUSACU</t>
  </si>
  <si>
    <t>MYOPAR</t>
  </si>
  <si>
    <t>NAMDEM</t>
  </si>
  <si>
    <t>NAMHIS</t>
  </si>
  <si>
    <t>NEMGLA</t>
  </si>
  <si>
    <t>NICOBT</t>
  </si>
  <si>
    <t>NOTCAL</t>
  </si>
  <si>
    <t>NOTSTA</t>
  </si>
  <si>
    <t>NUTTEX</t>
  </si>
  <si>
    <t>OCIBAS</t>
  </si>
  <si>
    <t>OENALB</t>
  </si>
  <si>
    <t>OENCUR</t>
  </si>
  <si>
    <t>OENPRI</t>
  </si>
  <si>
    <t>OENSPE</t>
  </si>
  <si>
    <t>OLILIN</t>
  </si>
  <si>
    <t>ONCPIL</t>
  </si>
  <si>
    <t>ORIVUL</t>
  </si>
  <si>
    <t>OROCOO</t>
  </si>
  <si>
    <t>OXAALB</t>
  </si>
  <si>
    <t>OXACOR</t>
  </si>
  <si>
    <t>OXAPES</t>
  </si>
  <si>
    <t>PALARI</t>
  </si>
  <si>
    <t>PAPORI</t>
  </si>
  <si>
    <t>PARHES</t>
  </si>
  <si>
    <t>PASDIL</t>
  </si>
  <si>
    <t>PECPAP</t>
  </si>
  <si>
    <t>PECANI</t>
  </si>
  <si>
    <t>PECHET</t>
  </si>
  <si>
    <t>PECPLA</t>
  </si>
  <si>
    <t>PECREC</t>
  </si>
  <si>
    <t>PECSET</t>
  </si>
  <si>
    <t>CENCIL</t>
  </si>
  <si>
    <t>CENSET</t>
  </si>
  <si>
    <t>PENSUB</t>
  </si>
  <si>
    <t>PEREMO</t>
  </si>
  <si>
    <t>PERLAP</t>
  </si>
  <si>
    <t>PETTHU</t>
  </si>
  <si>
    <t>PETCRI</t>
  </si>
  <si>
    <t>PHAAFF</t>
  </si>
  <si>
    <t>PHACRE</t>
  </si>
  <si>
    <t>PHACRY</t>
  </si>
  <si>
    <t>PHADIS</t>
  </si>
  <si>
    <t>PHARAM</t>
  </si>
  <si>
    <t>PHACAN</t>
  </si>
  <si>
    <t>PHACAR</t>
  </si>
  <si>
    <t>PHAMIN</t>
  </si>
  <si>
    <t>PHOAUR</t>
  </si>
  <si>
    <t>PHOCAL</t>
  </si>
  <si>
    <t>PHYNOD</t>
  </si>
  <si>
    <t>PHYCRA</t>
  </si>
  <si>
    <t>PHYGOR</t>
  </si>
  <si>
    <t>PHYTEN</t>
  </si>
  <si>
    <t>PINCAN</t>
  </si>
  <si>
    <t>PISLEN</t>
  </si>
  <si>
    <t>LATOLE</t>
  </si>
  <si>
    <t>PLAARI</t>
  </si>
  <si>
    <t>PLAPRI</t>
  </si>
  <si>
    <t>PLALAN</t>
  </si>
  <si>
    <t>PLAOVA</t>
  </si>
  <si>
    <t>PLAPAT</t>
  </si>
  <si>
    <t>PLARHO</t>
  </si>
  <si>
    <t>POAANN</t>
  </si>
  <si>
    <t>POABIG</t>
  </si>
  <si>
    <t>POLARG</t>
  </si>
  <si>
    <t>POLAVI</t>
  </si>
  <si>
    <t>POLMON</t>
  </si>
  <si>
    <t>PORGRA</t>
  </si>
  <si>
    <t>PORHAL</t>
  </si>
  <si>
    <t>POROLE</t>
  </si>
  <si>
    <t>NELALB</t>
  </si>
  <si>
    <t>NELCHI</t>
  </si>
  <si>
    <t>NELJUL</t>
  </si>
  <si>
    <t>NELVEL</t>
  </si>
  <si>
    <t>PSECYA</t>
  </si>
  <si>
    <t>PTEDRY</t>
  </si>
  <si>
    <t>QUILOB</t>
  </si>
  <si>
    <t>RAFNEO</t>
  </si>
  <si>
    <t>RANASI</t>
  </si>
  <si>
    <t>Ruellia californica subsp. peninsularis</t>
  </si>
  <si>
    <t>RUESIM</t>
  </si>
  <si>
    <t>RUMCRI</t>
  </si>
  <si>
    <t>RUMDEN</t>
  </si>
  <si>
    <t>RUMHYM</t>
  </si>
  <si>
    <t>SALKAL</t>
  </si>
  <si>
    <t>Salsola kali subsp. tragus</t>
  </si>
  <si>
    <t>SALCOL</t>
  </si>
  <si>
    <t>SALFAR</t>
  </si>
  <si>
    <t>SALGRE</t>
  </si>
  <si>
    <t>SCHARA</t>
  </si>
  <si>
    <t>SCHBAR</t>
  </si>
  <si>
    <t>SEALAN</t>
  </si>
  <si>
    <t>SELARI</t>
  </si>
  <si>
    <t>SENLEM</t>
  </si>
  <si>
    <t>SENVUL</t>
  </si>
  <si>
    <t>SENCOV</t>
  </si>
  <si>
    <t>SETPUM</t>
  </si>
  <si>
    <t>SILANT</t>
  </si>
  <si>
    <t>SILMAR</t>
  </si>
  <si>
    <t>SINARV</t>
  </si>
  <si>
    <t>SISIRI</t>
  </si>
  <si>
    <t>SISORI</t>
  </si>
  <si>
    <t>SOLAET</t>
  </si>
  <si>
    <t>SOLLYC</t>
  </si>
  <si>
    <t>SOLMEL</t>
  </si>
  <si>
    <t>SOLMAG</t>
  </si>
  <si>
    <t>SONASP</t>
  </si>
  <si>
    <t>SONOLE</t>
  </si>
  <si>
    <t>SORBIC</t>
  </si>
  <si>
    <t>SORHAL</t>
  </si>
  <si>
    <t>SPEMAR</t>
  </si>
  <si>
    <t>SPEECH</t>
  </si>
  <si>
    <t>SPHAMB</t>
  </si>
  <si>
    <t>SPHCOU</t>
  </si>
  <si>
    <t>SPHEMO</t>
  </si>
  <si>
    <t>SPHOBT</t>
  </si>
  <si>
    <t>SPIOLE</t>
  </si>
  <si>
    <t>STACOC</t>
  </si>
  <si>
    <t>STEMED</t>
  </si>
  <si>
    <t>STEPAU</t>
  </si>
  <si>
    <t>STYGNA</t>
  </si>
  <si>
    <t>STYMIC</t>
  </si>
  <si>
    <t>TAGERE</t>
  </si>
  <si>
    <t>TAGPAT</t>
  </si>
  <si>
    <t>TAMCHI</t>
  </si>
  <si>
    <t>TAROFF</t>
  </si>
  <si>
    <t>THEGRA</t>
  </si>
  <si>
    <t>THUOCC</t>
  </si>
  <si>
    <t>THYACE</t>
  </si>
  <si>
    <t>THYPEN</t>
  </si>
  <si>
    <t>THYCUR</t>
  </si>
  <si>
    <t>TIDLAN</t>
  </si>
  <si>
    <t>TIQPLI</t>
  </si>
  <si>
    <t>TOMCUN</t>
  </si>
  <si>
    <t>TORNOD</t>
  </si>
  <si>
    <t>TRIPOR</t>
  </si>
  <si>
    <t>TRITER</t>
  </si>
  <si>
    <t>TRIMUT</t>
  </si>
  <si>
    <t>TRIMUC</t>
  </si>
  <si>
    <t>TRIINO</t>
  </si>
  <si>
    <t>TRIAES</t>
  </si>
  <si>
    <t>TROMAJ</t>
  </si>
  <si>
    <t>ULMPAR</t>
  </si>
  <si>
    <t>ULMPUM</t>
  </si>
  <si>
    <t>UROLIN</t>
  </si>
  <si>
    <t>VERRIG</t>
  </si>
  <si>
    <t>VERTEN</t>
  </si>
  <si>
    <t>VERENC</t>
  </si>
  <si>
    <t>VERANA</t>
  </si>
  <si>
    <t>VERARV</t>
  </si>
  <si>
    <t>VERPER</t>
  </si>
  <si>
    <t>COCCAR</t>
  </si>
  <si>
    <t>VINMAJ</t>
  </si>
  <si>
    <t>VITAGN</t>
  </si>
  <si>
    <t>FESMIC</t>
  </si>
  <si>
    <t>FESOCT</t>
  </si>
  <si>
    <t>WISSIN</t>
  </si>
  <si>
    <t>XANSPI</t>
  </si>
  <si>
    <t>Yucca gloriosa var. tristis</t>
  </si>
  <si>
    <t>ZEAMAY</t>
  </si>
  <si>
    <t>ZOYJAP</t>
  </si>
  <si>
    <t>name in original database</t>
  </si>
  <si>
    <t>updated species name</t>
  </si>
  <si>
    <t>Aloe microstigma subsp. microstigma</t>
  </si>
  <si>
    <t>Lysimachia arvensis</t>
  </si>
  <si>
    <t>Ditaxis serrata</t>
  </si>
  <si>
    <t>Artemisia stelleriana</t>
  </si>
  <si>
    <t>ALOMMI</t>
  </si>
  <si>
    <t>ASTCAR</t>
  </si>
  <si>
    <t>AGAPAN</t>
  </si>
  <si>
    <t>AIZOAC</t>
  </si>
  <si>
    <t>ALLIUM</t>
  </si>
  <si>
    <t>AMARAN</t>
  </si>
  <si>
    <t>AMBROS</t>
  </si>
  <si>
    <t>VACHEL</t>
  </si>
  <si>
    <t>AMAEAE</t>
  </si>
  <si>
    <t>AMSINC</t>
  </si>
  <si>
    <t>ANTIRR</t>
  </si>
  <si>
    <t>APIACE</t>
  </si>
  <si>
    <t>ARACEA</t>
  </si>
  <si>
    <t>ARECAC</t>
  </si>
  <si>
    <t>ARGYTH</t>
  </si>
  <si>
    <t>ARISTI</t>
  </si>
  <si>
    <t>ARTEMI</t>
  </si>
  <si>
    <t>ASCLEP</t>
  </si>
  <si>
    <t>SYAGRU</t>
  </si>
  <si>
    <t>ASPARA</t>
  </si>
  <si>
    <t>ASTERA</t>
  </si>
  <si>
    <t>ASTRAG</t>
  </si>
  <si>
    <t>ATRIPL</t>
  </si>
  <si>
    <t>ASTERX</t>
  </si>
  <si>
    <t>AYENIA</t>
  </si>
  <si>
    <t>BAILEY</t>
  </si>
  <si>
    <t>Baccharis salicina</t>
  </si>
  <si>
    <t>BACSAL</t>
  </si>
  <si>
    <t>BOERHA</t>
  </si>
  <si>
    <t>BORAGI</t>
  </si>
  <si>
    <t>BOUTEL</t>
  </si>
  <si>
    <t>BRASSI</t>
  </si>
  <si>
    <t>Boerhavia triquetra var. intermedia</t>
  </si>
  <si>
    <t>BOETIN</t>
  </si>
  <si>
    <t>BRICKE</t>
  </si>
  <si>
    <t>Brachychiton populneus</t>
  </si>
  <si>
    <t>BROMUS</t>
  </si>
  <si>
    <t>BRAEAE</t>
  </si>
  <si>
    <t>BRYOPH</t>
  </si>
  <si>
    <t>CACTAC</t>
  </si>
  <si>
    <t>CALEND</t>
  </si>
  <si>
    <t>CAMISS</t>
  </si>
  <si>
    <t>Erythrostemon gilliesii</t>
  </si>
  <si>
    <t>Eulobus californicus</t>
  </si>
  <si>
    <t>Eremothera chamaenerioides</t>
  </si>
  <si>
    <t>Chylismia claviformis</t>
  </si>
  <si>
    <t>Camissoniopsis confusa</t>
  </si>
  <si>
    <t>Camissoniopsis micrantha</t>
  </si>
  <si>
    <t>CANCRO</t>
  </si>
  <si>
    <t>Canna x generalis [glauca x indica]</t>
  </si>
  <si>
    <t>CANXGE</t>
  </si>
  <si>
    <t>CARPOB</t>
  </si>
  <si>
    <t>CENCHR</t>
  </si>
  <si>
    <t>Streptanthus lasiophyllus</t>
  </si>
  <si>
    <t>STRLAS</t>
  </si>
  <si>
    <t>Streptanthus</t>
  </si>
  <si>
    <t>STREPT</t>
  </si>
  <si>
    <t>CHACAR</t>
  </si>
  <si>
    <t>CHAENA</t>
  </si>
  <si>
    <t>Chamaerops humilis</t>
  </si>
  <si>
    <t>Euphorbia abramsiana</t>
  </si>
  <si>
    <t>Euphorbia albomarginata</t>
  </si>
  <si>
    <t>Euphorbia arizonica</t>
  </si>
  <si>
    <t>Euphorbia hyssopifolia</t>
  </si>
  <si>
    <t>Euphorbia melanadenia</t>
  </si>
  <si>
    <t>Euphorbia micromera</t>
  </si>
  <si>
    <t>Euphorbia serrula</t>
  </si>
  <si>
    <t>Myriopteris parryi</t>
  </si>
  <si>
    <t>MYRPAR</t>
  </si>
  <si>
    <t>CHEEAE</t>
  </si>
  <si>
    <t>CHENOP</t>
  </si>
  <si>
    <t>CHRYSA</t>
  </si>
  <si>
    <t>CIRSIU</t>
  </si>
  <si>
    <t>CONVOL</t>
  </si>
  <si>
    <t>EUPHOR</t>
  </si>
  <si>
    <t>COREOP</t>
  </si>
  <si>
    <t>COSMOS</t>
  </si>
  <si>
    <t>Claytonia perfoliata subsp. mexicana</t>
  </si>
  <si>
    <t>CLAPME</t>
  </si>
  <si>
    <t>Cleomella jonesii </t>
  </si>
  <si>
    <t>CLEJON</t>
  </si>
  <si>
    <t>Delphinium ajacis</t>
  </si>
  <si>
    <t>CONSMA</t>
  </si>
  <si>
    <t>Erigeron</t>
  </si>
  <si>
    <t>ERIGER</t>
  </si>
  <si>
    <t>CRYPTA</t>
  </si>
  <si>
    <t>Crassula perforata</t>
  </si>
  <si>
    <t>Cressa truxillensis</t>
  </si>
  <si>
    <t>Johnstonella angustifolia</t>
  </si>
  <si>
    <t>CUCURB</t>
  </si>
  <si>
    <t>CUSCUT</t>
  </si>
  <si>
    <t>CYNODO</t>
  </si>
  <si>
    <t>Eremocarya micrantha</t>
  </si>
  <si>
    <t>CYPERU</t>
  </si>
  <si>
    <t>CYPEAE</t>
  </si>
  <si>
    <t>DELPHI</t>
  </si>
  <si>
    <t>DALEAX</t>
  </si>
  <si>
    <t>Munroa pulchella</t>
  </si>
  <si>
    <t>DESCUR</t>
  </si>
  <si>
    <t>DIANTH</t>
  </si>
  <si>
    <t>DICHON</t>
  </si>
  <si>
    <t>DIMORP</t>
  </si>
  <si>
    <t>Dichelostemma congestum</t>
  </si>
  <si>
    <t>DUDLEY</t>
  </si>
  <si>
    <t>Abdra brachycarpa</t>
  </si>
  <si>
    <t>ERIAST</t>
  </si>
  <si>
    <t>Ferocactus emoryi</t>
  </si>
  <si>
    <t>ERIOGO</t>
  </si>
  <si>
    <t>Lachnophyllum noeanum</t>
  </si>
  <si>
    <t>ERIOPH</t>
  </si>
  <si>
    <t>ERODIU</t>
  </si>
  <si>
    <t>ESCHSC</t>
  </si>
  <si>
    <t>EUCRYP</t>
  </si>
  <si>
    <t>FABACE</t>
  </si>
  <si>
    <t>FILAGO</t>
  </si>
  <si>
    <t>FOUQUI</t>
  </si>
  <si>
    <t>Euphorbia chamaesyce</t>
  </si>
  <si>
    <t>EUPEAE</t>
  </si>
  <si>
    <t>GALIUM</t>
  </si>
  <si>
    <t>Diaperia verna</t>
  </si>
  <si>
    <t>GAZANI</t>
  </si>
  <si>
    <t>GERANI</t>
  </si>
  <si>
    <t>GNAPHA</t>
  </si>
  <si>
    <t>FRAGRA</t>
  </si>
  <si>
    <t>GILIAX</t>
  </si>
  <si>
    <t>Verbena tenera</t>
  </si>
  <si>
    <t>VERBEN</t>
  </si>
  <si>
    <t>HELIAN</t>
  </si>
  <si>
    <t>HIBISC</t>
  </si>
  <si>
    <t>Hedypnois rhagadioloides</t>
  </si>
  <si>
    <t>Helianthus annuus 'Sungold'</t>
  </si>
  <si>
    <t>HILARI</t>
  </si>
  <si>
    <t>HOFFMA</t>
  </si>
  <si>
    <t>HELASU</t>
  </si>
  <si>
    <t>HELLAN</t>
  </si>
  <si>
    <t>Thespesia grandiflora</t>
  </si>
  <si>
    <t>HORDEU</t>
  </si>
  <si>
    <t>HYDROP</t>
  </si>
  <si>
    <t>HYMENO</t>
  </si>
  <si>
    <t>IPOMOE</t>
  </si>
  <si>
    <t>JACARA</t>
  </si>
  <si>
    <t>JANUSI</t>
  </si>
  <si>
    <t>KALANC</t>
  </si>
  <si>
    <t>LACTUC</t>
  </si>
  <si>
    <t>Hordeum murinum subsp. glaucum</t>
  </si>
  <si>
    <t>HORMGL</t>
  </si>
  <si>
    <t>Condea emoryi</t>
  </si>
  <si>
    <t>IPOXLE</t>
  </si>
  <si>
    <t>IRISXX</t>
  </si>
  <si>
    <t>LAMIAC</t>
  </si>
  <si>
    <t>Cottsia gracilis</t>
  </si>
  <si>
    <t>PODMMA</t>
  </si>
  <si>
    <t>LANTAN</t>
  </si>
  <si>
    <t>LASTHE</t>
  </si>
  <si>
    <t>LAVAND</t>
  </si>
  <si>
    <t>LEPIDI</t>
  </si>
  <si>
    <t>LEPTOC</t>
  </si>
  <si>
    <t>LASCCA</t>
  </si>
  <si>
    <t>LEPVME</t>
  </si>
  <si>
    <t>Disakisperma dubium</t>
  </si>
  <si>
    <t>DIPFUN</t>
  </si>
  <si>
    <t>LEUCOP</t>
  </si>
  <si>
    <t>LILIAC</t>
  </si>
  <si>
    <t>LINANT</t>
  </si>
  <si>
    <t>Physaria gordonii</t>
  </si>
  <si>
    <t>Physaria</t>
  </si>
  <si>
    <t>PHYSAR</t>
  </si>
  <si>
    <t>Mauranthemum paludosum</t>
  </si>
  <si>
    <t>LOLIUM</t>
  </si>
  <si>
    <t>LINUMX</t>
  </si>
  <si>
    <t>Lobularia maritima 'Snow Crystals'</t>
  </si>
  <si>
    <t>LOBMSN</t>
  </si>
  <si>
    <t>LYCIUM</t>
  </si>
  <si>
    <t>Acmispon brachycarpus</t>
  </si>
  <si>
    <t>Acmispon maritimus</t>
  </si>
  <si>
    <t>Acmispon strigosus</t>
  </si>
  <si>
    <t>Acmispon intricatus</t>
  </si>
  <si>
    <t>Acmispon</t>
  </si>
  <si>
    <t>ACMISP</t>
  </si>
  <si>
    <t>LUPINU</t>
  </si>
  <si>
    <t>MACHAE</t>
  </si>
  <si>
    <t>MALVAC</t>
  </si>
  <si>
    <t>MATRIC</t>
  </si>
  <si>
    <t>MATTHI</t>
  </si>
  <si>
    <t>MEDICA</t>
  </si>
  <si>
    <t>MELILO</t>
  </si>
  <si>
    <t>MALVAX</t>
  </si>
  <si>
    <t>Guettarda odorata</t>
  </si>
  <si>
    <t>MENTZE</t>
  </si>
  <si>
    <t>MINUAR</t>
  </si>
  <si>
    <t>MIRABI</t>
  </si>
  <si>
    <t>MONOCO</t>
  </si>
  <si>
    <t>MONOLE</t>
  </si>
  <si>
    <t>MUHLEN</t>
  </si>
  <si>
    <t>MIRLVI</t>
  </si>
  <si>
    <t>NEPTUN</t>
  </si>
  <si>
    <t>NYCTAG</t>
  </si>
  <si>
    <t>NYMPHA</t>
  </si>
  <si>
    <t>Myrtus communis 'Boetica'</t>
  </si>
  <si>
    <t>MYRCBO</t>
  </si>
  <si>
    <t>Nama demissa</t>
  </si>
  <si>
    <t>Nama hispida</t>
  </si>
  <si>
    <t>Nemacladus orientalis</t>
  </si>
  <si>
    <t>NEMORI</t>
  </si>
  <si>
    <t>OENOTH</t>
  </si>
  <si>
    <t>ONAGRA</t>
  </si>
  <si>
    <t>ORIGAN</t>
  </si>
  <si>
    <t>OXALIS</t>
  </si>
  <si>
    <t>PAPAVE</t>
  </si>
  <si>
    <t>PARKIN</t>
  </si>
  <si>
    <t>PASSIF</t>
  </si>
  <si>
    <t>PECTOC</t>
  </si>
  <si>
    <t>PELARG</t>
  </si>
  <si>
    <t>PENSTE</t>
  </si>
  <si>
    <t>PECCYL</t>
  </si>
  <si>
    <t>Pectocarya anisocarpa</t>
  </si>
  <si>
    <t>PETROS</t>
  </si>
  <si>
    <t>PETUNI</t>
  </si>
  <si>
    <t>PHACEL</t>
  </si>
  <si>
    <t>Pelargonium x hortorum [inquinans × zonale]</t>
  </si>
  <si>
    <t>PELXHO</t>
  </si>
  <si>
    <t>Cenchrus setaceus</t>
  </si>
  <si>
    <t>Cenchrus</t>
  </si>
  <si>
    <t>PHALAR</t>
  </si>
  <si>
    <t>PETXAT</t>
  </si>
  <si>
    <t>PHYSAL</t>
  </si>
  <si>
    <t>PHACAM</t>
  </si>
  <si>
    <t>PITTOS</t>
  </si>
  <si>
    <t>PLANTA</t>
  </si>
  <si>
    <t>PHOXFR</t>
  </si>
  <si>
    <t>Physalis angulata</t>
  </si>
  <si>
    <t>PHYANG</t>
  </si>
  <si>
    <t>Lathyrus oleraceus</t>
  </si>
  <si>
    <t>POACEA</t>
  </si>
  <si>
    <t>POLEMO</t>
  </si>
  <si>
    <t>POLYGO</t>
  </si>
  <si>
    <t>POROPH</t>
  </si>
  <si>
    <t>PLAAGO</t>
  </si>
  <si>
    <t>POAXXX</t>
  </si>
  <si>
    <t>PSEUDO</t>
  </si>
  <si>
    <t>PTERID</t>
  </si>
  <si>
    <t>PUNICA</t>
  </si>
  <si>
    <t>Neltuma alba</t>
  </si>
  <si>
    <t>Neltuma chilensis</t>
  </si>
  <si>
    <t>Neltuma juliflora</t>
  </si>
  <si>
    <t>Neltuma velutina</t>
  </si>
  <si>
    <t>RANUNC</t>
  </si>
  <si>
    <t>Searsia lancea</t>
  </si>
  <si>
    <t>SALVIA</t>
  </si>
  <si>
    <t>Ruellia simplex</t>
  </si>
  <si>
    <t>RUECPE</t>
  </si>
  <si>
    <t>RUMEXX</t>
  </si>
  <si>
    <t>SALSOL</t>
  </si>
  <si>
    <t>SANSEV</t>
  </si>
  <si>
    <t>SCHISM</t>
  </si>
  <si>
    <t>SELAGI</t>
  </si>
  <si>
    <t>SENECI</t>
  </si>
  <si>
    <t>SALKTR</t>
  </si>
  <si>
    <t>SETARI</t>
  </si>
  <si>
    <t>Cynanchum</t>
  </si>
  <si>
    <t>CYNANC</t>
  </si>
  <si>
    <t>SISYMB</t>
  </si>
  <si>
    <t>Senna artemisioides subsp. artemisioides</t>
  </si>
  <si>
    <t>SENAAR</t>
  </si>
  <si>
    <t>Senna artemisioides subsp. filifolia</t>
  </si>
  <si>
    <t>SENAFI</t>
  </si>
  <si>
    <t>SOLANU</t>
  </si>
  <si>
    <t>SONCHU</t>
  </si>
  <si>
    <t>SORGHU</t>
  </si>
  <si>
    <t>SPHAER</t>
  </si>
  <si>
    <t>Solanum aethiopicum</t>
  </si>
  <si>
    <t>Solanum maglia</t>
  </si>
  <si>
    <t>SPOROB</t>
  </si>
  <si>
    <t>STELLA</t>
  </si>
  <si>
    <t>STEPHA</t>
  </si>
  <si>
    <t>STYLOC</t>
  </si>
  <si>
    <t>TAGETE</t>
  </si>
  <si>
    <t>TARAXA</t>
  </si>
  <si>
    <t>TRAGOP</t>
  </si>
  <si>
    <t>UNKNOW</t>
  </si>
  <si>
    <t>VERONI</t>
  </si>
  <si>
    <t>Triodanis perfoliata subsp. perfoliata</t>
  </si>
  <si>
    <t>TRIPPE</t>
  </si>
  <si>
    <t>Tripleurospermum inodorum</t>
  </si>
  <si>
    <t>TYPHAX</t>
  </si>
  <si>
    <t>VINCAX</t>
  </si>
  <si>
    <t>VIOLAX</t>
  </si>
  <si>
    <t>VITEXX</t>
  </si>
  <si>
    <t>Unknown</t>
  </si>
  <si>
    <t>WASHIN</t>
  </si>
  <si>
    <t>ZIZIPH</t>
  </si>
  <si>
    <t>Cochliasanthus caracalla</t>
  </si>
  <si>
    <t>Bahiopsis parishii</t>
  </si>
  <si>
    <t>BAHPAR</t>
  </si>
  <si>
    <t>Festuca microstachys</t>
  </si>
  <si>
    <t>Festuca octoflora</t>
  </si>
  <si>
    <t>WASFRO</t>
  </si>
  <si>
    <t>YUCGTR</t>
  </si>
  <si>
    <t>DITLAN</t>
  </si>
  <si>
    <t>detailed_classes</t>
  </si>
  <si>
    <t>broad_classes</t>
  </si>
  <si>
    <t>specific_classes</t>
  </si>
  <si>
    <t>urban</t>
  </si>
  <si>
    <t>clay</t>
  </si>
  <si>
    <t>sand</t>
  </si>
  <si>
    <t>silt</t>
  </si>
  <si>
    <t>ammonT</t>
  </si>
  <si>
    <t>ammonB</t>
  </si>
  <si>
    <t>nitrT</t>
  </si>
  <si>
    <t>nitrB</t>
  </si>
  <si>
    <t>phosT</t>
  </si>
  <si>
    <t>phosB</t>
  </si>
  <si>
    <t>tcarbT</t>
  </si>
  <si>
    <t>tcarbB</t>
  </si>
  <si>
    <t>icarbT</t>
  </si>
  <si>
    <t>icarbB</t>
  </si>
  <si>
    <t>ocarbT</t>
  </si>
  <si>
    <t>ocarbB</t>
  </si>
  <si>
    <t>somB</t>
  </si>
  <si>
    <t>somT</t>
  </si>
  <si>
    <t>pH</t>
  </si>
  <si>
    <t>conduct</t>
  </si>
  <si>
    <t>swcT</t>
  </si>
  <si>
    <t>swcB</t>
  </si>
  <si>
    <t>BnitT</t>
  </si>
  <si>
    <t>TnitT</t>
  </si>
  <si>
    <t>bulkdens</t>
  </si>
  <si>
    <t>cnT</t>
  </si>
  <si>
    <t>cnB</t>
  </si>
  <si>
    <t>lu1912</t>
  </si>
  <si>
    <t>lu1912Broad</t>
  </si>
  <si>
    <t>lu1934</t>
  </si>
  <si>
    <t>lu1934Broad</t>
  </si>
  <si>
    <t>lu1955</t>
  </si>
  <si>
    <t>lu1955Broad</t>
  </si>
  <si>
    <t>lu1970level1</t>
  </si>
  <si>
    <t>lu1970level2</t>
  </si>
  <si>
    <t>lu1970Broad</t>
  </si>
  <si>
    <t>lu1975</t>
  </si>
  <si>
    <t>lu1975Broad</t>
  </si>
  <si>
    <t>lu1980level1</t>
  </si>
  <si>
    <t>lu1980level2</t>
  </si>
  <si>
    <t>lu1980Broad</t>
  </si>
  <si>
    <t>lu1990level1</t>
  </si>
  <si>
    <t>lu1990level2</t>
  </si>
  <si>
    <t>lu1990Broad</t>
  </si>
  <si>
    <t>lu1995</t>
  </si>
  <si>
    <t>lu1995level1</t>
  </si>
  <si>
    <t>lu1995level2</t>
  </si>
  <si>
    <t>lu1995Broad</t>
  </si>
  <si>
    <t>lu2000level1</t>
  </si>
  <si>
    <t>lu2000level2</t>
  </si>
  <si>
    <t>yearsSinceLstChng2</t>
  </si>
  <si>
    <t>yearsSinceLstChng</t>
  </si>
  <si>
    <t>Desert</t>
  </si>
  <si>
    <t>Open</t>
  </si>
  <si>
    <t>Forest</t>
  </si>
  <si>
    <t>NA</t>
  </si>
  <si>
    <t>Never</t>
  </si>
  <si>
    <t>Commercial/Industrial</t>
  </si>
  <si>
    <t>Urban</t>
  </si>
  <si>
    <t>Commercial</t>
  </si>
  <si>
    <t>Agriculture</t>
  </si>
  <si>
    <t>AgriculturalLand</t>
  </si>
  <si>
    <t>Agricultural</t>
  </si>
  <si>
    <t>FallowCropland</t>
  </si>
  <si>
    <t>Residential</t>
  </si>
  <si>
    <t>MediumLot(&gt;2and&lt;=5dwellingunitsperacre)</t>
  </si>
  <si>
    <t>1to20</t>
  </si>
  <si>
    <t>21to40</t>
  </si>
  <si>
    <t>Residentialmesic</t>
  </si>
  <si>
    <t>Vacant</t>
  </si>
  <si>
    <t>61to80</t>
  </si>
  <si>
    <t>81to100</t>
  </si>
  <si>
    <t>Transportation</t>
  </si>
  <si>
    <t>Canals</t>
  </si>
  <si>
    <t>Water</t>
  </si>
  <si>
    <t>Streams,Rivers,Cals</t>
  </si>
  <si>
    <t>Lakes</t>
  </si>
  <si>
    <t>Streams,Rivers,Canals</t>
  </si>
  <si>
    <t>OtherAgricultural</t>
  </si>
  <si>
    <t>ResidentialAgricultural</t>
  </si>
  <si>
    <t>FeedingOperations</t>
  </si>
  <si>
    <t>SmallLot(&gt;5and&lt;=15dwellingunitsperacre)</t>
  </si>
  <si>
    <t>Residentialxeric</t>
  </si>
  <si>
    <t>ActiveCropland</t>
  </si>
  <si>
    <t>Recreation</t>
  </si>
  <si>
    <t>Notsince1912</t>
  </si>
  <si>
    <t>Residentialoasis</t>
  </si>
  <si>
    <t>41to60</t>
  </si>
  <si>
    <t>FallowAgricultural</t>
  </si>
  <si>
    <t>101to120</t>
  </si>
  <si>
    <t>Industrial</t>
  </si>
  <si>
    <t>Industrial(landfill,utilitypowerstations,et</t>
  </si>
  <si>
    <t>Graded,UnderConstruction</t>
  </si>
  <si>
    <t>LargeLot(&gt;1and&lt;=2dwellingunitsperacre)</t>
  </si>
  <si>
    <t>Construction</t>
  </si>
  <si>
    <t>GradedConstruction</t>
  </si>
  <si>
    <t>ActiveAgricultural</t>
  </si>
  <si>
    <t>Commercial(malls,officebuildings,etc.)</t>
  </si>
  <si>
    <t>MajorRoads</t>
  </si>
  <si>
    <t>GolfCourse/park</t>
  </si>
  <si>
    <t>GolfCourse</t>
  </si>
  <si>
    <t>GolfCourse/Park</t>
  </si>
  <si>
    <t>ActivePasture</t>
  </si>
  <si>
    <t>agriculturalLand</t>
  </si>
  <si>
    <t>Rural(&lt;=1dwellingunitperacre)</t>
  </si>
  <si>
    <t>Streets</t>
  </si>
  <si>
    <t>RiparianZone</t>
  </si>
  <si>
    <t>Inf</t>
  </si>
  <si>
    <t>FallowOrchards</t>
  </si>
  <si>
    <t>FallowPasture</t>
  </si>
  <si>
    <t>desert</t>
  </si>
  <si>
    <t>Orchards</t>
  </si>
  <si>
    <t>Highway</t>
  </si>
  <si>
    <t>Institutional</t>
  </si>
  <si>
    <t>Institutional(schools,churches,publicfacilit</t>
  </si>
  <si>
    <t>Parks</t>
  </si>
  <si>
    <t>LargeAssemblyAreas(includesstadiumsandfair</t>
  </si>
  <si>
    <t>HighDensity(&gt;15dwellingunitsperacre)</t>
  </si>
  <si>
    <t>latitude</t>
  </si>
  <si>
    <t>longitude</t>
  </si>
  <si>
    <t>elevation</t>
  </si>
  <si>
    <t>species_richness</t>
  </si>
  <si>
    <t>Column header</t>
  </si>
  <si>
    <t>Definition</t>
  </si>
  <si>
    <t>Code assigned to each individual sampling site.</t>
  </si>
  <si>
    <t>Date at which the soil &amp; plant assessments were conducted</t>
  </si>
  <si>
    <t>Latitude of the individual sampling site</t>
  </si>
  <si>
    <t>Longitude of the individual sampling site</t>
  </si>
  <si>
    <t>Elevation of the individual sampling site</t>
  </si>
  <si>
    <t>Land use classification at a broad scale: Desert, Urban, Residential, Agricultural, Vacant, Transportation, and GolfCourse/Park (ie turf grass)</t>
  </si>
  <si>
    <t>Land use classification at a moderate level of specificity, subdividing the Broad Class categories of Urban, Residential, and Agriculture</t>
  </si>
  <si>
    <t xml:space="preserve"> </t>
  </si>
  <si>
    <t>Land use classification at the most specific level, subdividing the categories of Active Agriculture, Commercial/Industrial, FallowAgriculture, GolfCourse/Park, Transportation compared to the Detailed Classes.</t>
  </si>
  <si>
    <t>The simplest of the land use classifications: urban (1) or not (0)?</t>
  </si>
  <si>
    <t>% clay content of soil (where clay+sand+silt = 100% total)</t>
  </si>
  <si>
    <t>% sand content of soil (where clay+sand+silt = 100% total)</t>
  </si>
  <si>
    <t>% silt content of soil (where clay+sand+silt = 100% total)</t>
  </si>
  <si>
    <t>Concentration of ammonium in the top layer of soil</t>
  </si>
  <si>
    <t>Concentration of ammonium in the bottom layer of soil</t>
  </si>
  <si>
    <t>Concentration of nitrite+nitrate in the top layer of soil</t>
  </si>
  <si>
    <t>Concentration of nitrite+nitrate in the bottom layer of soil</t>
  </si>
  <si>
    <t>Concentration of phosphate in the top layer of soil</t>
  </si>
  <si>
    <t>Concentration of phosphate in the bottom layer of soil</t>
  </si>
  <si>
    <t>Inorganic carbon in the top layer of soil</t>
  </si>
  <si>
    <t>Inorganic carbon in the bottom layer of soil</t>
  </si>
  <si>
    <t>Total carbon in the top layer of soil (where total = inorganic + organic carbon)</t>
  </si>
  <si>
    <t>Total carbon in the bottom layer of soil (where total = inorganic + organic carbon)</t>
  </si>
  <si>
    <t>Organic carbon in the top layer of soil</t>
  </si>
  <si>
    <t>Organic carbon in the bottom layer of soil</t>
  </si>
  <si>
    <t>Soil organic matter in the top layer of soil</t>
  </si>
  <si>
    <t>Soil organic matter in the bottom layer of soil</t>
  </si>
  <si>
    <t>pH of the soil solution</t>
  </si>
  <si>
    <t>Electrical conductivity of the soil solution</t>
  </si>
  <si>
    <t>Soil water content of the top layer of soil</t>
  </si>
  <si>
    <t>Soil water content of the bottom layer of soil</t>
  </si>
  <si>
    <t>Total nitrogen in the top layer of soil</t>
  </si>
  <si>
    <t>Total nitrogen in the bottom layer of soil</t>
  </si>
  <si>
    <t>Bulk density of the entire soil core</t>
  </si>
  <si>
    <t>C:N ratio of the top layer of soil (where C:N = total carbon/total nitrogen)</t>
  </si>
  <si>
    <t>C:N ratio of the bottom layer of soil (where C:N = total carbon/total nitrogen)</t>
  </si>
  <si>
    <t>Land use of the site in 1912 in three categories: desert, agriculture, or urban</t>
  </si>
  <si>
    <t>Land use of the site in 1934 in four categories: desert, agriculture, recreation, or urban</t>
  </si>
  <si>
    <t>Land use of the site in 1955 in four categories: desert, agriculture, recreation, or urban</t>
  </si>
  <si>
    <t>Land use of the site in 1975 in four categories: desert, agriculture, recreation, or urban</t>
  </si>
  <si>
    <t>Land use of the site in 1955, but using the language of the Broad_Classes categorization</t>
  </si>
  <si>
    <t>Land use of the site in 1912, but using the language of the Broad_Classes categorization</t>
  </si>
  <si>
    <t>Land use of the site in 1970, but using the language of the Broad_Classes categorization</t>
  </si>
  <si>
    <t>Land use of the site in 1975, but using the language of the Broad_Classes categorization</t>
  </si>
  <si>
    <t>Land use of the site in 1980, but using the language of the Broad_Classes categorization</t>
  </si>
  <si>
    <t>Land use of the site in 1990, but using the language of the Broad_Classes categorization</t>
  </si>
  <si>
    <t>Land use of the site in 1934, but using the language of the Broad_Classes categorization</t>
  </si>
  <si>
    <t>Land use of the site in 1995 in four categories: desert, agriculture, recreation, or urban</t>
  </si>
  <si>
    <t>Land use of the site in 1995, but using the language of the Broad_Classes categorization</t>
  </si>
  <si>
    <t>Number of years since the last land-use change</t>
  </si>
  <si>
    <t>Binned categories of number of years since the last land-use change: Never, or in 20 year bins (1-20, 21-40, 41-60, etc.)</t>
  </si>
  <si>
    <t>%</t>
  </si>
  <si>
    <t>mS/cm</t>
  </si>
  <si>
    <t>% g/g</t>
  </si>
  <si>
    <t>ug/cm^3</t>
  </si>
  <si>
    <t>Unit</t>
  </si>
  <si>
    <t>decimal degrees</t>
  </si>
  <si>
    <t>m</t>
  </si>
  <si>
    <t>g/cm^3</t>
  </si>
  <si>
    <t>Land use of the site in 1970 in the "Level 1" terminology used by Maricopa Association of Governments Landuse Codes</t>
  </si>
  <si>
    <t>Land use of the site in 1970 in the "Level 2" terminology used by Maricopa Association of Governments Landuse Codes</t>
  </si>
  <si>
    <t>Land use of the site in 1980 in the "Level 1" terminology used by Maricopa Association of Governments Landuse Codes</t>
  </si>
  <si>
    <t>Land use of the site in 1980 in the "Level 2" terminology used by Maricopa Association of Governments Landuse Codes</t>
  </si>
  <si>
    <t>Land use of the site in 1990 in the "Level 1" terminology used by Maricopa Association of Governments Landuse Codes</t>
  </si>
  <si>
    <t>Land use of the site in 1990 in the "Level 2" terminology used by Maricopa Association of Governments Landuse Codes</t>
  </si>
  <si>
    <t>Land use of the site in 1995 in the "Level 1" terminology used by Maricopa Association of Governments Landuse Codes</t>
  </si>
  <si>
    <t>Land use of the site in 1995 in the "Level 2" terminology used by Maricopa Association of Governments Landuse Codes</t>
  </si>
  <si>
    <t>Land use of the site in 2000 in the "Level 1" terminology used by Maricopa Association of Governments Landuse Codes</t>
  </si>
  <si>
    <t>Land use of the site in 2000 in the "Level 2" terminology used by Maricopa Association of Governments Landuse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</si>
</sst>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3" fillId="0" borderId="0" xfId="0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16" fontId="0" fillId="0" borderId="0" xfId="0" applyNumberFormat="1"/>
    <xf numFmtId="0" fontId="0" fillId="0" borderId="0" xfId="0" applyAlignment="1">
      <alignment horizontal="right"/>
    </xf>
    <xf numFmtId="16" fontId="3" fillId="0" borderId="0" xfId="0" applyNumberFormat="1" applyFont="1"/>
    <xf numFmtId="0" fontId="0" fillId="2" borderId="0" xfId="0" applyFill="1"/>
    <xf numFmtId="1" fontId="0" fillId="0" borderId="0" xfId="0" applyNumberForma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E1FF"/>
      <color rgb="FFFFCCCC"/>
      <color rgb="FFDDEBF7"/>
      <color rgb="FFE2EFDA"/>
      <color rgb="FFFCE4D6"/>
      <color rgb="FFE8D1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18"/>
  <sheetViews>
    <sheetView tabSelected="1" zoomScale="113" zoomScaleNormal="100" workbookViewId="0">
      <pane xSplit="2" ySplit="1" topLeftCell="C50" activePane="bottomRight" state="frozenSplit"/>
      <selection pane="topRight" activeCell="C1" sqref="C1"/>
      <selection pane="bottomLeft" activeCell="A2" sqref="A2"/>
      <selection pane="bottomRight" activeCell="A72" sqref="A72"/>
    </sheetView>
  </sheetViews>
  <sheetFormatPr baseColWidth="10" defaultColWidth="8.83203125" defaultRowHeight="15" x14ac:dyDescent="0.2"/>
  <cols>
    <col min="1" max="1" width="8.83203125" style="1" bestFit="1"/>
    <col min="2" max="2" width="11.5" style="13" bestFit="1" customWidth="1"/>
    <col min="3" max="3" width="9.5" style="7" customWidth="1"/>
    <col min="4" max="4" width="11.1640625" style="7" customWidth="1"/>
    <col min="5" max="5" width="10.5" style="18" customWidth="1"/>
    <col min="6" max="6" width="16.5" style="13" customWidth="1"/>
    <col min="7" max="7" width="22.1640625" customWidth="1"/>
    <col min="8" max="8" width="22.5" style="13" customWidth="1"/>
    <col min="9" max="9" width="5.6640625" style="13" customWidth="1"/>
    <col min="10" max="18" width="13.33203125" style="13" customWidth="1"/>
    <col min="19" max="22" width="6.5" style="13" customWidth="1"/>
    <col min="23" max="23" width="6.6640625" style="13" customWidth="1"/>
    <col min="24" max="24" width="6.83203125" style="13" customWidth="1"/>
    <col min="25" max="26" width="13.33203125" style="13" customWidth="1"/>
    <col min="27" max="27" width="5.5" style="13" customWidth="1"/>
    <col min="28" max="28" width="7.6640625" style="13" customWidth="1"/>
    <col min="29" max="30" width="13.33203125" style="13" customWidth="1"/>
    <col min="31" max="32" width="6.5" style="13" customWidth="1"/>
    <col min="33" max="35" width="13.33203125" style="13" customWidth="1"/>
    <col min="36" max="36" width="9.83203125" style="13" customWidth="1"/>
    <col min="37" max="37" width="14.1640625" style="13" customWidth="1"/>
    <col min="38" max="38" width="9.83203125" style="13" customWidth="1"/>
    <col min="39" max="39" width="14.1640625" style="13" customWidth="1"/>
    <col min="40" max="40" width="9.83203125" style="13" customWidth="1"/>
    <col min="41" max="41" width="14.1640625" style="13" customWidth="1"/>
    <col min="42" max="42" width="11.1640625" style="13" customWidth="1"/>
    <col min="43" max="43" width="36.5" style="13" customWidth="1"/>
    <col min="44" max="44" width="14.1640625" style="13" customWidth="1"/>
    <col min="45" max="45" width="9.83203125" style="13" customWidth="1"/>
    <col min="46" max="46" width="14.1640625" style="13" customWidth="1"/>
    <col min="47" max="47" width="11.1640625" style="13" customWidth="1"/>
    <col min="48" max="48" width="18.83203125" style="13" customWidth="1"/>
    <col min="49" max="49" width="14.1640625" style="13" customWidth="1"/>
    <col min="50" max="50" width="11.1640625" style="13" customWidth="1"/>
    <col min="51" max="51" width="36.83203125" style="13" customWidth="1"/>
    <col min="52" max="52" width="14.1640625" style="13" customWidth="1"/>
    <col min="53" max="53" width="9.83203125" style="13" customWidth="1"/>
    <col min="54" max="54" width="11.1640625" style="13" customWidth="1"/>
    <col min="55" max="55" width="36.83203125" style="13" customWidth="1"/>
    <col min="56" max="56" width="13.1640625" style="13" customWidth="1"/>
    <col min="57" max="57" width="11.1640625" style="13" customWidth="1"/>
    <col min="58" max="58" width="36.83203125" style="13" customWidth="1"/>
    <col min="59" max="59" width="17" style="13" customWidth="1"/>
    <col min="60" max="60" width="16" style="13" customWidth="1"/>
    <col min="61" max="61" width="7.1640625" customWidth="1"/>
    <col min="62" max="62" width="14.5" customWidth="1"/>
  </cols>
  <sheetData>
    <row r="1" spans="1:62" x14ac:dyDescent="0.2">
      <c r="A1" s="1" t="s">
        <v>1</v>
      </c>
      <c r="B1" s="2" t="s">
        <v>0</v>
      </c>
      <c r="C1" s="3" t="s">
        <v>1760</v>
      </c>
      <c r="D1" s="3" t="s">
        <v>1761</v>
      </c>
      <c r="E1" s="16" t="s">
        <v>1762</v>
      </c>
      <c r="F1" s="2" t="s">
        <v>1640</v>
      </c>
      <c r="G1" t="s">
        <v>1639</v>
      </c>
      <c r="H1" s="2" t="s">
        <v>1641</v>
      </c>
      <c r="I1" s="2" t="s">
        <v>1642</v>
      </c>
      <c r="J1" s="2" t="s">
        <v>1643</v>
      </c>
      <c r="K1" s="2" t="s">
        <v>1644</v>
      </c>
      <c r="L1" s="2" t="s">
        <v>1645</v>
      </c>
      <c r="M1" s="2" t="s">
        <v>1646</v>
      </c>
      <c r="N1" s="2" t="s">
        <v>1647</v>
      </c>
      <c r="O1" s="2" t="s">
        <v>1648</v>
      </c>
      <c r="P1" s="2" t="s">
        <v>1649</v>
      </c>
      <c r="Q1" s="2" t="s">
        <v>1650</v>
      </c>
      <c r="R1" s="2" t="s">
        <v>1651</v>
      </c>
      <c r="S1" s="2" t="s">
        <v>1652</v>
      </c>
      <c r="T1" s="2" t="s">
        <v>1653</v>
      </c>
      <c r="U1" s="2" t="s">
        <v>1654</v>
      </c>
      <c r="V1" s="2" t="s">
        <v>1655</v>
      </c>
      <c r="W1" s="2" t="s">
        <v>1656</v>
      </c>
      <c r="X1" s="2" t="s">
        <v>1657</v>
      </c>
      <c r="Y1" s="2" t="s">
        <v>1659</v>
      </c>
      <c r="Z1" s="2" t="s">
        <v>1658</v>
      </c>
      <c r="AA1" s="2" t="s">
        <v>1660</v>
      </c>
      <c r="AB1" s="2" t="s">
        <v>1661</v>
      </c>
      <c r="AC1" s="2" t="s">
        <v>1662</v>
      </c>
      <c r="AD1" s="2" t="s">
        <v>1663</v>
      </c>
      <c r="AE1" s="2" t="s">
        <v>1665</v>
      </c>
      <c r="AF1" s="2" t="s">
        <v>1664</v>
      </c>
      <c r="AG1" s="2" t="s">
        <v>1666</v>
      </c>
      <c r="AH1" s="2" t="s">
        <v>1667</v>
      </c>
      <c r="AI1" s="2" t="s">
        <v>1668</v>
      </c>
      <c r="AJ1" t="s">
        <v>1669</v>
      </c>
      <c r="AK1" t="s">
        <v>1670</v>
      </c>
      <c r="AL1" s="2" t="s">
        <v>1671</v>
      </c>
      <c r="AM1" s="2" t="s">
        <v>1672</v>
      </c>
      <c r="AN1" s="2" t="s">
        <v>1673</v>
      </c>
      <c r="AO1" s="2" t="s">
        <v>1674</v>
      </c>
      <c r="AP1" t="s">
        <v>1675</v>
      </c>
      <c r="AQ1" t="s">
        <v>1676</v>
      </c>
      <c r="AR1" t="s">
        <v>1677</v>
      </c>
      <c r="AS1" t="s">
        <v>1678</v>
      </c>
      <c r="AT1" t="s">
        <v>1679</v>
      </c>
      <c r="AU1" t="s">
        <v>1680</v>
      </c>
      <c r="AV1" t="s">
        <v>1681</v>
      </c>
      <c r="AW1" t="s">
        <v>1682</v>
      </c>
      <c r="AX1" t="s">
        <v>1683</v>
      </c>
      <c r="AY1" t="s">
        <v>1684</v>
      </c>
      <c r="AZ1" t="s">
        <v>1685</v>
      </c>
      <c r="BA1" t="s">
        <v>1686</v>
      </c>
      <c r="BB1" t="s">
        <v>1687</v>
      </c>
      <c r="BC1" t="s">
        <v>1688</v>
      </c>
      <c r="BD1" t="s">
        <v>1689</v>
      </c>
      <c r="BE1" t="s">
        <v>1690</v>
      </c>
      <c r="BF1" t="s">
        <v>1691</v>
      </c>
      <c r="BG1" t="s">
        <v>1692</v>
      </c>
      <c r="BH1" t="s">
        <v>1693</v>
      </c>
      <c r="BI1" s="15" t="s">
        <v>1189</v>
      </c>
      <c r="BJ1" t="s">
        <v>1763</v>
      </c>
    </row>
    <row r="2" spans="1:62" x14ac:dyDescent="0.2">
      <c r="A2" s="5" t="s">
        <v>850</v>
      </c>
      <c r="B2" s="6">
        <v>36650</v>
      </c>
      <c r="C2" s="7">
        <v>33.724639000000003</v>
      </c>
      <c r="D2" s="7">
        <v>-111.830603</v>
      </c>
      <c r="E2" s="17">
        <v>838</v>
      </c>
      <c r="F2" t="s">
        <v>1694</v>
      </c>
      <c r="G2" t="s">
        <v>1694</v>
      </c>
      <c r="H2" t="s">
        <v>1694</v>
      </c>
      <c r="I2">
        <v>0</v>
      </c>
      <c r="J2" s="8">
        <v>7.6208699238354161</v>
      </c>
      <c r="K2" s="8">
        <v>79.431385979192527</v>
      </c>
      <c r="L2" s="8">
        <v>12.947744096972059</v>
      </c>
      <c r="M2" s="8">
        <v>2.085488471069016</v>
      </c>
      <c r="N2" s="8">
        <v>0.97828170465563891</v>
      </c>
      <c r="O2" s="8">
        <v>2.6933946166988569</v>
      </c>
      <c r="P2" s="8">
        <v>0.94513046018281277</v>
      </c>
      <c r="Q2" s="8" t="s">
        <v>1697</v>
      </c>
      <c r="R2" s="8" t="s">
        <v>1697</v>
      </c>
      <c r="S2" s="8" t="s">
        <v>1697</v>
      </c>
      <c r="T2" s="8" t="s">
        <v>1697</v>
      </c>
      <c r="U2" s="8" t="s">
        <v>1697</v>
      </c>
      <c r="V2" s="8" t="s">
        <v>1697</v>
      </c>
      <c r="W2" s="8" t="s">
        <v>1697</v>
      </c>
      <c r="X2" s="8" t="s">
        <v>1697</v>
      </c>
      <c r="Y2" s="8" t="s">
        <v>1697</v>
      </c>
      <c r="Z2" s="8" t="s">
        <v>1697</v>
      </c>
      <c r="AA2" s="9">
        <v>7.94</v>
      </c>
      <c r="AB2" s="10">
        <v>0.1215</v>
      </c>
      <c r="AC2" s="8">
        <v>1.5323100000000001</v>
      </c>
      <c r="AD2" s="8">
        <v>2.8054000000000001</v>
      </c>
      <c r="AE2" s="8" t="s">
        <v>1697</v>
      </c>
      <c r="AF2" s="8" t="s">
        <v>1697</v>
      </c>
      <c r="AG2" s="8">
        <v>1.5882880175164344</v>
      </c>
      <c r="AH2" s="8" t="s">
        <v>1697</v>
      </c>
      <c r="AI2" s="8" t="s">
        <v>1697</v>
      </c>
      <c r="AJ2" t="s">
        <v>1694</v>
      </c>
      <c r="AK2" t="s">
        <v>1694</v>
      </c>
      <c r="AL2" t="s">
        <v>1694</v>
      </c>
      <c r="AM2" t="s">
        <v>1694</v>
      </c>
      <c r="AN2" t="s">
        <v>1694</v>
      </c>
      <c r="AO2" t="s">
        <v>1694</v>
      </c>
      <c r="AP2" t="s">
        <v>1695</v>
      </c>
      <c r="AQ2" t="s">
        <v>1694</v>
      </c>
      <c r="AR2" t="s">
        <v>1694</v>
      </c>
      <c r="AS2" t="s">
        <v>1694</v>
      </c>
      <c r="AT2" t="s">
        <v>1694</v>
      </c>
      <c r="AU2" t="s">
        <v>1695</v>
      </c>
      <c r="AV2" t="s">
        <v>1694</v>
      </c>
      <c r="AW2" t="s">
        <v>1694</v>
      </c>
      <c r="AX2" t="s">
        <v>1695</v>
      </c>
      <c r="AY2" t="s">
        <v>1694</v>
      </c>
      <c r="AZ2" t="s">
        <v>1694</v>
      </c>
      <c r="BA2" t="s">
        <v>1694</v>
      </c>
      <c r="BB2" t="s">
        <v>1695</v>
      </c>
      <c r="BC2" t="s">
        <v>1694</v>
      </c>
      <c r="BD2" t="s">
        <v>1694</v>
      </c>
      <c r="BE2" t="s">
        <v>1695</v>
      </c>
      <c r="BF2" t="s">
        <v>1694</v>
      </c>
      <c r="BG2" t="s">
        <v>1697</v>
      </c>
      <c r="BH2" t="s">
        <v>1698</v>
      </c>
      <c r="BI2" t="b">
        <v>0</v>
      </c>
      <c r="BJ2">
        <f t="shared" ref="BJ2:BJ65" si="0">COUNTIF(BI2:BI2,TRUE)</f>
        <v>0</v>
      </c>
    </row>
    <row r="3" spans="1:62" x14ac:dyDescent="0.2">
      <c r="A3" s="5" t="s">
        <v>850</v>
      </c>
      <c r="B3" s="6">
        <v>38415</v>
      </c>
      <c r="C3" s="7">
        <v>33.724639000000003</v>
      </c>
      <c r="D3" s="7">
        <v>-111.830603</v>
      </c>
      <c r="E3" s="17">
        <v>838</v>
      </c>
      <c r="F3" t="s">
        <v>1694</v>
      </c>
      <c r="G3" t="s">
        <v>1694</v>
      </c>
      <c r="H3" t="s">
        <v>1694</v>
      </c>
      <c r="I3">
        <v>0</v>
      </c>
      <c r="J3" s="8">
        <v>15.714548126784218</v>
      </c>
      <c r="K3" s="8">
        <v>71.913355205917895</v>
      </c>
      <c r="L3" s="8">
        <v>12.372096667297882</v>
      </c>
      <c r="M3" s="8">
        <v>4.4397793628452753</v>
      </c>
      <c r="N3" s="8">
        <v>0.84778224988670636</v>
      </c>
      <c r="O3" s="8">
        <v>1.0218539803374047</v>
      </c>
      <c r="P3" s="8">
        <v>2.5000000000000001E-3</v>
      </c>
      <c r="Q3" s="8">
        <v>17.246858561122536</v>
      </c>
      <c r="R3" s="8">
        <v>7.1273777298043752</v>
      </c>
      <c r="S3" s="8">
        <v>0.628</v>
      </c>
      <c r="T3" s="8">
        <v>0.24</v>
      </c>
      <c r="U3" s="8">
        <v>6.9000000000000006E-2</v>
      </c>
      <c r="V3" s="8">
        <v>6.9000000000000006E-2</v>
      </c>
      <c r="W3" s="8">
        <v>0.55899999999999994</v>
      </c>
      <c r="X3" s="8">
        <v>0.17099999999999999</v>
      </c>
      <c r="Y3" s="8">
        <v>3.3707865168539461</v>
      </c>
      <c r="Z3" s="8">
        <v>3.6850921273031934</v>
      </c>
      <c r="AA3" s="8">
        <v>7.85</v>
      </c>
      <c r="AB3">
        <v>0.216</v>
      </c>
      <c r="AC3" s="8">
        <v>6.9020866773675706</v>
      </c>
      <c r="AD3" s="8">
        <v>7.7051926298157296</v>
      </c>
      <c r="AE3" s="8">
        <v>5.2999999999999999E-2</v>
      </c>
      <c r="AF3" s="8">
        <v>0.02</v>
      </c>
      <c r="AG3" s="8">
        <v>1.3029799400963344</v>
      </c>
      <c r="AH3" s="8">
        <v>11.849056603773585</v>
      </c>
      <c r="AI3" s="8">
        <v>4.5283018867924527</v>
      </c>
      <c r="AJ3" t="s">
        <v>1694</v>
      </c>
      <c r="AK3" t="s">
        <v>1694</v>
      </c>
      <c r="AL3" t="s">
        <v>1694</v>
      </c>
      <c r="AM3" t="s">
        <v>1694</v>
      </c>
      <c r="AN3" t="s">
        <v>1694</v>
      </c>
      <c r="AO3" t="s">
        <v>1694</v>
      </c>
      <c r="AP3" t="s">
        <v>1695</v>
      </c>
      <c r="AQ3" t="s">
        <v>1694</v>
      </c>
      <c r="AR3" t="s">
        <v>1694</v>
      </c>
      <c r="AS3" t="s">
        <v>1694</v>
      </c>
      <c r="AT3" t="s">
        <v>1694</v>
      </c>
      <c r="AU3" t="s">
        <v>1695</v>
      </c>
      <c r="AV3" t="s">
        <v>1694</v>
      </c>
      <c r="AW3" t="s">
        <v>1694</v>
      </c>
      <c r="AX3" t="s">
        <v>1695</v>
      </c>
      <c r="AY3" t="s">
        <v>1694</v>
      </c>
      <c r="AZ3" t="s">
        <v>1694</v>
      </c>
      <c r="BA3" t="s">
        <v>1694</v>
      </c>
      <c r="BB3" t="s">
        <v>1695</v>
      </c>
      <c r="BC3" t="s">
        <v>1694</v>
      </c>
      <c r="BD3" t="s">
        <v>1694</v>
      </c>
      <c r="BE3" t="s">
        <v>1695</v>
      </c>
      <c r="BF3" t="s">
        <v>1694</v>
      </c>
      <c r="BG3" t="s">
        <v>1697</v>
      </c>
      <c r="BH3" t="s">
        <v>1698</v>
      </c>
      <c r="BI3" t="b">
        <v>0</v>
      </c>
      <c r="BJ3">
        <f t="shared" si="0"/>
        <v>0</v>
      </c>
    </row>
    <row r="4" spans="1:62" x14ac:dyDescent="0.2">
      <c r="A4" s="5" t="s">
        <v>850</v>
      </c>
      <c r="B4" s="6">
        <v>40266</v>
      </c>
      <c r="C4" s="7">
        <v>33.724639000000003</v>
      </c>
      <c r="D4" s="7">
        <v>-111.830603</v>
      </c>
      <c r="E4" s="17">
        <v>838</v>
      </c>
      <c r="F4" t="s">
        <v>1694</v>
      </c>
      <c r="G4" t="s">
        <v>1694</v>
      </c>
      <c r="H4" t="s">
        <v>1694</v>
      </c>
      <c r="I4">
        <v>0</v>
      </c>
      <c r="J4" s="8">
        <v>15.621983254396319</v>
      </c>
      <c r="K4" s="8">
        <v>70.042447031146168</v>
      </c>
      <c r="L4" s="8">
        <v>14.335569714457506</v>
      </c>
      <c r="M4" s="8">
        <v>0.70343366022029019</v>
      </c>
      <c r="N4" s="8">
        <v>5.0000000000000001E-3</v>
      </c>
      <c r="O4" s="8">
        <v>5.5476984543146601</v>
      </c>
      <c r="P4" s="8">
        <v>0.18019252850977865</v>
      </c>
      <c r="Q4" s="8">
        <v>55.582188067181285</v>
      </c>
      <c r="R4" s="8">
        <v>19.36401835045783</v>
      </c>
      <c r="S4" s="8">
        <v>0.56200000000000006</v>
      </c>
      <c r="T4" s="8">
        <v>0.15</v>
      </c>
      <c r="U4" s="8">
        <v>2.5000000000000001E-2</v>
      </c>
      <c r="V4" s="8">
        <v>2.9000000000000001E-2</v>
      </c>
      <c r="W4" s="8">
        <v>0.53700000000000003</v>
      </c>
      <c r="X4" s="8">
        <v>0.121</v>
      </c>
      <c r="Y4" s="8">
        <v>3.333333333333341</v>
      </c>
      <c r="Z4" s="8">
        <v>2.9813664596273317</v>
      </c>
      <c r="AA4" s="8">
        <v>7.05</v>
      </c>
      <c r="AB4">
        <v>0.158</v>
      </c>
      <c r="AC4" s="8">
        <v>3.8888888888888848</v>
      </c>
      <c r="AD4" s="8">
        <v>5.5900621118012328</v>
      </c>
      <c r="AE4" s="8">
        <v>4.7E-2</v>
      </c>
      <c r="AF4" s="8">
        <v>1.4999999999999999E-2</v>
      </c>
      <c r="AG4" s="8">
        <v>1.7530850567141325</v>
      </c>
      <c r="AH4" s="8">
        <v>11.957446808510639</v>
      </c>
      <c r="AI4" s="8">
        <v>3.1914893617021276</v>
      </c>
      <c r="AJ4" t="s">
        <v>1694</v>
      </c>
      <c r="AK4" t="s">
        <v>1694</v>
      </c>
      <c r="AL4" t="s">
        <v>1694</v>
      </c>
      <c r="AM4" t="s">
        <v>1694</v>
      </c>
      <c r="AN4" t="s">
        <v>1694</v>
      </c>
      <c r="AO4" t="s">
        <v>1694</v>
      </c>
      <c r="AP4" t="s">
        <v>1695</v>
      </c>
      <c r="AQ4" t="s">
        <v>1694</v>
      </c>
      <c r="AR4" t="s">
        <v>1694</v>
      </c>
      <c r="AS4" t="s">
        <v>1694</v>
      </c>
      <c r="AT4" t="s">
        <v>1694</v>
      </c>
      <c r="AU4" t="s">
        <v>1695</v>
      </c>
      <c r="AV4" t="s">
        <v>1694</v>
      </c>
      <c r="AW4" t="s">
        <v>1694</v>
      </c>
      <c r="AX4" t="s">
        <v>1695</v>
      </c>
      <c r="AY4" t="s">
        <v>1694</v>
      </c>
      <c r="AZ4" t="s">
        <v>1694</v>
      </c>
      <c r="BA4" t="s">
        <v>1694</v>
      </c>
      <c r="BB4" t="s">
        <v>1695</v>
      </c>
      <c r="BC4" t="s">
        <v>1694</v>
      </c>
      <c r="BD4" t="s">
        <v>1694</v>
      </c>
      <c r="BE4" t="s">
        <v>1695</v>
      </c>
      <c r="BF4" t="s">
        <v>1694</v>
      </c>
      <c r="BG4" t="s">
        <v>1697</v>
      </c>
      <c r="BH4" t="s">
        <v>1698</v>
      </c>
      <c r="BI4" t="b">
        <v>1</v>
      </c>
      <c r="BJ4">
        <f t="shared" si="0"/>
        <v>1</v>
      </c>
    </row>
    <row r="5" spans="1:62" x14ac:dyDescent="0.2">
      <c r="A5" s="5" t="s">
        <v>850</v>
      </c>
      <c r="B5" s="6">
        <v>42156</v>
      </c>
      <c r="C5" s="7">
        <v>33.724639000000003</v>
      </c>
      <c r="D5" s="7">
        <v>-111.830603</v>
      </c>
      <c r="E5" s="17">
        <v>838</v>
      </c>
      <c r="F5" t="s">
        <v>1694</v>
      </c>
      <c r="G5" t="s">
        <v>1694</v>
      </c>
      <c r="H5" t="s">
        <v>1694</v>
      </c>
      <c r="I5">
        <v>0</v>
      </c>
      <c r="J5">
        <v>11.9694729917257</v>
      </c>
      <c r="K5">
        <v>73.427124000413997</v>
      </c>
      <c r="L5">
        <v>14.603403007860299</v>
      </c>
      <c r="M5">
        <v>2.61742441191983</v>
      </c>
      <c r="N5">
        <v>2.1888098671197298</v>
      </c>
      <c r="O5">
        <v>4.8018914023190904</v>
      </c>
      <c r="P5">
        <v>2.4117442054374898</v>
      </c>
      <c r="Q5">
        <v>13.3181144302955</v>
      </c>
      <c r="R5">
        <v>5.3294527397381103E-3</v>
      </c>
      <c r="S5">
        <v>0.308</v>
      </c>
      <c r="T5">
        <v>0.21199999999999999</v>
      </c>
      <c r="U5">
        <v>2.5999999999999999E-2</v>
      </c>
      <c r="V5">
        <v>7.0000000000000001E-3</v>
      </c>
      <c r="W5">
        <v>0.28199999999999997</v>
      </c>
      <c r="X5">
        <v>0.20499999999999999</v>
      </c>
      <c r="Y5">
        <v>1.75644028103043</v>
      </c>
      <c r="Z5">
        <v>1.3698630136986201</v>
      </c>
      <c r="AA5">
        <v>7.84</v>
      </c>
      <c r="AB5">
        <v>0.26600000000000001</v>
      </c>
      <c r="AC5">
        <v>2.6984126984127301</v>
      </c>
      <c r="AD5">
        <v>3.4602076124567702</v>
      </c>
      <c r="AE5">
        <v>5.6000000000000001E-2</v>
      </c>
      <c r="AF5">
        <v>1.2E-2</v>
      </c>
      <c r="AG5">
        <v>1.637128135543676</v>
      </c>
      <c r="AH5">
        <v>5.5</v>
      </c>
      <c r="AI5">
        <v>17.6666666666667</v>
      </c>
      <c r="AJ5" t="s">
        <v>1694</v>
      </c>
      <c r="AK5" t="s">
        <v>1694</v>
      </c>
      <c r="AL5" t="s">
        <v>1694</v>
      </c>
      <c r="AM5" t="s">
        <v>1694</v>
      </c>
      <c r="AN5" t="s">
        <v>1694</v>
      </c>
      <c r="AO5" t="s">
        <v>1694</v>
      </c>
      <c r="AP5" t="s">
        <v>1695</v>
      </c>
      <c r="AQ5" t="s">
        <v>1694</v>
      </c>
      <c r="AR5" t="s">
        <v>1694</v>
      </c>
      <c r="AS5" t="s">
        <v>1694</v>
      </c>
      <c r="AT5" t="s">
        <v>1694</v>
      </c>
      <c r="AU5" t="s">
        <v>1695</v>
      </c>
      <c r="AV5" t="s">
        <v>1694</v>
      </c>
      <c r="AW5" t="s">
        <v>1694</v>
      </c>
      <c r="AX5" t="s">
        <v>1695</v>
      </c>
      <c r="AY5" t="s">
        <v>1694</v>
      </c>
      <c r="AZ5" t="s">
        <v>1694</v>
      </c>
      <c r="BA5" t="s">
        <v>1694</v>
      </c>
      <c r="BB5" t="s">
        <v>1695</v>
      </c>
      <c r="BC5" t="s">
        <v>1694</v>
      </c>
      <c r="BD5" t="s">
        <v>1694</v>
      </c>
      <c r="BE5" t="s">
        <v>1695</v>
      </c>
      <c r="BF5" t="s">
        <v>1694</v>
      </c>
      <c r="BG5" t="s">
        <v>1697</v>
      </c>
      <c r="BH5" t="s">
        <v>1698</v>
      </c>
      <c r="BI5" t="b">
        <v>0</v>
      </c>
      <c r="BJ5">
        <f t="shared" si="0"/>
        <v>0</v>
      </c>
    </row>
    <row r="6" spans="1:62" x14ac:dyDescent="0.2">
      <c r="A6" s="5" t="s">
        <v>2</v>
      </c>
      <c r="B6" s="6">
        <v>36647</v>
      </c>
      <c r="C6" s="7">
        <v>33.643044000000003</v>
      </c>
      <c r="D6" s="7">
        <v>-111.81933600000001</v>
      </c>
      <c r="E6" s="17">
        <v>909</v>
      </c>
      <c r="F6" t="s">
        <v>1694</v>
      </c>
      <c r="G6" t="s">
        <v>1694</v>
      </c>
      <c r="H6" t="s">
        <v>1694</v>
      </c>
      <c r="I6">
        <v>0</v>
      </c>
      <c r="J6" s="8">
        <v>16.78010649999889</v>
      </c>
      <c r="K6" s="8">
        <v>44.920517978481421</v>
      </c>
      <c r="L6" s="8">
        <v>38.299375521519693</v>
      </c>
      <c r="M6" s="8">
        <v>4.6972518367120397</v>
      </c>
      <c r="N6" s="8">
        <v>4.1643539740408961</v>
      </c>
      <c r="O6" s="8">
        <v>6.4900246821341163</v>
      </c>
      <c r="P6" s="8">
        <v>7.1612055067911067</v>
      </c>
      <c r="Q6" s="8">
        <v>60.789556895196213</v>
      </c>
      <c r="R6" s="8">
        <v>44.772307314208213</v>
      </c>
      <c r="S6" s="8">
        <v>1.7869999999999999</v>
      </c>
      <c r="T6" s="8">
        <v>1.5589999999999999</v>
      </c>
      <c r="U6" s="8">
        <v>6.2E-2</v>
      </c>
      <c r="V6" s="8">
        <v>5.1999999999999998E-2</v>
      </c>
      <c r="W6" s="8">
        <v>1.7250000000000001</v>
      </c>
      <c r="X6" s="8">
        <v>1.5069999999999999</v>
      </c>
      <c r="Y6" s="8">
        <v>3.4670000000000001</v>
      </c>
      <c r="Z6" s="8">
        <v>2.93343</v>
      </c>
      <c r="AA6" s="9">
        <v>7.94</v>
      </c>
      <c r="AB6" s="10">
        <v>0.41049999999999998</v>
      </c>
      <c r="AC6" s="8">
        <v>0.80723</v>
      </c>
      <c r="AD6" s="8">
        <v>0.84155999999999997</v>
      </c>
      <c r="AE6" s="8">
        <v>0.156</v>
      </c>
      <c r="AF6" s="8">
        <v>0.13600000000000001</v>
      </c>
      <c r="AG6" s="8">
        <v>1.4832170752294767</v>
      </c>
      <c r="AH6" s="8">
        <v>11.455128205128204</v>
      </c>
      <c r="AI6" s="8">
        <v>9.9935897435897427</v>
      </c>
      <c r="AJ6" t="s">
        <v>1694</v>
      </c>
      <c r="AK6" t="s">
        <v>1694</v>
      </c>
      <c r="AL6" t="s">
        <v>1694</v>
      </c>
      <c r="AM6" t="s">
        <v>1694</v>
      </c>
      <c r="AN6" t="s">
        <v>1694</v>
      </c>
      <c r="AO6" t="s">
        <v>1694</v>
      </c>
      <c r="AP6" t="s">
        <v>1695</v>
      </c>
      <c r="AQ6" t="s">
        <v>1696</v>
      </c>
      <c r="AR6" t="s">
        <v>1694</v>
      </c>
      <c r="AS6" t="s">
        <v>1694</v>
      </c>
      <c r="AT6" t="s">
        <v>1694</v>
      </c>
      <c r="AU6" t="s">
        <v>1695</v>
      </c>
      <c r="AV6" t="s">
        <v>1696</v>
      </c>
      <c r="AW6" t="s">
        <v>1694</v>
      </c>
      <c r="AX6" t="s">
        <v>1695</v>
      </c>
      <c r="AY6" t="s">
        <v>1696</v>
      </c>
      <c r="AZ6" t="s">
        <v>1694</v>
      </c>
      <c r="BA6" t="s">
        <v>1694</v>
      </c>
      <c r="BB6" t="s">
        <v>1695</v>
      </c>
      <c r="BC6" t="s">
        <v>1696</v>
      </c>
      <c r="BD6" t="s">
        <v>1694</v>
      </c>
      <c r="BE6" t="s">
        <v>1695</v>
      </c>
      <c r="BF6" t="s">
        <v>1696</v>
      </c>
      <c r="BG6" t="s">
        <v>1697</v>
      </c>
      <c r="BH6" t="s">
        <v>1698</v>
      </c>
      <c r="BI6" t="b">
        <v>0</v>
      </c>
      <c r="BJ6">
        <f t="shared" si="0"/>
        <v>0</v>
      </c>
    </row>
    <row r="7" spans="1:62" x14ac:dyDescent="0.2">
      <c r="A7" s="5" t="s">
        <v>2</v>
      </c>
      <c r="B7" s="6">
        <v>38511</v>
      </c>
      <c r="C7" s="7">
        <v>33.643044000000003</v>
      </c>
      <c r="D7" s="7">
        <v>-111.81933600000001</v>
      </c>
      <c r="E7" s="17">
        <v>909</v>
      </c>
      <c r="F7" t="s">
        <v>1694</v>
      </c>
      <c r="G7" t="s">
        <v>1694</v>
      </c>
      <c r="H7" t="s">
        <v>1694</v>
      </c>
      <c r="I7">
        <v>0</v>
      </c>
      <c r="J7" s="8">
        <v>10.257637147482956</v>
      </c>
      <c r="K7" s="8">
        <v>49.287183765506988</v>
      </c>
      <c r="L7" s="8">
        <v>40.455179087010052</v>
      </c>
      <c r="M7" s="8" t="s">
        <v>1697</v>
      </c>
      <c r="N7" s="8" t="s">
        <v>1697</v>
      </c>
      <c r="O7" s="8" t="s">
        <v>1697</v>
      </c>
      <c r="P7" s="8" t="s">
        <v>1697</v>
      </c>
      <c r="Q7" s="8">
        <v>61.469173840669534</v>
      </c>
      <c r="R7" s="8">
        <v>30.290541226272751</v>
      </c>
      <c r="S7" s="8">
        <v>1.536</v>
      </c>
      <c r="T7" s="8">
        <v>0.80100000000000005</v>
      </c>
      <c r="U7" s="8">
        <v>3.9E-2</v>
      </c>
      <c r="V7" s="8">
        <v>2.5000000000000001E-2</v>
      </c>
      <c r="W7" s="8">
        <v>1.4970000000000001</v>
      </c>
      <c r="X7" s="8">
        <v>0.77600000000000002</v>
      </c>
      <c r="Y7" s="8">
        <v>3.8229376257545176</v>
      </c>
      <c r="Z7" s="8">
        <v>3.7623762376237697</v>
      </c>
      <c r="AA7" s="8">
        <v>7.85</v>
      </c>
      <c r="AB7">
        <v>0.34799999999999998</v>
      </c>
      <c r="AC7" s="8">
        <v>0.60362173038229872</v>
      </c>
      <c r="AD7" s="8">
        <v>0.59405940594059892</v>
      </c>
      <c r="AE7" s="8">
        <v>0.14099999999999999</v>
      </c>
      <c r="AF7" s="8">
        <v>8.7999999999999995E-2</v>
      </c>
      <c r="AG7" s="8">
        <v>1.2741548716750986</v>
      </c>
      <c r="AH7" s="8">
        <v>10.893617021276597</v>
      </c>
      <c r="AI7" s="8">
        <v>5.6808510638297882</v>
      </c>
      <c r="AJ7" t="s">
        <v>1694</v>
      </c>
      <c r="AK7" t="s">
        <v>1694</v>
      </c>
      <c r="AL7" t="s">
        <v>1694</v>
      </c>
      <c r="AM7" t="s">
        <v>1694</v>
      </c>
      <c r="AN7" t="s">
        <v>1694</v>
      </c>
      <c r="AO7" t="s">
        <v>1694</v>
      </c>
      <c r="AP7" t="s">
        <v>1695</v>
      </c>
      <c r="AQ7" t="s">
        <v>1696</v>
      </c>
      <c r="AR7" t="s">
        <v>1694</v>
      </c>
      <c r="AS7" t="s">
        <v>1694</v>
      </c>
      <c r="AT7" t="s">
        <v>1694</v>
      </c>
      <c r="AU7" t="s">
        <v>1695</v>
      </c>
      <c r="AV7" t="s">
        <v>1696</v>
      </c>
      <c r="AW7" t="s">
        <v>1694</v>
      </c>
      <c r="AX7" t="s">
        <v>1695</v>
      </c>
      <c r="AY7" t="s">
        <v>1696</v>
      </c>
      <c r="AZ7" t="s">
        <v>1694</v>
      </c>
      <c r="BA7" t="s">
        <v>1694</v>
      </c>
      <c r="BB7" t="s">
        <v>1695</v>
      </c>
      <c r="BC7" t="s">
        <v>1696</v>
      </c>
      <c r="BD7" t="s">
        <v>1694</v>
      </c>
      <c r="BE7" t="s">
        <v>1695</v>
      </c>
      <c r="BF7" t="s">
        <v>1696</v>
      </c>
      <c r="BG7" t="s">
        <v>1697</v>
      </c>
      <c r="BH7" t="s">
        <v>1698</v>
      </c>
      <c r="BI7" t="b">
        <v>0</v>
      </c>
      <c r="BJ7">
        <f t="shared" si="0"/>
        <v>0</v>
      </c>
    </row>
    <row r="8" spans="1:62" x14ac:dyDescent="0.2">
      <c r="A8" s="5" t="s">
        <v>2</v>
      </c>
      <c r="B8" s="6">
        <v>40284</v>
      </c>
      <c r="C8" s="7">
        <v>33.643044000000003</v>
      </c>
      <c r="D8" s="7">
        <v>-111.81933600000001</v>
      </c>
      <c r="E8" s="17">
        <v>909</v>
      </c>
      <c r="F8" t="s">
        <v>1694</v>
      </c>
      <c r="G8" t="s">
        <v>1694</v>
      </c>
      <c r="H8" t="s">
        <v>1694</v>
      </c>
      <c r="I8">
        <v>0</v>
      </c>
      <c r="J8" s="8">
        <v>11.594914555434164</v>
      </c>
      <c r="K8" s="8">
        <v>55.722519945703041</v>
      </c>
      <c r="L8" s="8">
        <v>32.6825654988628</v>
      </c>
      <c r="M8" s="8">
        <v>1.7366786163940771</v>
      </c>
      <c r="N8" s="8">
        <v>1.3749110060875964</v>
      </c>
      <c r="O8" s="8">
        <v>0.7416288512069128</v>
      </c>
      <c r="P8" s="8">
        <v>0.93163368718503803</v>
      </c>
      <c r="Q8" s="8">
        <v>50.179813367250595</v>
      </c>
      <c r="R8" s="8">
        <v>31.291209431549799</v>
      </c>
      <c r="S8" s="8">
        <v>1.6519999999999999</v>
      </c>
      <c r="T8" s="8">
        <v>1.444</v>
      </c>
      <c r="U8" s="8">
        <v>0.14000000000000001</v>
      </c>
      <c r="V8" s="8">
        <v>0.19700000000000001</v>
      </c>
      <c r="W8" s="8">
        <v>1.512</v>
      </c>
      <c r="X8" s="8">
        <v>1.2469999999999999</v>
      </c>
      <c r="Y8" s="8">
        <v>4.8598130841121456</v>
      </c>
      <c r="Z8" s="8">
        <v>4.6454767726161466</v>
      </c>
      <c r="AA8" s="8">
        <v>8.11</v>
      </c>
      <c r="AB8">
        <v>0.28299999999999997</v>
      </c>
      <c r="AC8" s="8">
        <v>1.3084112149532598</v>
      </c>
      <c r="AD8" s="8">
        <v>1.7114914425427725</v>
      </c>
      <c r="AE8" s="8">
        <v>0.14399999999999999</v>
      </c>
      <c r="AF8" s="8">
        <v>0.13100000000000001</v>
      </c>
      <c r="AG8" s="8">
        <v>1.4704812369612172</v>
      </c>
      <c r="AH8" s="8">
        <v>11.472222222222223</v>
      </c>
      <c r="AI8" s="8">
        <v>10.027777777777779</v>
      </c>
      <c r="AJ8" t="s">
        <v>1694</v>
      </c>
      <c r="AK8" t="s">
        <v>1694</v>
      </c>
      <c r="AL8" t="s">
        <v>1694</v>
      </c>
      <c r="AM8" t="s">
        <v>1694</v>
      </c>
      <c r="AN8" t="s">
        <v>1694</v>
      </c>
      <c r="AO8" t="s">
        <v>1694</v>
      </c>
      <c r="AP8" t="s">
        <v>1695</v>
      </c>
      <c r="AQ8" t="s">
        <v>1696</v>
      </c>
      <c r="AR8" t="s">
        <v>1694</v>
      </c>
      <c r="AS8" t="s">
        <v>1694</v>
      </c>
      <c r="AT8" t="s">
        <v>1694</v>
      </c>
      <c r="AU8" t="s">
        <v>1695</v>
      </c>
      <c r="AV8" t="s">
        <v>1696</v>
      </c>
      <c r="AW8" t="s">
        <v>1694</v>
      </c>
      <c r="AX8" t="s">
        <v>1695</v>
      </c>
      <c r="AY8" t="s">
        <v>1696</v>
      </c>
      <c r="AZ8" t="s">
        <v>1694</v>
      </c>
      <c r="BA8" t="s">
        <v>1694</v>
      </c>
      <c r="BB8" t="s">
        <v>1695</v>
      </c>
      <c r="BC8" t="s">
        <v>1696</v>
      </c>
      <c r="BD8" t="s">
        <v>1694</v>
      </c>
      <c r="BE8" t="s">
        <v>1695</v>
      </c>
      <c r="BF8" t="s">
        <v>1696</v>
      </c>
      <c r="BG8" t="s">
        <v>1697</v>
      </c>
      <c r="BH8" t="s">
        <v>1698</v>
      </c>
      <c r="BI8" t="b">
        <v>0</v>
      </c>
      <c r="BJ8">
        <f t="shared" si="0"/>
        <v>0</v>
      </c>
    </row>
    <row r="9" spans="1:62" x14ac:dyDescent="0.2">
      <c r="A9" s="5" t="s">
        <v>2</v>
      </c>
      <c r="B9" s="6">
        <v>42087</v>
      </c>
      <c r="C9" s="7">
        <v>33.643044000000003</v>
      </c>
      <c r="D9" s="7">
        <v>-111.81933600000001</v>
      </c>
      <c r="E9" s="17">
        <v>909</v>
      </c>
      <c r="F9" t="s">
        <v>1694</v>
      </c>
      <c r="G9" t="s">
        <v>1694</v>
      </c>
      <c r="H9" t="s">
        <v>1694</v>
      </c>
      <c r="I9">
        <v>0</v>
      </c>
      <c r="J9">
        <v>24.192094088832</v>
      </c>
      <c r="K9">
        <v>42.510337758811303</v>
      </c>
      <c r="L9">
        <v>33.297568152356597</v>
      </c>
      <c r="M9">
        <v>10.1679529372334</v>
      </c>
      <c r="N9">
        <v>7.5261061241075904</v>
      </c>
      <c r="O9">
        <v>27.666700366475499</v>
      </c>
      <c r="P9">
        <v>16.6250838651635</v>
      </c>
      <c r="Q9">
        <v>4.9181025818760302</v>
      </c>
      <c r="R9">
        <v>3.8694257741904901</v>
      </c>
      <c r="S9">
        <v>2.5089999999999999</v>
      </c>
      <c r="T9">
        <v>1.1499999999999999</v>
      </c>
      <c r="U9">
        <v>0.16400000000000001</v>
      </c>
      <c r="V9">
        <v>0.20100000000000001</v>
      </c>
      <c r="W9">
        <v>2.3450000000000002</v>
      </c>
      <c r="X9">
        <v>0.94899999999999995</v>
      </c>
      <c r="Y9">
        <v>3.71621621621621</v>
      </c>
      <c r="Z9">
        <v>2.2648083623693398</v>
      </c>
      <c r="AA9">
        <v>8.1300000000000008</v>
      </c>
      <c r="AB9">
        <v>0.61199999999999999</v>
      </c>
      <c r="AC9">
        <v>2.1680216802168002</v>
      </c>
      <c r="AD9">
        <v>2.01149425287355</v>
      </c>
      <c r="AE9">
        <v>0.192</v>
      </c>
      <c r="AF9">
        <v>7.6999999999999999E-2</v>
      </c>
      <c r="AG9">
        <v>1.4024928553456146</v>
      </c>
      <c r="AH9">
        <v>13.0677083333333</v>
      </c>
      <c r="AI9">
        <v>14.935064935064901</v>
      </c>
      <c r="AJ9" t="s">
        <v>1694</v>
      </c>
      <c r="AK9" t="s">
        <v>1694</v>
      </c>
      <c r="AL9" t="s">
        <v>1694</v>
      </c>
      <c r="AM9" t="s">
        <v>1694</v>
      </c>
      <c r="AN9" t="s">
        <v>1694</v>
      </c>
      <c r="AO9" t="s">
        <v>1694</v>
      </c>
      <c r="AP9" t="s">
        <v>1695</v>
      </c>
      <c r="AQ9" t="s">
        <v>1696</v>
      </c>
      <c r="AR9" t="s">
        <v>1694</v>
      </c>
      <c r="AS9" t="s">
        <v>1694</v>
      </c>
      <c r="AT9" t="s">
        <v>1694</v>
      </c>
      <c r="AU9" t="s">
        <v>1695</v>
      </c>
      <c r="AV9" t="s">
        <v>1696</v>
      </c>
      <c r="AW9" t="s">
        <v>1694</v>
      </c>
      <c r="AX9" t="s">
        <v>1695</v>
      </c>
      <c r="AY9" t="s">
        <v>1696</v>
      </c>
      <c r="AZ9" t="s">
        <v>1694</v>
      </c>
      <c r="BA9" t="s">
        <v>1694</v>
      </c>
      <c r="BB9" t="s">
        <v>1695</v>
      </c>
      <c r="BC9" t="s">
        <v>1696</v>
      </c>
      <c r="BD9" t="s">
        <v>1694</v>
      </c>
      <c r="BE9" t="s">
        <v>1695</v>
      </c>
      <c r="BF9" t="s">
        <v>1696</v>
      </c>
      <c r="BG9" t="s">
        <v>1697</v>
      </c>
      <c r="BH9" t="s">
        <v>1698</v>
      </c>
      <c r="BI9" t="b">
        <v>0</v>
      </c>
      <c r="BJ9">
        <f t="shared" si="0"/>
        <v>0</v>
      </c>
    </row>
    <row r="10" spans="1:62" x14ac:dyDescent="0.2">
      <c r="A10" s="5" t="s">
        <v>3</v>
      </c>
      <c r="B10" s="6">
        <v>36599</v>
      </c>
      <c r="C10" s="7">
        <v>33.452089000000001</v>
      </c>
      <c r="D10" s="7">
        <v>-111.801075</v>
      </c>
      <c r="E10" s="17">
        <v>388</v>
      </c>
      <c r="F10" t="s">
        <v>1700</v>
      </c>
      <c r="G10" t="s">
        <v>1699</v>
      </c>
      <c r="H10" t="s">
        <v>1701</v>
      </c>
      <c r="I10">
        <v>1</v>
      </c>
      <c r="J10" s="8">
        <v>18.069078057362692</v>
      </c>
      <c r="K10" s="8">
        <v>52.888081722356695</v>
      </c>
      <c r="L10" s="8">
        <v>29.04284022028061</v>
      </c>
      <c r="M10" s="8">
        <v>2.6028017790445919</v>
      </c>
      <c r="N10" s="8">
        <v>2.2995609161170552</v>
      </c>
      <c r="O10" s="8">
        <v>6.2304557818536113</v>
      </c>
      <c r="P10" s="8">
        <v>13.388527926353573</v>
      </c>
      <c r="Q10" s="8">
        <v>12.705814035513933</v>
      </c>
      <c r="R10" s="8">
        <v>5.1317780666199155</v>
      </c>
      <c r="S10" s="8">
        <v>1.6279999999999999</v>
      </c>
      <c r="T10" s="8">
        <v>1.625</v>
      </c>
      <c r="U10" s="8">
        <v>1.474</v>
      </c>
      <c r="V10" s="8">
        <v>1.37</v>
      </c>
      <c r="W10" s="8">
        <v>0.154</v>
      </c>
      <c r="X10" s="8">
        <v>0.255</v>
      </c>
      <c r="Y10" s="8">
        <v>2.4656199999999999</v>
      </c>
      <c r="Z10" s="8">
        <v>2.5470000000000002</v>
      </c>
      <c r="AA10" s="9">
        <v>8.24</v>
      </c>
      <c r="AB10" s="10">
        <v>0.46899999999999997</v>
      </c>
      <c r="AC10" s="8">
        <v>10.13111</v>
      </c>
      <c r="AD10" s="8">
        <v>13.13869</v>
      </c>
      <c r="AE10" s="8">
        <v>5.0999999999999997E-2</v>
      </c>
      <c r="AF10" s="8">
        <v>0.03</v>
      </c>
      <c r="AG10" s="8">
        <v>1.5552512861559478</v>
      </c>
      <c r="AH10" s="8">
        <v>31.921568627450981</v>
      </c>
      <c r="AI10" s="8">
        <v>31.862745098039216</v>
      </c>
      <c r="AJ10" t="s">
        <v>1694</v>
      </c>
      <c r="AK10" t="s">
        <v>1694</v>
      </c>
      <c r="AL10" t="s">
        <v>1702</v>
      </c>
      <c r="AM10" t="s">
        <v>1703</v>
      </c>
      <c r="AN10" t="s">
        <v>1702</v>
      </c>
      <c r="AO10" t="s">
        <v>1703</v>
      </c>
      <c r="AP10" t="s">
        <v>1702</v>
      </c>
      <c r="AQ10" s="11" t="s">
        <v>1697</v>
      </c>
      <c r="AR10" t="s">
        <v>1703</v>
      </c>
      <c r="AS10" t="s">
        <v>1702</v>
      </c>
      <c r="AT10" t="s">
        <v>1703</v>
      </c>
      <c r="AU10" t="s">
        <v>1704</v>
      </c>
      <c r="AV10" t="s">
        <v>1705</v>
      </c>
      <c r="AW10" t="s">
        <v>1703</v>
      </c>
      <c r="AX10" t="s">
        <v>1706</v>
      </c>
      <c r="AY10" t="s">
        <v>1707</v>
      </c>
      <c r="AZ10" t="s">
        <v>1706</v>
      </c>
      <c r="BA10" t="s">
        <v>1700</v>
      </c>
      <c r="BB10" t="s">
        <v>1706</v>
      </c>
      <c r="BC10" t="s">
        <v>1707</v>
      </c>
      <c r="BD10" t="s">
        <v>1706</v>
      </c>
      <c r="BE10" t="s">
        <v>1706</v>
      </c>
      <c r="BF10" t="s">
        <v>1707</v>
      </c>
      <c r="BG10">
        <v>20</v>
      </c>
      <c r="BH10" s="12" t="s">
        <v>1708</v>
      </c>
      <c r="BI10" t="b">
        <v>0</v>
      </c>
      <c r="BJ10">
        <f t="shared" si="0"/>
        <v>0</v>
      </c>
    </row>
    <row r="11" spans="1:62" x14ac:dyDescent="0.2">
      <c r="A11" s="5" t="s">
        <v>3</v>
      </c>
      <c r="B11" s="6">
        <v>38477</v>
      </c>
      <c r="C11" s="7">
        <v>33.452089000000001</v>
      </c>
      <c r="D11" s="7">
        <v>-111.801075</v>
      </c>
      <c r="E11" s="17">
        <v>388</v>
      </c>
      <c r="F11" t="s">
        <v>1700</v>
      </c>
      <c r="G11" t="s">
        <v>1699</v>
      </c>
      <c r="H11" t="s">
        <v>1701</v>
      </c>
      <c r="I11">
        <v>1</v>
      </c>
      <c r="J11" s="8">
        <v>5.6869692532326797</v>
      </c>
      <c r="K11" s="8">
        <v>90.075128509292213</v>
      </c>
      <c r="L11" s="8">
        <v>4.2379022374751116</v>
      </c>
      <c r="M11" s="8">
        <v>1.0822489646138114</v>
      </c>
      <c r="N11" s="8">
        <v>1.4093902435337999</v>
      </c>
      <c r="O11" s="8">
        <v>2.5568131789001294</v>
      </c>
      <c r="P11" s="8">
        <v>1.5291884142341725</v>
      </c>
      <c r="Q11" s="8">
        <v>11.520987028345282</v>
      </c>
      <c r="R11" s="8">
        <v>15.51879597155067</v>
      </c>
      <c r="S11" s="8">
        <v>1.1659999999999999</v>
      </c>
      <c r="T11" s="8">
        <v>1.4790000000000001</v>
      </c>
      <c r="U11" s="8">
        <v>0.92100000000000004</v>
      </c>
      <c r="V11" s="8">
        <v>1.194</v>
      </c>
      <c r="W11" s="8">
        <v>0.24499999999999988</v>
      </c>
      <c r="X11" s="8">
        <v>0.28500000000000014</v>
      </c>
      <c r="Y11" s="8">
        <v>1.8427518427518468</v>
      </c>
      <c r="Z11" s="8">
        <v>2.1897810218978155</v>
      </c>
      <c r="AA11" s="8">
        <v>8.6199999999999992</v>
      </c>
      <c r="AB11">
        <v>0.17</v>
      </c>
      <c r="AC11" s="8">
        <v>5.6511056511056399</v>
      </c>
      <c r="AD11" s="8">
        <v>9.1970802919708152</v>
      </c>
      <c r="AE11" s="8">
        <v>1.7000000000000001E-2</v>
      </c>
      <c r="AF11" s="8">
        <v>2.1999999999999999E-2</v>
      </c>
      <c r="AG11" s="8">
        <v>1.2913206238819959</v>
      </c>
      <c r="AH11" s="8">
        <v>68.588235294117638</v>
      </c>
      <c r="AI11" s="8">
        <v>87</v>
      </c>
      <c r="AJ11" t="s">
        <v>1694</v>
      </c>
      <c r="AK11" t="s">
        <v>1694</v>
      </c>
      <c r="AL11" t="s">
        <v>1702</v>
      </c>
      <c r="AM11" t="s">
        <v>1703</v>
      </c>
      <c r="AN11" t="s">
        <v>1702</v>
      </c>
      <c r="AO11" t="s">
        <v>1703</v>
      </c>
      <c r="AP11" t="s">
        <v>1702</v>
      </c>
      <c r="AQ11" s="11" t="s">
        <v>1697</v>
      </c>
      <c r="AR11" t="s">
        <v>1703</v>
      </c>
      <c r="AS11" t="s">
        <v>1702</v>
      </c>
      <c r="AT11" t="s">
        <v>1703</v>
      </c>
      <c r="AU11" t="s">
        <v>1704</v>
      </c>
      <c r="AV11" t="s">
        <v>1705</v>
      </c>
      <c r="AW11" t="s">
        <v>1703</v>
      </c>
      <c r="AX11" t="s">
        <v>1706</v>
      </c>
      <c r="AY11" t="s">
        <v>1707</v>
      </c>
      <c r="AZ11" t="s">
        <v>1706</v>
      </c>
      <c r="BA11" t="s">
        <v>1700</v>
      </c>
      <c r="BB11" t="s">
        <v>1706</v>
      </c>
      <c r="BC11" t="s">
        <v>1707</v>
      </c>
      <c r="BD11" t="s">
        <v>1706</v>
      </c>
      <c r="BE11" t="s">
        <v>1706</v>
      </c>
      <c r="BF11" t="s">
        <v>1707</v>
      </c>
      <c r="BG11">
        <v>25</v>
      </c>
      <c r="BH11" s="12" t="s">
        <v>1709</v>
      </c>
      <c r="BI11" t="b">
        <v>0</v>
      </c>
      <c r="BJ11">
        <f t="shared" si="0"/>
        <v>0</v>
      </c>
    </row>
    <row r="12" spans="1:62" x14ac:dyDescent="0.2">
      <c r="A12" s="5" t="s">
        <v>3</v>
      </c>
      <c r="B12" s="6">
        <v>40239</v>
      </c>
      <c r="C12" s="7">
        <v>33.452089000000001</v>
      </c>
      <c r="D12" s="7">
        <v>-111.801075</v>
      </c>
      <c r="E12" s="17">
        <v>388</v>
      </c>
      <c r="F12" t="s">
        <v>1700</v>
      </c>
      <c r="G12" t="s">
        <v>1699</v>
      </c>
      <c r="H12" t="s">
        <v>1701</v>
      </c>
      <c r="I12">
        <v>1</v>
      </c>
      <c r="J12" s="8">
        <v>18.747528299628694</v>
      </c>
      <c r="K12" s="8">
        <v>51.518837965383483</v>
      </c>
      <c r="L12" s="8">
        <v>29.733633734987819</v>
      </c>
      <c r="M12" s="8" t="s">
        <v>1697</v>
      </c>
      <c r="N12" s="8" t="s">
        <v>1697</v>
      </c>
      <c r="O12" s="8" t="s">
        <v>1697</v>
      </c>
      <c r="P12" s="8" t="s">
        <v>1697</v>
      </c>
      <c r="Q12" s="8" t="s">
        <v>1697</v>
      </c>
      <c r="R12" s="8" t="s">
        <v>1697</v>
      </c>
      <c r="S12" s="8" t="s">
        <v>1697</v>
      </c>
      <c r="T12" s="8" t="s">
        <v>1697</v>
      </c>
      <c r="U12" s="8" t="s">
        <v>1697</v>
      </c>
      <c r="V12" s="8" t="s">
        <v>1697</v>
      </c>
      <c r="W12" s="8" t="s">
        <v>1697</v>
      </c>
      <c r="X12" s="8" t="s">
        <v>1697</v>
      </c>
      <c r="Y12" s="8" t="s">
        <v>1697</v>
      </c>
      <c r="Z12" s="8" t="s">
        <v>1697</v>
      </c>
      <c r="AA12" s="8">
        <v>8.39</v>
      </c>
      <c r="AB12">
        <v>0.155</v>
      </c>
      <c r="AC12" s="8" t="s">
        <v>1697</v>
      </c>
      <c r="AD12" s="8" t="s">
        <v>1697</v>
      </c>
      <c r="AE12" s="8" t="s">
        <v>1697</v>
      </c>
      <c r="AF12" s="8" t="s">
        <v>1697</v>
      </c>
      <c r="AG12" s="8">
        <v>1.1393584826805254</v>
      </c>
      <c r="AH12" s="8" t="s">
        <v>1697</v>
      </c>
      <c r="AI12" s="8" t="s">
        <v>1697</v>
      </c>
      <c r="AJ12" t="s">
        <v>1694</v>
      </c>
      <c r="AK12" t="s">
        <v>1694</v>
      </c>
      <c r="AL12" t="s">
        <v>1702</v>
      </c>
      <c r="AM12" t="s">
        <v>1703</v>
      </c>
      <c r="AN12" t="s">
        <v>1702</v>
      </c>
      <c r="AO12" t="s">
        <v>1703</v>
      </c>
      <c r="AP12" t="s">
        <v>1702</v>
      </c>
      <c r="AQ12" s="11" t="s">
        <v>1697</v>
      </c>
      <c r="AR12" t="s">
        <v>1703</v>
      </c>
      <c r="AS12" t="s">
        <v>1702</v>
      </c>
      <c r="AT12" t="s">
        <v>1703</v>
      </c>
      <c r="AU12" t="s">
        <v>1704</v>
      </c>
      <c r="AV12" t="s">
        <v>1705</v>
      </c>
      <c r="AW12" t="s">
        <v>1703</v>
      </c>
      <c r="AX12" t="s">
        <v>1706</v>
      </c>
      <c r="AY12" t="s">
        <v>1707</v>
      </c>
      <c r="AZ12" t="s">
        <v>1706</v>
      </c>
      <c r="BA12" t="s">
        <v>1700</v>
      </c>
      <c r="BB12" t="s">
        <v>1706</v>
      </c>
      <c r="BC12" t="s">
        <v>1707</v>
      </c>
      <c r="BD12" t="s">
        <v>1706</v>
      </c>
      <c r="BE12" t="s">
        <v>1706</v>
      </c>
      <c r="BF12" t="s">
        <v>1707</v>
      </c>
      <c r="BG12">
        <v>30</v>
      </c>
      <c r="BH12" s="12" t="s">
        <v>1709</v>
      </c>
      <c r="BI12" t="b">
        <v>0</v>
      </c>
      <c r="BJ12">
        <f t="shared" si="0"/>
        <v>0</v>
      </c>
    </row>
    <row r="13" spans="1:62" x14ac:dyDescent="0.2">
      <c r="A13" s="5" t="s">
        <v>3</v>
      </c>
      <c r="B13" s="6">
        <v>42089</v>
      </c>
      <c r="C13" s="7">
        <v>33.452089000000001</v>
      </c>
      <c r="D13" s="7">
        <v>-111.801075</v>
      </c>
      <c r="E13" s="17">
        <v>388</v>
      </c>
      <c r="F13" t="s">
        <v>1700</v>
      </c>
      <c r="G13" t="s">
        <v>1699</v>
      </c>
      <c r="H13" t="s">
        <v>1701</v>
      </c>
      <c r="I13">
        <v>1</v>
      </c>
      <c r="J13">
        <v>11.4791434896108</v>
      </c>
      <c r="K13">
        <v>61.406032745587098</v>
      </c>
      <c r="L13">
        <v>27.1148237648022</v>
      </c>
      <c r="M13">
        <v>1.16787549874639</v>
      </c>
      <c r="N13">
        <v>1.5994181219000501</v>
      </c>
      <c r="O13">
        <v>11.4052855180605</v>
      </c>
      <c r="P13">
        <v>1.6785972368455999</v>
      </c>
      <c r="Q13">
        <v>8.9580382009881596</v>
      </c>
      <c r="R13">
        <v>0.49222947936321798</v>
      </c>
      <c r="S13">
        <v>0.84599999999999997</v>
      </c>
      <c r="T13">
        <v>0.26</v>
      </c>
      <c r="U13">
        <v>0.52200000000000002</v>
      </c>
      <c r="V13">
        <v>0.17399999999999999</v>
      </c>
      <c r="W13">
        <v>0.32400000000000001</v>
      </c>
      <c r="X13">
        <v>8.5999999999999993E-2</v>
      </c>
      <c r="Y13">
        <v>1.2968299711815701</v>
      </c>
      <c r="Z13">
        <v>1.0071942446043201</v>
      </c>
      <c r="AA13">
        <v>8.07</v>
      </c>
      <c r="AB13">
        <v>0.17299999999999999</v>
      </c>
      <c r="AC13">
        <v>5.8315334773218002</v>
      </c>
      <c r="AD13">
        <v>3.66379310344827</v>
      </c>
      <c r="AE13">
        <v>5.7000000000000002E-2</v>
      </c>
      <c r="AF13">
        <v>7.6999999999999999E-2</v>
      </c>
      <c r="AG13">
        <v>1.2776994457452253</v>
      </c>
      <c r="AH13">
        <v>14.842105263157899</v>
      </c>
      <c r="AI13">
        <v>3.37662337662338</v>
      </c>
      <c r="AJ13" t="s">
        <v>1694</v>
      </c>
      <c r="AK13" t="s">
        <v>1694</v>
      </c>
      <c r="AL13" t="s">
        <v>1702</v>
      </c>
      <c r="AM13" t="s">
        <v>1703</v>
      </c>
      <c r="AN13" t="s">
        <v>1702</v>
      </c>
      <c r="AO13" t="s">
        <v>1703</v>
      </c>
      <c r="AP13" t="s">
        <v>1697</v>
      </c>
      <c r="AQ13" s="11" t="s">
        <v>1697</v>
      </c>
      <c r="AR13" t="s">
        <v>1703</v>
      </c>
      <c r="AS13" t="s">
        <v>1702</v>
      </c>
      <c r="AT13" t="s">
        <v>1703</v>
      </c>
      <c r="AU13" t="s">
        <v>1704</v>
      </c>
      <c r="AV13" t="s">
        <v>1705</v>
      </c>
      <c r="AW13" t="s">
        <v>1703</v>
      </c>
      <c r="AX13" t="s">
        <v>1706</v>
      </c>
      <c r="AY13" t="s">
        <v>1707</v>
      </c>
      <c r="AZ13" t="s">
        <v>1706</v>
      </c>
      <c r="BA13" t="s">
        <v>1700</v>
      </c>
      <c r="BB13" t="s">
        <v>1706</v>
      </c>
      <c r="BC13" t="s">
        <v>1707</v>
      </c>
      <c r="BD13" t="s">
        <v>1706</v>
      </c>
      <c r="BE13" t="s">
        <v>1706</v>
      </c>
      <c r="BF13" t="s">
        <v>1707</v>
      </c>
      <c r="BG13">
        <v>35</v>
      </c>
      <c r="BH13" s="12" t="s">
        <v>1709</v>
      </c>
      <c r="BI13" t="b">
        <v>0</v>
      </c>
      <c r="BJ13">
        <f t="shared" si="0"/>
        <v>0</v>
      </c>
    </row>
    <row r="14" spans="1:62" x14ac:dyDescent="0.2">
      <c r="A14" s="5" t="s">
        <v>3</v>
      </c>
      <c r="B14" s="6">
        <v>45072</v>
      </c>
      <c r="C14" s="7">
        <v>33.452089000000001</v>
      </c>
      <c r="D14" s="7">
        <v>-111.801075</v>
      </c>
      <c r="E14" s="17">
        <v>388</v>
      </c>
      <c r="F14" t="s">
        <v>1700</v>
      </c>
      <c r="G14" t="s">
        <v>1699</v>
      </c>
      <c r="H14" t="s">
        <v>1701</v>
      </c>
      <c r="I14">
        <v>1</v>
      </c>
      <c r="J14" t="s">
        <v>1697</v>
      </c>
      <c r="K14" t="s">
        <v>1697</v>
      </c>
      <c r="L14" t="s">
        <v>1697</v>
      </c>
      <c r="M14" t="s">
        <v>1697</v>
      </c>
      <c r="N14" t="s">
        <v>1697</v>
      </c>
      <c r="O14" t="s">
        <v>1697</v>
      </c>
      <c r="P14" t="s">
        <v>1697</v>
      </c>
      <c r="Q14" t="s">
        <v>1697</v>
      </c>
      <c r="R14" t="s">
        <v>1697</v>
      </c>
      <c r="S14" t="s">
        <v>1697</v>
      </c>
      <c r="T14" t="s">
        <v>1697</v>
      </c>
      <c r="U14" t="s">
        <v>1697</v>
      </c>
      <c r="V14" t="s">
        <v>1697</v>
      </c>
      <c r="W14" t="s">
        <v>1697</v>
      </c>
      <c r="X14" t="s">
        <v>1697</v>
      </c>
      <c r="Y14" t="s">
        <v>1697</v>
      </c>
      <c r="Z14" t="s">
        <v>1697</v>
      </c>
      <c r="AA14" t="s">
        <v>1697</v>
      </c>
      <c r="AB14" t="s">
        <v>1697</v>
      </c>
      <c r="AC14" t="s">
        <v>1697</v>
      </c>
      <c r="AD14" t="s">
        <v>1697</v>
      </c>
      <c r="AE14" t="s">
        <v>1697</v>
      </c>
      <c r="AF14" t="s">
        <v>1697</v>
      </c>
      <c r="AG14" t="s">
        <v>1697</v>
      </c>
      <c r="AH14" t="s">
        <v>1697</v>
      </c>
      <c r="AI14" t="s">
        <v>1697</v>
      </c>
      <c r="AJ14" t="s">
        <v>1694</v>
      </c>
      <c r="AK14" t="s">
        <v>1694</v>
      </c>
      <c r="AL14" t="s">
        <v>1702</v>
      </c>
      <c r="AM14" t="s">
        <v>1703</v>
      </c>
      <c r="AN14" t="s">
        <v>1702</v>
      </c>
      <c r="AO14" t="s">
        <v>1703</v>
      </c>
      <c r="AP14" t="s">
        <v>1697</v>
      </c>
      <c r="AQ14" s="11" t="s">
        <v>1697</v>
      </c>
      <c r="AR14" t="s">
        <v>1703</v>
      </c>
      <c r="AS14" t="s">
        <v>1702</v>
      </c>
      <c r="AT14" t="s">
        <v>1703</v>
      </c>
      <c r="AU14" t="s">
        <v>1704</v>
      </c>
      <c r="AV14" t="s">
        <v>1705</v>
      </c>
      <c r="AW14" t="s">
        <v>1703</v>
      </c>
      <c r="AX14" t="s">
        <v>1706</v>
      </c>
      <c r="AY14" t="s">
        <v>1707</v>
      </c>
      <c r="AZ14" t="s">
        <v>1706</v>
      </c>
      <c r="BA14" t="s">
        <v>1700</v>
      </c>
      <c r="BB14" t="s">
        <v>1706</v>
      </c>
      <c r="BC14" t="s">
        <v>1707</v>
      </c>
      <c r="BD14" t="s">
        <v>1706</v>
      </c>
      <c r="BE14" t="s">
        <v>1706</v>
      </c>
      <c r="BF14" t="s">
        <v>1707</v>
      </c>
      <c r="BG14" s="6" t="s">
        <v>1697</v>
      </c>
      <c r="BH14" s="6" t="s">
        <v>1697</v>
      </c>
      <c r="BI14" t="b">
        <v>1</v>
      </c>
      <c r="BJ14">
        <f t="shared" si="0"/>
        <v>1</v>
      </c>
    </row>
    <row r="15" spans="1:62" x14ac:dyDescent="0.2">
      <c r="A15" s="5" t="s">
        <v>4</v>
      </c>
      <c r="B15" s="6">
        <v>38406</v>
      </c>
      <c r="C15" s="7">
        <v>33.407322000000001</v>
      </c>
      <c r="D15" s="7">
        <v>-111.81524400000001</v>
      </c>
      <c r="E15" s="17">
        <v>376</v>
      </c>
      <c r="F15" t="s">
        <v>1706</v>
      </c>
      <c r="G15" t="s">
        <v>1710</v>
      </c>
      <c r="H15" t="s">
        <v>1710</v>
      </c>
      <c r="I15">
        <v>1</v>
      </c>
      <c r="J15" s="8">
        <v>15.675583375755526</v>
      </c>
      <c r="K15" s="8">
        <v>53.098641147813048</v>
      </c>
      <c r="L15" s="8">
        <v>31.225775476431423</v>
      </c>
      <c r="M15" s="8">
        <v>6.7130701716289503</v>
      </c>
      <c r="N15" s="8">
        <v>2.2123379856385008</v>
      </c>
      <c r="O15" s="8">
        <v>109.80190023298044</v>
      </c>
      <c r="P15" s="8">
        <v>146.34950977723778</v>
      </c>
      <c r="Q15" s="8">
        <v>25.063626467030968</v>
      </c>
      <c r="R15" s="8">
        <v>5.7129666290220857</v>
      </c>
      <c r="S15" s="8">
        <v>2.3530000000000002</v>
      </c>
      <c r="T15" s="8">
        <v>1.466</v>
      </c>
      <c r="U15" s="8">
        <v>0.82099999999999995</v>
      </c>
      <c r="V15" s="8">
        <v>1.17</v>
      </c>
      <c r="W15" s="8">
        <v>1.5320000000000003</v>
      </c>
      <c r="X15" s="8">
        <v>0.29600000000000004</v>
      </c>
      <c r="Y15" s="8">
        <v>5.1948051948051992</v>
      </c>
      <c r="Z15" s="8">
        <v>3.9794608472400572</v>
      </c>
      <c r="AA15" s="8">
        <v>8.06</v>
      </c>
      <c r="AB15">
        <v>0.26</v>
      </c>
      <c r="AC15" s="8">
        <v>12.012987012987015</v>
      </c>
      <c r="AD15" s="8">
        <v>13.093709884467259</v>
      </c>
      <c r="AE15" s="8">
        <v>0.109</v>
      </c>
      <c r="AF15" s="8">
        <v>5.8000000000000003E-2</v>
      </c>
      <c r="AG15" s="8">
        <v>1.1845212652685813</v>
      </c>
      <c r="AH15" s="8">
        <v>21.587155963302756</v>
      </c>
      <c r="AI15" s="8">
        <v>13.44954128440367</v>
      </c>
      <c r="AJ15" t="s">
        <v>1702</v>
      </c>
      <c r="AK15" t="s">
        <v>1703</v>
      </c>
      <c r="AL15" t="s">
        <v>1702</v>
      </c>
      <c r="AM15" t="s">
        <v>1703</v>
      </c>
      <c r="AN15" t="s">
        <v>1700</v>
      </c>
      <c r="AO15" t="s">
        <v>1700</v>
      </c>
      <c r="AP15" t="s">
        <v>1695</v>
      </c>
      <c r="AQ15" t="s">
        <v>1711</v>
      </c>
      <c r="AR15" t="s">
        <v>1711</v>
      </c>
      <c r="AS15" t="s">
        <v>1700</v>
      </c>
      <c r="AT15" t="s">
        <v>1700</v>
      </c>
      <c r="AU15" t="s">
        <v>1695</v>
      </c>
      <c r="AV15" t="s">
        <v>1711</v>
      </c>
      <c r="AW15" t="s">
        <v>1711</v>
      </c>
      <c r="AX15" t="s">
        <v>1695</v>
      </c>
      <c r="AY15" t="s">
        <v>1711</v>
      </c>
      <c r="AZ15" t="s">
        <v>1711</v>
      </c>
      <c r="BA15" t="s">
        <v>1700</v>
      </c>
      <c r="BB15" t="s">
        <v>1695</v>
      </c>
      <c r="BC15" t="s">
        <v>1711</v>
      </c>
      <c r="BD15" t="s">
        <v>1711</v>
      </c>
      <c r="BE15" t="s">
        <v>1695</v>
      </c>
      <c r="BF15" t="s">
        <v>1711</v>
      </c>
      <c r="BG15">
        <v>71</v>
      </c>
      <c r="BH15" s="12" t="s">
        <v>1712</v>
      </c>
      <c r="BI15" t="b">
        <v>0</v>
      </c>
      <c r="BJ15">
        <f t="shared" si="0"/>
        <v>0</v>
      </c>
    </row>
    <row r="16" spans="1:62" x14ac:dyDescent="0.2">
      <c r="A16" s="5" t="s">
        <v>4</v>
      </c>
      <c r="B16" s="6">
        <v>40311</v>
      </c>
      <c r="C16" s="7">
        <v>33.407322000000001</v>
      </c>
      <c r="D16" s="7">
        <v>-111.81524400000001</v>
      </c>
      <c r="E16" s="17">
        <v>376</v>
      </c>
      <c r="F16" t="s">
        <v>1706</v>
      </c>
      <c r="G16" t="s">
        <v>1710</v>
      </c>
      <c r="H16" t="s">
        <v>1710</v>
      </c>
      <c r="I16">
        <v>1</v>
      </c>
      <c r="J16" s="8">
        <v>16.951340136516816</v>
      </c>
      <c r="K16" s="8">
        <v>54.353613673357636</v>
      </c>
      <c r="L16" s="8">
        <v>28.695046190125552</v>
      </c>
      <c r="M16" s="8">
        <v>3.7386713578385016</v>
      </c>
      <c r="N16" s="8">
        <v>1.0301370369741421</v>
      </c>
      <c r="O16" s="8">
        <v>1.6074134052894902</v>
      </c>
      <c r="P16" s="8">
        <v>2.8417573433769445</v>
      </c>
      <c r="Q16" s="8">
        <v>24.827991569818568</v>
      </c>
      <c r="R16" s="8">
        <v>8.000639905199705</v>
      </c>
      <c r="S16" s="8">
        <v>2.1659999999999999</v>
      </c>
      <c r="T16" s="8">
        <v>1.5820000000000001</v>
      </c>
      <c r="U16" s="8">
        <v>0.71599999999999997</v>
      </c>
      <c r="V16" s="8">
        <v>0.95499999999999996</v>
      </c>
      <c r="W16" s="8">
        <v>1.45</v>
      </c>
      <c r="X16" s="8">
        <v>0.62700000000000011</v>
      </c>
      <c r="Y16" s="8">
        <v>5.1851851851851896</v>
      </c>
      <c r="Z16" s="8">
        <v>4.6666666666666714</v>
      </c>
      <c r="AA16" s="8">
        <v>8.27</v>
      </c>
      <c r="AB16">
        <v>0.317</v>
      </c>
      <c r="AC16" s="8">
        <v>3.7037037037037068</v>
      </c>
      <c r="AD16" s="8">
        <v>5.8333333333333268</v>
      </c>
      <c r="AE16" s="8">
        <v>0.115</v>
      </c>
      <c r="AF16" s="8">
        <v>6.5000000000000002E-2</v>
      </c>
      <c r="AG16" s="8">
        <v>1.3775923953636968</v>
      </c>
      <c r="AH16" s="8">
        <v>18.834782608695651</v>
      </c>
      <c r="AI16" s="8">
        <v>13.756521739130434</v>
      </c>
      <c r="AJ16" t="s">
        <v>1702</v>
      </c>
      <c r="AK16" t="s">
        <v>1703</v>
      </c>
      <c r="AL16" t="s">
        <v>1702</v>
      </c>
      <c r="AM16" t="s">
        <v>1703</v>
      </c>
      <c r="AN16" t="s">
        <v>1700</v>
      </c>
      <c r="AO16" t="s">
        <v>1700</v>
      </c>
      <c r="AP16" t="s">
        <v>1695</v>
      </c>
      <c r="AQ16" t="s">
        <v>1711</v>
      </c>
      <c r="AR16" t="s">
        <v>1711</v>
      </c>
      <c r="AS16" t="s">
        <v>1700</v>
      </c>
      <c r="AT16" t="s">
        <v>1700</v>
      </c>
      <c r="AU16" t="s">
        <v>1695</v>
      </c>
      <c r="AV16" t="s">
        <v>1711</v>
      </c>
      <c r="AW16" t="s">
        <v>1711</v>
      </c>
      <c r="AX16" t="s">
        <v>1695</v>
      </c>
      <c r="AY16" t="s">
        <v>1711</v>
      </c>
      <c r="AZ16" t="s">
        <v>1711</v>
      </c>
      <c r="BA16" t="s">
        <v>1700</v>
      </c>
      <c r="BB16" t="s">
        <v>1695</v>
      </c>
      <c r="BC16" t="s">
        <v>1711</v>
      </c>
      <c r="BD16" t="s">
        <v>1711</v>
      </c>
      <c r="BE16" t="s">
        <v>1695</v>
      </c>
      <c r="BF16" t="s">
        <v>1711</v>
      </c>
      <c r="BG16">
        <v>76</v>
      </c>
      <c r="BH16" s="12" t="s">
        <v>1712</v>
      </c>
      <c r="BI16" t="b">
        <v>0</v>
      </c>
      <c r="BJ16">
        <f t="shared" si="0"/>
        <v>0</v>
      </c>
    </row>
    <row r="17" spans="1:62" x14ac:dyDescent="0.2">
      <c r="A17" s="5" t="s">
        <v>4</v>
      </c>
      <c r="B17" s="6">
        <v>42157</v>
      </c>
      <c r="C17" s="7">
        <v>33.407322000000001</v>
      </c>
      <c r="D17" s="7">
        <v>-111.81524400000001</v>
      </c>
      <c r="E17" s="17">
        <v>376</v>
      </c>
      <c r="F17" t="s">
        <v>1706</v>
      </c>
      <c r="G17" t="s">
        <v>1710</v>
      </c>
      <c r="H17" t="s">
        <v>1710</v>
      </c>
      <c r="I17">
        <v>1</v>
      </c>
      <c r="J17">
        <v>8.5776226625777401</v>
      </c>
      <c r="K17">
        <v>85.224879614792698</v>
      </c>
      <c r="L17">
        <v>6.19749772262952</v>
      </c>
      <c r="M17">
        <v>16.076924381500799</v>
      </c>
      <c r="N17">
        <v>6.8678105817269897</v>
      </c>
      <c r="O17">
        <v>439.92311262106898</v>
      </c>
      <c r="P17">
        <v>13.2523850244412</v>
      </c>
      <c r="Q17">
        <v>7.3647817373542503</v>
      </c>
      <c r="R17">
        <v>11.752199380217199</v>
      </c>
      <c r="S17">
        <v>2.57</v>
      </c>
      <c r="T17">
        <v>1.7050000000000001</v>
      </c>
      <c r="U17">
        <v>1.329</v>
      </c>
      <c r="V17">
        <v>1.0840000000000001</v>
      </c>
      <c r="W17">
        <v>1.2410000000000001</v>
      </c>
      <c r="X17">
        <v>0.621</v>
      </c>
      <c r="Y17">
        <v>3.6284470246734402</v>
      </c>
      <c r="Z17">
        <v>2.0446096654275201</v>
      </c>
      <c r="AA17">
        <v>7.38</v>
      </c>
      <c r="AB17">
        <v>0.44600000000000001</v>
      </c>
      <c r="AC17">
        <v>2.36559139784947</v>
      </c>
      <c r="AD17">
        <v>3.1645569620253302</v>
      </c>
      <c r="AE17">
        <v>0.13700000000000001</v>
      </c>
      <c r="AF17">
        <v>7.5999999999999998E-2</v>
      </c>
      <c r="AG17">
        <v>1.2334630968162854</v>
      </c>
      <c r="AH17">
        <v>18.7591240875912</v>
      </c>
      <c r="AI17">
        <v>22.434210526315798</v>
      </c>
      <c r="AJ17" t="s">
        <v>1702</v>
      </c>
      <c r="AK17" t="s">
        <v>1703</v>
      </c>
      <c r="AL17" t="s">
        <v>1702</v>
      </c>
      <c r="AM17" t="s">
        <v>1703</v>
      </c>
      <c r="AN17" t="s">
        <v>1700</v>
      </c>
      <c r="AO17" t="s">
        <v>1700</v>
      </c>
      <c r="AP17" t="s">
        <v>1695</v>
      </c>
      <c r="AQ17" t="s">
        <v>1711</v>
      </c>
      <c r="AR17" t="s">
        <v>1711</v>
      </c>
      <c r="AS17" t="s">
        <v>1700</v>
      </c>
      <c r="AT17" t="s">
        <v>1700</v>
      </c>
      <c r="AU17" t="s">
        <v>1695</v>
      </c>
      <c r="AV17" t="s">
        <v>1711</v>
      </c>
      <c r="AW17" t="s">
        <v>1711</v>
      </c>
      <c r="AX17" t="s">
        <v>1695</v>
      </c>
      <c r="AY17" t="s">
        <v>1711</v>
      </c>
      <c r="AZ17" t="s">
        <v>1711</v>
      </c>
      <c r="BA17" t="s">
        <v>1700</v>
      </c>
      <c r="BB17" t="s">
        <v>1695</v>
      </c>
      <c r="BC17" t="s">
        <v>1711</v>
      </c>
      <c r="BD17" t="s">
        <v>1711</v>
      </c>
      <c r="BE17" t="s">
        <v>1695</v>
      </c>
      <c r="BF17" t="s">
        <v>1711</v>
      </c>
      <c r="BG17">
        <v>81</v>
      </c>
      <c r="BH17" t="s">
        <v>1713</v>
      </c>
      <c r="BI17" t="b">
        <v>0</v>
      </c>
      <c r="BJ17">
        <f t="shared" si="0"/>
        <v>0</v>
      </c>
    </row>
    <row r="18" spans="1:62" x14ac:dyDescent="0.2">
      <c r="A18" s="5" t="s">
        <v>4</v>
      </c>
      <c r="B18" s="6">
        <v>45082</v>
      </c>
      <c r="C18" s="7">
        <v>33.407322000000001</v>
      </c>
      <c r="D18" s="7">
        <v>-111.81524400000001</v>
      </c>
      <c r="E18" s="17">
        <v>376</v>
      </c>
      <c r="F18" t="s">
        <v>1706</v>
      </c>
      <c r="G18" t="s">
        <v>1724</v>
      </c>
      <c r="H18" t="s">
        <v>1724</v>
      </c>
      <c r="I18">
        <v>1</v>
      </c>
      <c r="J18" s="6" t="s">
        <v>1697</v>
      </c>
      <c r="K18" s="6" t="s">
        <v>1697</v>
      </c>
      <c r="L18" s="6" t="s">
        <v>1697</v>
      </c>
      <c r="M18" s="6" t="s">
        <v>1697</v>
      </c>
      <c r="N18" s="6" t="s">
        <v>1697</v>
      </c>
      <c r="O18" s="6" t="s">
        <v>1697</v>
      </c>
      <c r="P18" s="6" t="s">
        <v>1697</v>
      </c>
      <c r="Q18" s="6" t="s">
        <v>1697</v>
      </c>
      <c r="R18" s="6" t="s">
        <v>1697</v>
      </c>
      <c r="S18" s="6" t="s">
        <v>1697</v>
      </c>
      <c r="T18" s="6" t="s">
        <v>1697</v>
      </c>
      <c r="U18" s="6" t="s">
        <v>1697</v>
      </c>
      <c r="V18" s="6" t="s">
        <v>1697</v>
      </c>
      <c r="W18" s="6" t="s">
        <v>1697</v>
      </c>
      <c r="X18" s="6" t="s">
        <v>1697</v>
      </c>
      <c r="Y18" s="6" t="s">
        <v>1697</v>
      </c>
      <c r="Z18" s="6" t="s">
        <v>1697</v>
      </c>
      <c r="AA18" s="6" t="s">
        <v>1697</v>
      </c>
      <c r="AB18" s="6" t="s">
        <v>1697</v>
      </c>
      <c r="AC18" s="6" t="s">
        <v>1697</v>
      </c>
      <c r="AD18" s="6" t="s">
        <v>1697</v>
      </c>
      <c r="AE18" s="6" t="s">
        <v>1697</v>
      </c>
      <c r="AF18" s="6" t="s">
        <v>1697</v>
      </c>
      <c r="AG18" s="6" t="s">
        <v>1697</v>
      </c>
      <c r="AH18" s="6" t="s">
        <v>1697</v>
      </c>
      <c r="AI18" s="6" t="s">
        <v>1697</v>
      </c>
      <c r="AJ18" t="s">
        <v>1702</v>
      </c>
      <c r="AK18" t="s">
        <v>1703</v>
      </c>
      <c r="AL18" t="s">
        <v>1702</v>
      </c>
      <c r="AM18" t="s">
        <v>1703</v>
      </c>
      <c r="AN18" t="s">
        <v>1700</v>
      </c>
      <c r="AO18" t="s">
        <v>1700</v>
      </c>
      <c r="AP18" t="s">
        <v>1695</v>
      </c>
      <c r="AQ18" t="s">
        <v>1711</v>
      </c>
      <c r="AR18" t="s">
        <v>1711</v>
      </c>
      <c r="AS18" t="s">
        <v>1700</v>
      </c>
      <c r="AT18" t="s">
        <v>1700</v>
      </c>
      <c r="AU18" t="s">
        <v>1695</v>
      </c>
      <c r="AV18" t="s">
        <v>1711</v>
      </c>
      <c r="AW18" t="s">
        <v>1711</v>
      </c>
      <c r="AX18" t="s">
        <v>1695</v>
      </c>
      <c r="AY18" t="s">
        <v>1711</v>
      </c>
      <c r="AZ18" t="s">
        <v>1711</v>
      </c>
      <c r="BA18" t="s">
        <v>1700</v>
      </c>
      <c r="BB18" t="s">
        <v>1695</v>
      </c>
      <c r="BC18" t="s">
        <v>1711</v>
      </c>
      <c r="BD18" t="s">
        <v>1711</v>
      </c>
      <c r="BE18" t="s">
        <v>1695</v>
      </c>
      <c r="BF18" t="s">
        <v>1711</v>
      </c>
      <c r="BG18" s="6" t="s">
        <v>1697</v>
      </c>
      <c r="BH18" s="6" t="s">
        <v>1697</v>
      </c>
      <c r="BI18" t="b">
        <v>0</v>
      </c>
      <c r="BJ18">
        <f t="shared" si="0"/>
        <v>0</v>
      </c>
    </row>
    <row r="19" spans="1:62" x14ac:dyDescent="0.2">
      <c r="A19" s="5" t="s">
        <v>5</v>
      </c>
      <c r="B19" s="6">
        <v>38478</v>
      </c>
      <c r="C19" s="7">
        <v>33.357053000000001</v>
      </c>
      <c r="D19" s="7">
        <v>-111.80610299999999</v>
      </c>
      <c r="E19" s="17">
        <v>373</v>
      </c>
      <c r="F19" t="s">
        <v>1700</v>
      </c>
      <c r="G19" s="11" t="s">
        <v>1714</v>
      </c>
      <c r="H19" t="s">
        <v>1715</v>
      </c>
      <c r="I19">
        <v>1</v>
      </c>
      <c r="J19" s="8">
        <v>18.908417869874249</v>
      </c>
      <c r="K19" s="8">
        <v>68.299426246637935</v>
      </c>
      <c r="L19" s="8">
        <v>12.792155883487823</v>
      </c>
      <c r="M19" s="8">
        <v>3.1486983837460993</v>
      </c>
      <c r="N19" s="8">
        <v>1.8009949738416795</v>
      </c>
      <c r="O19" s="8">
        <v>3.9358729796826242</v>
      </c>
      <c r="P19" s="8">
        <v>172.24061022558607</v>
      </c>
      <c r="Q19" s="8">
        <v>34.298321680091441</v>
      </c>
      <c r="R19" s="8">
        <v>5.3741915849526469</v>
      </c>
      <c r="S19" s="8">
        <v>0.93899999999999995</v>
      </c>
      <c r="T19" s="8">
        <v>0.78100000000000003</v>
      </c>
      <c r="U19" s="8">
        <v>0.61199999999999999</v>
      </c>
      <c r="V19" s="8">
        <v>0.746</v>
      </c>
      <c r="W19" s="8">
        <v>0.32699999999999996</v>
      </c>
      <c r="X19" s="8">
        <v>3.5000000000000031E-2</v>
      </c>
      <c r="Y19" s="8">
        <v>2.4532710280373933</v>
      </c>
      <c r="Z19" s="8">
        <v>2.3809523809523592</v>
      </c>
      <c r="AA19" s="8">
        <v>7.86</v>
      </c>
      <c r="AB19">
        <v>1.7070000000000001</v>
      </c>
      <c r="AC19" s="8">
        <v>5.2570093457943843</v>
      </c>
      <c r="AD19" s="8">
        <v>9.6825396825397032</v>
      </c>
      <c r="AE19" s="8">
        <v>3.9E-2</v>
      </c>
      <c r="AF19" s="8">
        <v>2.7E-2</v>
      </c>
      <c r="AG19" s="8">
        <v>1.4949608332091981</v>
      </c>
      <c r="AH19" s="8">
        <v>24.076923076923077</v>
      </c>
      <c r="AI19" s="8">
        <v>20.025641025641026</v>
      </c>
      <c r="AJ19" t="s">
        <v>1694</v>
      </c>
      <c r="AK19" t="s">
        <v>1694</v>
      </c>
      <c r="AL19" t="s">
        <v>1702</v>
      </c>
      <c r="AM19" t="s">
        <v>1703</v>
      </c>
      <c r="AN19" t="s">
        <v>1702</v>
      </c>
      <c r="AO19" t="s">
        <v>1703</v>
      </c>
      <c r="AP19" t="s">
        <v>1716</v>
      </c>
      <c r="AQ19" t="s">
        <v>1719</v>
      </c>
      <c r="AR19" t="s">
        <v>1703</v>
      </c>
      <c r="AS19" t="s">
        <v>1702</v>
      </c>
      <c r="AT19" t="s">
        <v>1703</v>
      </c>
      <c r="AU19" t="s">
        <v>1716</v>
      </c>
      <c r="AV19" t="s">
        <v>1719</v>
      </c>
      <c r="AW19" t="s">
        <v>1714</v>
      </c>
      <c r="AX19" t="s">
        <v>1716</v>
      </c>
      <c r="AY19" t="s">
        <v>1719</v>
      </c>
      <c r="AZ19" t="s">
        <v>1714</v>
      </c>
      <c r="BA19" t="s">
        <v>1694</v>
      </c>
      <c r="BB19" t="s">
        <v>1716</v>
      </c>
      <c r="BC19" t="s">
        <v>1718</v>
      </c>
      <c r="BD19" t="s">
        <v>1714</v>
      </c>
      <c r="BE19" t="s">
        <v>1716</v>
      </c>
      <c r="BF19" t="s">
        <v>1718</v>
      </c>
      <c r="BG19">
        <v>5</v>
      </c>
      <c r="BH19" s="12" t="s">
        <v>1708</v>
      </c>
      <c r="BI19" t="b">
        <v>0</v>
      </c>
      <c r="BJ19">
        <f t="shared" si="0"/>
        <v>0</v>
      </c>
    </row>
    <row r="20" spans="1:62" x14ac:dyDescent="0.2">
      <c r="A20" s="5" t="s">
        <v>5</v>
      </c>
      <c r="B20" s="6">
        <v>40297</v>
      </c>
      <c r="C20" s="7">
        <v>33.357053000000001</v>
      </c>
      <c r="D20" s="7">
        <v>-111.80610299999999</v>
      </c>
      <c r="E20" s="17">
        <v>373</v>
      </c>
      <c r="F20" t="s">
        <v>1700</v>
      </c>
      <c r="G20" s="11" t="s">
        <v>1714</v>
      </c>
      <c r="H20" t="s">
        <v>1715</v>
      </c>
      <c r="I20">
        <v>1</v>
      </c>
      <c r="J20" s="8">
        <v>18.499199079339132</v>
      </c>
      <c r="K20" s="8">
        <v>59.852964288664197</v>
      </c>
      <c r="L20" s="8">
        <v>21.647836631996668</v>
      </c>
      <c r="M20" s="8">
        <v>5.0000000000000001E-3</v>
      </c>
      <c r="N20" s="8">
        <v>5.0000000000000001E-3</v>
      </c>
      <c r="O20" s="8">
        <v>55.466729112125613</v>
      </c>
      <c r="P20" s="8">
        <v>108.40046239407548</v>
      </c>
      <c r="Q20" s="8">
        <v>11.404371777514001</v>
      </c>
      <c r="R20" s="8">
        <v>16.654967150973764</v>
      </c>
      <c r="S20" s="8">
        <v>0.78100000000000003</v>
      </c>
      <c r="T20" s="8">
        <v>0.83</v>
      </c>
      <c r="U20" s="8">
        <v>0.53300000000000003</v>
      </c>
      <c r="V20" s="8">
        <v>0.68300000000000005</v>
      </c>
      <c r="W20" s="8">
        <v>0.248</v>
      </c>
      <c r="X20" s="8">
        <v>0.14699999999999991</v>
      </c>
      <c r="Y20" s="8">
        <v>2.7237354085603047</v>
      </c>
      <c r="Z20" s="8">
        <v>3.4883720930232407</v>
      </c>
      <c r="AA20" s="8">
        <v>8.48</v>
      </c>
      <c r="AB20">
        <v>0.312</v>
      </c>
      <c r="AC20" s="8">
        <v>4.863813229571984</v>
      </c>
      <c r="AD20" s="8">
        <v>11.461794019933578</v>
      </c>
      <c r="AE20" s="8">
        <v>2.8000000000000001E-2</v>
      </c>
      <c r="AF20" s="8">
        <v>3.3000000000000002E-2</v>
      </c>
      <c r="AG20" s="8">
        <v>1.3079316565005519</v>
      </c>
      <c r="AH20" s="8">
        <v>27.892857142857142</v>
      </c>
      <c r="AI20" s="8">
        <v>29.642857142857142</v>
      </c>
      <c r="AJ20" t="s">
        <v>1694</v>
      </c>
      <c r="AK20" t="s">
        <v>1694</v>
      </c>
      <c r="AL20" t="s">
        <v>1702</v>
      </c>
      <c r="AM20" t="s">
        <v>1703</v>
      </c>
      <c r="AN20" t="s">
        <v>1702</v>
      </c>
      <c r="AO20" t="s">
        <v>1703</v>
      </c>
      <c r="AP20" t="s">
        <v>1716</v>
      </c>
      <c r="AQ20" t="s">
        <v>1719</v>
      </c>
      <c r="AR20" t="s">
        <v>1703</v>
      </c>
      <c r="AS20" t="s">
        <v>1702</v>
      </c>
      <c r="AT20" t="s">
        <v>1703</v>
      </c>
      <c r="AU20" t="s">
        <v>1716</v>
      </c>
      <c r="AV20" t="s">
        <v>1719</v>
      </c>
      <c r="AW20" t="s">
        <v>1714</v>
      </c>
      <c r="AX20" t="s">
        <v>1716</v>
      </c>
      <c r="AY20" t="s">
        <v>1719</v>
      </c>
      <c r="AZ20" t="s">
        <v>1714</v>
      </c>
      <c r="BA20" t="s">
        <v>1694</v>
      </c>
      <c r="BB20" t="s">
        <v>1716</v>
      </c>
      <c r="BC20" t="s">
        <v>1718</v>
      </c>
      <c r="BD20" t="s">
        <v>1714</v>
      </c>
      <c r="BE20" t="s">
        <v>1716</v>
      </c>
      <c r="BF20" t="s">
        <v>1718</v>
      </c>
      <c r="BG20">
        <v>10</v>
      </c>
      <c r="BH20" s="12" t="s">
        <v>1708</v>
      </c>
      <c r="BI20" t="b">
        <v>1</v>
      </c>
      <c r="BJ20">
        <f t="shared" si="0"/>
        <v>1</v>
      </c>
    </row>
    <row r="21" spans="1:62" x14ac:dyDescent="0.2">
      <c r="A21" s="5" t="s">
        <v>5</v>
      </c>
      <c r="B21" s="6">
        <v>42055</v>
      </c>
      <c r="C21" s="7">
        <v>33.357053000000001</v>
      </c>
      <c r="D21" s="7">
        <v>-111.80610299999999</v>
      </c>
      <c r="E21" s="17">
        <v>373</v>
      </c>
      <c r="F21" t="s">
        <v>1697</v>
      </c>
      <c r="G21" t="s">
        <v>1697</v>
      </c>
      <c r="H21" t="s">
        <v>1697</v>
      </c>
      <c r="I21" t="s">
        <v>1697</v>
      </c>
      <c r="J21">
        <v>22.8457681445195</v>
      </c>
      <c r="K21">
        <v>69.087668633785896</v>
      </c>
      <c r="L21">
        <v>8.0665632216945191</v>
      </c>
      <c r="M21">
        <v>4.9435115979526199</v>
      </c>
      <c r="N21">
        <v>2.7773450036809901</v>
      </c>
      <c r="O21">
        <v>41.6588056007243</v>
      </c>
      <c r="P21">
        <v>120.287769814597</v>
      </c>
      <c r="Q21">
        <v>6.8603014788202001</v>
      </c>
      <c r="R21">
        <v>5.6146134846584097</v>
      </c>
      <c r="S21">
        <v>1.2629999999999999</v>
      </c>
      <c r="T21">
        <v>0.80200000000000005</v>
      </c>
      <c r="U21">
        <v>0.71</v>
      </c>
      <c r="V21">
        <v>0.64400000000000002</v>
      </c>
      <c r="W21">
        <v>0.55300000000000005</v>
      </c>
      <c r="X21">
        <v>0.158</v>
      </c>
      <c r="Y21">
        <v>1.84544405997693</v>
      </c>
      <c r="Z21">
        <v>2.2067363530778099</v>
      </c>
      <c r="AA21">
        <v>8.31</v>
      </c>
      <c r="AB21">
        <v>0.48599999999999999</v>
      </c>
      <c r="AC21">
        <v>4.3410852713178203</v>
      </c>
      <c r="AD21">
        <v>5.8359621451104298</v>
      </c>
      <c r="AE21">
        <v>7.0999999999999994E-2</v>
      </c>
      <c r="AF21">
        <v>9.6000000000000002E-2</v>
      </c>
      <c r="AG21">
        <v>1.3300561237856157</v>
      </c>
      <c r="AH21">
        <v>17.7887323943662</v>
      </c>
      <c r="AI21">
        <v>8.3541666666666696</v>
      </c>
      <c r="AJ21" t="s">
        <v>1694</v>
      </c>
      <c r="AK21" t="s">
        <v>1694</v>
      </c>
      <c r="AL21" t="s">
        <v>1702</v>
      </c>
      <c r="AM21" t="s">
        <v>1703</v>
      </c>
      <c r="AN21" t="s">
        <v>1702</v>
      </c>
      <c r="AO21" t="s">
        <v>1703</v>
      </c>
      <c r="AP21" t="s">
        <v>1716</v>
      </c>
      <c r="AQ21" t="s">
        <v>1719</v>
      </c>
      <c r="AR21" t="s">
        <v>1703</v>
      </c>
      <c r="AS21" t="s">
        <v>1702</v>
      </c>
      <c r="AT21" t="s">
        <v>1703</v>
      </c>
      <c r="AU21" t="s">
        <v>1716</v>
      </c>
      <c r="AV21" t="s">
        <v>1719</v>
      </c>
      <c r="AW21" t="s">
        <v>1714</v>
      </c>
      <c r="AX21" t="s">
        <v>1716</v>
      </c>
      <c r="AY21" t="s">
        <v>1719</v>
      </c>
      <c r="AZ21" t="s">
        <v>1714</v>
      </c>
      <c r="BA21" t="s">
        <v>1694</v>
      </c>
      <c r="BB21" t="s">
        <v>1716</v>
      </c>
      <c r="BC21" t="s">
        <v>1718</v>
      </c>
      <c r="BD21" t="s">
        <v>1714</v>
      </c>
      <c r="BE21" t="s">
        <v>1716</v>
      </c>
      <c r="BF21" t="s">
        <v>1718</v>
      </c>
      <c r="BG21">
        <v>15</v>
      </c>
      <c r="BH21" s="12" t="s">
        <v>1708</v>
      </c>
      <c r="BI21" t="b">
        <v>0</v>
      </c>
      <c r="BJ21">
        <f t="shared" si="0"/>
        <v>0</v>
      </c>
    </row>
    <row r="22" spans="1:62" x14ac:dyDescent="0.2">
      <c r="A22" s="5" t="s">
        <v>5</v>
      </c>
      <c r="B22" s="6">
        <v>45079</v>
      </c>
      <c r="C22" s="7">
        <v>33.357053000000001</v>
      </c>
      <c r="D22" s="7">
        <v>-111.80610299999999</v>
      </c>
      <c r="E22" s="17">
        <v>373</v>
      </c>
      <c r="F22" t="s">
        <v>1741</v>
      </c>
      <c r="G22" t="s">
        <v>1743</v>
      </c>
      <c r="H22" t="s">
        <v>1757</v>
      </c>
      <c r="I22">
        <v>1</v>
      </c>
      <c r="J22" s="6" t="s">
        <v>1697</v>
      </c>
      <c r="K22" s="6" t="s">
        <v>1697</v>
      </c>
      <c r="L22" s="6" t="s">
        <v>1697</v>
      </c>
      <c r="M22" s="6" t="s">
        <v>1697</v>
      </c>
      <c r="N22" s="6" t="s">
        <v>1697</v>
      </c>
      <c r="O22" s="6" t="s">
        <v>1697</v>
      </c>
      <c r="P22" s="6" t="s">
        <v>1697</v>
      </c>
      <c r="Q22" s="6" t="s">
        <v>1697</v>
      </c>
      <c r="R22" s="6" t="s">
        <v>1697</v>
      </c>
      <c r="S22" s="6" t="s">
        <v>1697</v>
      </c>
      <c r="T22" s="6" t="s">
        <v>1697</v>
      </c>
      <c r="U22" s="6" t="s">
        <v>1697</v>
      </c>
      <c r="V22" s="6" t="s">
        <v>1697</v>
      </c>
      <c r="W22" s="6" t="s">
        <v>1697</v>
      </c>
      <c r="X22" s="6" t="s">
        <v>1697</v>
      </c>
      <c r="Y22" s="6" t="s">
        <v>1697</v>
      </c>
      <c r="Z22" s="6" t="s">
        <v>1697</v>
      </c>
      <c r="AA22" s="6" t="s">
        <v>1697</v>
      </c>
      <c r="AB22" s="6" t="s">
        <v>1697</v>
      </c>
      <c r="AC22" s="6" t="s">
        <v>1697</v>
      </c>
      <c r="AD22" s="6" t="s">
        <v>1697</v>
      </c>
      <c r="AE22" s="6" t="s">
        <v>1697</v>
      </c>
      <c r="AF22" s="6" t="s">
        <v>1697</v>
      </c>
      <c r="AG22" s="6" t="s">
        <v>1697</v>
      </c>
      <c r="AH22" s="6" t="s">
        <v>1697</v>
      </c>
      <c r="AI22" s="6" t="s">
        <v>1697</v>
      </c>
      <c r="AJ22" t="s">
        <v>1694</v>
      </c>
      <c r="AK22" t="s">
        <v>1694</v>
      </c>
      <c r="AL22" t="s">
        <v>1702</v>
      </c>
      <c r="AM22" t="s">
        <v>1703</v>
      </c>
      <c r="AN22" t="s">
        <v>1702</v>
      </c>
      <c r="AO22" t="s">
        <v>1703</v>
      </c>
      <c r="AP22" t="s">
        <v>1716</v>
      </c>
      <c r="AQ22" t="s">
        <v>1719</v>
      </c>
      <c r="AR22" t="s">
        <v>1703</v>
      </c>
      <c r="AS22" t="s">
        <v>1702</v>
      </c>
      <c r="AT22" t="s">
        <v>1703</v>
      </c>
      <c r="AU22" t="s">
        <v>1716</v>
      </c>
      <c r="AV22" t="s">
        <v>1719</v>
      </c>
      <c r="AW22" t="s">
        <v>1714</v>
      </c>
      <c r="AX22" t="s">
        <v>1716</v>
      </c>
      <c r="AY22" t="s">
        <v>1719</v>
      </c>
      <c r="AZ22" t="s">
        <v>1714</v>
      </c>
      <c r="BA22" t="s">
        <v>1694</v>
      </c>
      <c r="BB22" t="s">
        <v>1716</v>
      </c>
      <c r="BC22" t="s">
        <v>1718</v>
      </c>
      <c r="BD22" t="s">
        <v>1714</v>
      </c>
      <c r="BE22" t="s">
        <v>1716</v>
      </c>
      <c r="BF22" t="s">
        <v>1718</v>
      </c>
      <c r="BG22" s="6" t="s">
        <v>1697</v>
      </c>
      <c r="BH22" s="6" t="s">
        <v>1697</v>
      </c>
      <c r="BI22" t="b">
        <v>1</v>
      </c>
      <c r="BJ22">
        <f t="shared" si="0"/>
        <v>1</v>
      </c>
    </row>
    <row r="23" spans="1:62" x14ac:dyDescent="0.2">
      <c r="A23" s="5" t="s">
        <v>6</v>
      </c>
      <c r="B23" s="6">
        <v>38406</v>
      </c>
      <c r="C23" s="7">
        <v>33.315772000000003</v>
      </c>
      <c r="D23" s="7">
        <v>-111.82365</v>
      </c>
      <c r="E23" s="17">
        <v>372</v>
      </c>
      <c r="F23" t="s">
        <v>1703</v>
      </c>
      <c r="G23" t="s">
        <v>1720</v>
      </c>
      <c r="H23" t="s">
        <v>1721</v>
      </c>
      <c r="I23">
        <v>0</v>
      </c>
      <c r="J23" s="8">
        <v>17.640297086202118</v>
      </c>
      <c r="K23" s="8">
        <v>68.082559718523342</v>
      </c>
      <c r="L23" s="8">
        <v>14.277143195274533</v>
      </c>
      <c r="M23" s="8">
        <v>1.0509532566103745</v>
      </c>
      <c r="N23" s="8">
        <v>1.2722052296809323</v>
      </c>
      <c r="O23" s="8">
        <v>108.08650031446697</v>
      </c>
      <c r="P23" s="8">
        <v>71.163980035277149</v>
      </c>
      <c r="Q23" s="8">
        <v>146.28096174892752</v>
      </c>
      <c r="R23" s="8">
        <v>49.936107208895429</v>
      </c>
      <c r="S23" s="8">
        <v>1.8</v>
      </c>
      <c r="T23" s="8">
        <v>0.50600000000000001</v>
      </c>
      <c r="U23" s="8">
        <v>0.27100000000000002</v>
      </c>
      <c r="V23" s="8">
        <v>0.28000000000000003</v>
      </c>
      <c r="W23" s="8">
        <v>1.5289999999999999</v>
      </c>
      <c r="X23" s="8">
        <v>0.22599999999999998</v>
      </c>
      <c r="Y23" s="8">
        <v>5.1813471502590787</v>
      </c>
      <c r="Z23" s="8">
        <v>2.5763358778625913</v>
      </c>
      <c r="AA23" s="8">
        <v>7.66</v>
      </c>
      <c r="AB23">
        <v>2.2599999999999998</v>
      </c>
      <c r="AC23" s="8">
        <v>15.889464594127803</v>
      </c>
      <c r="AD23" s="8">
        <v>13.645038167938928</v>
      </c>
      <c r="AE23" s="8">
        <v>0.155</v>
      </c>
      <c r="AF23" s="8">
        <v>3.5000000000000003E-2</v>
      </c>
      <c r="AG23" s="8">
        <v>1.4043737584406182</v>
      </c>
      <c r="AH23" s="8">
        <v>11.612903225806452</v>
      </c>
      <c r="AI23" s="8">
        <v>3.2645161290322582</v>
      </c>
      <c r="AJ23" t="s">
        <v>1702</v>
      </c>
      <c r="AK23" t="s">
        <v>1703</v>
      </c>
      <c r="AL23" t="s">
        <v>1702</v>
      </c>
      <c r="AM23" t="s">
        <v>1703</v>
      </c>
      <c r="AN23" t="s">
        <v>1702</v>
      </c>
      <c r="AO23" t="s">
        <v>1703</v>
      </c>
      <c r="AP23" t="s">
        <v>1702</v>
      </c>
      <c r="AQ23" t="s">
        <v>1705</v>
      </c>
      <c r="AR23" t="s">
        <v>1703</v>
      </c>
      <c r="AS23" t="s">
        <v>1702</v>
      </c>
      <c r="AT23" t="s">
        <v>1703</v>
      </c>
      <c r="AU23" t="s">
        <v>1704</v>
      </c>
      <c r="AV23" t="s">
        <v>1722</v>
      </c>
      <c r="AW23" t="s">
        <v>1703</v>
      </c>
      <c r="AX23" t="s">
        <v>1706</v>
      </c>
      <c r="AY23" t="s">
        <v>1723</v>
      </c>
      <c r="AZ23" t="s">
        <v>1706</v>
      </c>
      <c r="BA23" t="s">
        <v>1700</v>
      </c>
      <c r="BB23" t="s">
        <v>1706</v>
      </c>
      <c r="BC23" t="s">
        <v>1723</v>
      </c>
      <c r="BD23" t="s">
        <v>1706</v>
      </c>
      <c r="BE23" t="s">
        <v>1706</v>
      </c>
      <c r="BF23" t="s">
        <v>1723</v>
      </c>
      <c r="BG23">
        <v>25</v>
      </c>
      <c r="BH23" s="12" t="s">
        <v>1709</v>
      </c>
      <c r="BI23" t="b">
        <v>0</v>
      </c>
      <c r="BJ23">
        <f t="shared" si="0"/>
        <v>0</v>
      </c>
    </row>
    <row r="24" spans="1:62" x14ac:dyDescent="0.2">
      <c r="A24" s="5" t="s">
        <v>6</v>
      </c>
      <c r="B24" s="6">
        <v>40336</v>
      </c>
      <c r="C24" s="7">
        <v>33.315772000000003</v>
      </c>
      <c r="D24" s="7">
        <v>-111.82365</v>
      </c>
      <c r="E24" s="17">
        <v>372</v>
      </c>
      <c r="F24" t="s">
        <v>1711</v>
      </c>
      <c r="G24" t="s">
        <v>1711</v>
      </c>
      <c r="H24" t="s">
        <v>1711</v>
      </c>
      <c r="I24">
        <v>1</v>
      </c>
      <c r="J24" s="8">
        <v>16.573291791953658</v>
      </c>
      <c r="K24" s="8">
        <v>60.002502394280015</v>
      </c>
      <c r="L24" s="8">
        <v>23.424205813766321</v>
      </c>
      <c r="M24" s="8">
        <v>2.4182232271724771</v>
      </c>
      <c r="N24" s="8">
        <v>44.04408918750152</v>
      </c>
      <c r="O24" s="8">
        <v>34.431655221329969</v>
      </c>
      <c r="P24" s="8">
        <v>90.034878449588732</v>
      </c>
      <c r="Q24" s="8">
        <v>8.7009854185267645</v>
      </c>
      <c r="R24" s="8">
        <v>270.10945391330728</v>
      </c>
      <c r="S24" s="8">
        <v>1.3819999999999999</v>
      </c>
      <c r="T24" s="8">
        <v>1.4430000000000001</v>
      </c>
      <c r="U24" s="8">
        <v>1.022</v>
      </c>
      <c r="V24" s="8">
        <v>0.27800000000000002</v>
      </c>
      <c r="W24" s="8">
        <v>0.35999999999999988</v>
      </c>
      <c r="X24" s="8">
        <v>1.165</v>
      </c>
      <c r="Y24" s="8">
        <v>3.4615384615384728</v>
      </c>
      <c r="Z24" s="8">
        <v>4.1121495327102924</v>
      </c>
      <c r="AA24" s="8">
        <v>8.27</v>
      </c>
      <c r="AB24">
        <v>0.72</v>
      </c>
      <c r="AC24" s="8">
        <v>1.5384615384615397</v>
      </c>
      <c r="AD24" s="8">
        <v>2.2429906542056095</v>
      </c>
      <c r="AE24" s="8">
        <v>2.5000000000000001E-2</v>
      </c>
      <c r="AF24" s="8">
        <v>0.126</v>
      </c>
      <c r="AG24" s="8">
        <v>1.5748262101271842</v>
      </c>
      <c r="AH24" s="8">
        <v>55.279999999999994</v>
      </c>
      <c r="AI24" s="8">
        <v>57.72</v>
      </c>
      <c r="AJ24" t="s">
        <v>1702</v>
      </c>
      <c r="AK24" t="s">
        <v>1703</v>
      </c>
      <c r="AL24" t="s">
        <v>1702</v>
      </c>
      <c r="AM24" t="s">
        <v>1703</v>
      </c>
      <c r="AN24" t="s">
        <v>1702</v>
      </c>
      <c r="AO24" t="s">
        <v>1703</v>
      </c>
      <c r="AP24" t="s">
        <v>1702</v>
      </c>
      <c r="AQ24" t="s">
        <v>1705</v>
      </c>
      <c r="AR24" t="s">
        <v>1703</v>
      </c>
      <c r="AS24" t="s">
        <v>1702</v>
      </c>
      <c r="AT24" t="s">
        <v>1703</v>
      </c>
      <c r="AU24" t="s">
        <v>1704</v>
      </c>
      <c r="AV24" t="s">
        <v>1722</v>
      </c>
      <c r="AW24" t="s">
        <v>1703</v>
      </c>
      <c r="AX24" t="s">
        <v>1706</v>
      </c>
      <c r="AY24" t="s">
        <v>1723</v>
      </c>
      <c r="AZ24" t="s">
        <v>1706</v>
      </c>
      <c r="BA24" t="s">
        <v>1700</v>
      </c>
      <c r="BB24" t="s">
        <v>1706</v>
      </c>
      <c r="BC24" t="s">
        <v>1723</v>
      </c>
      <c r="BD24" t="s">
        <v>1706</v>
      </c>
      <c r="BE24" t="s">
        <v>1706</v>
      </c>
      <c r="BF24" t="s">
        <v>1723</v>
      </c>
      <c r="BG24">
        <v>30</v>
      </c>
      <c r="BH24" s="12" t="s">
        <v>1709</v>
      </c>
      <c r="BI24" t="b">
        <v>0</v>
      </c>
      <c r="BJ24">
        <f t="shared" si="0"/>
        <v>0</v>
      </c>
    </row>
    <row r="25" spans="1:62" x14ac:dyDescent="0.2">
      <c r="A25" s="5" t="s">
        <v>6</v>
      </c>
      <c r="B25" s="6">
        <v>42184</v>
      </c>
      <c r="C25" s="7">
        <v>33.315772000000003</v>
      </c>
      <c r="D25" s="7">
        <v>-111.82365</v>
      </c>
      <c r="E25" s="17">
        <v>372</v>
      </c>
      <c r="F25" t="s">
        <v>1706</v>
      </c>
      <c r="G25" t="s">
        <v>1724</v>
      </c>
      <c r="H25" t="s">
        <v>1724</v>
      </c>
      <c r="I25">
        <v>1</v>
      </c>
      <c r="J25">
        <v>19.894074807080301</v>
      </c>
      <c r="K25">
        <v>57.507874477402098</v>
      </c>
      <c r="L25">
        <v>22.598050715517498</v>
      </c>
      <c r="M25">
        <v>8.813007519688</v>
      </c>
      <c r="N25">
        <v>84.740456920076895</v>
      </c>
      <c r="O25">
        <v>317.553712247867</v>
      </c>
      <c r="P25">
        <v>847.40456920076895</v>
      </c>
      <c r="Q25">
        <v>5.9546075347756604</v>
      </c>
      <c r="R25">
        <v>1.68064886164742</v>
      </c>
      <c r="S25">
        <v>1.37</v>
      </c>
      <c r="T25">
        <v>1.63</v>
      </c>
      <c r="U25">
        <v>1.2689999999999999</v>
      </c>
      <c r="V25">
        <v>0.63300000000000001</v>
      </c>
      <c r="W25">
        <v>0.10100000000000001</v>
      </c>
      <c r="X25">
        <v>0.997</v>
      </c>
      <c r="Y25">
        <v>2.60972716488729</v>
      </c>
      <c r="Z25">
        <v>3.2085561497326198</v>
      </c>
      <c r="AA25">
        <v>8.17</v>
      </c>
      <c r="AB25">
        <v>1.1299999999999999</v>
      </c>
      <c r="AC25">
        <v>3.8709677419354902</v>
      </c>
      <c r="AD25">
        <v>4.2065009560229401</v>
      </c>
      <c r="AE25">
        <v>5.2999999999999999E-2</v>
      </c>
      <c r="AF25">
        <v>0.126</v>
      </c>
      <c r="AG25">
        <v>1.5163821733948819</v>
      </c>
      <c r="AH25">
        <v>25.849056603773601</v>
      </c>
      <c r="AI25">
        <v>12.936507936507899</v>
      </c>
      <c r="AJ25" t="s">
        <v>1702</v>
      </c>
      <c r="AK25" t="s">
        <v>1703</v>
      </c>
      <c r="AL25" t="s">
        <v>1702</v>
      </c>
      <c r="AM25" t="s">
        <v>1703</v>
      </c>
      <c r="AN25" t="s">
        <v>1702</v>
      </c>
      <c r="AO25" t="s">
        <v>1703</v>
      </c>
      <c r="AP25" t="s">
        <v>1702</v>
      </c>
      <c r="AQ25" t="s">
        <v>1705</v>
      </c>
      <c r="AR25" t="s">
        <v>1703</v>
      </c>
      <c r="AS25" t="s">
        <v>1702</v>
      </c>
      <c r="AT25" t="s">
        <v>1703</v>
      </c>
      <c r="AU25" t="s">
        <v>1704</v>
      </c>
      <c r="AV25" t="s">
        <v>1722</v>
      </c>
      <c r="AW25" t="s">
        <v>1703</v>
      </c>
      <c r="AX25" t="s">
        <v>1706</v>
      </c>
      <c r="AY25" t="s">
        <v>1723</v>
      </c>
      <c r="AZ25" t="s">
        <v>1706</v>
      </c>
      <c r="BA25" t="s">
        <v>1700</v>
      </c>
      <c r="BB25" t="s">
        <v>1706</v>
      </c>
      <c r="BC25" t="s">
        <v>1723</v>
      </c>
      <c r="BD25" t="s">
        <v>1706</v>
      </c>
      <c r="BE25" t="s">
        <v>1706</v>
      </c>
      <c r="BF25" t="s">
        <v>1723</v>
      </c>
      <c r="BG25">
        <v>35</v>
      </c>
      <c r="BH25" s="12" t="s">
        <v>1709</v>
      </c>
      <c r="BI25" t="b">
        <v>0</v>
      </c>
      <c r="BJ25">
        <f t="shared" si="0"/>
        <v>0</v>
      </c>
    </row>
    <row r="26" spans="1:62" x14ac:dyDescent="0.2">
      <c r="A26" s="5" t="s">
        <v>7</v>
      </c>
      <c r="B26" s="6">
        <v>38406</v>
      </c>
      <c r="C26" s="7">
        <v>33.295566999999998</v>
      </c>
      <c r="D26" s="7">
        <v>-111.82657500000001</v>
      </c>
      <c r="E26" s="17">
        <v>372</v>
      </c>
      <c r="F26" t="s">
        <v>1706</v>
      </c>
      <c r="G26" t="s">
        <v>1724</v>
      </c>
      <c r="H26" t="s">
        <v>1724</v>
      </c>
      <c r="I26">
        <v>1</v>
      </c>
      <c r="J26" s="8">
        <v>22.52831463440646</v>
      </c>
      <c r="K26" s="8">
        <v>61.857070293066769</v>
      </c>
      <c r="L26" s="8">
        <v>15.614615072526774</v>
      </c>
      <c r="M26" s="8">
        <v>0.81573631861366869</v>
      </c>
      <c r="N26" s="8">
        <v>1.0772082844193718</v>
      </c>
      <c r="O26" s="8">
        <v>2.0230260701618978</v>
      </c>
      <c r="P26" s="8">
        <v>1.4915191630422069</v>
      </c>
      <c r="Q26" s="8">
        <v>10.409710269979882</v>
      </c>
      <c r="R26" s="8">
        <v>7.8107393422990077</v>
      </c>
      <c r="S26" s="8">
        <v>1.1379999999999999</v>
      </c>
      <c r="T26" s="8">
        <v>0.52900000000000003</v>
      </c>
      <c r="U26" s="8">
        <v>1.0860000000000001</v>
      </c>
      <c r="V26" s="8">
        <v>0.45800000000000002</v>
      </c>
      <c r="W26" s="8">
        <v>5.1999999999999824E-2</v>
      </c>
      <c r="X26" s="8">
        <v>7.1000000000000008E-2</v>
      </c>
      <c r="Y26" s="8">
        <v>2.5316455696202405</v>
      </c>
      <c r="Z26" s="8">
        <v>2.5815217391304284</v>
      </c>
      <c r="AA26" s="8">
        <v>8.5</v>
      </c>
      <c r="AB26">
        <v>0.24399999999999999</v>
      </c>
      <c r="AC26" s="8">
        <v>16.915995397008064</v>
      </c>
      <c r="AD26" s="8">
        <v>17.934782608695656</v>
      </c>
      <c r="AE26" s="8">
        <v>1.9E-2</v>
      </c>
      <c r="AF26" s="8">
        <v>2.7E-2</v>
      </c>
      <c r="AG26" s="8">
        <v>1.392543215989323</v>
      </c>
      <c r="AH26" s="8">
        <v>59.89473684210526</v>
      </c>
      <c r="AI26" s="8">
        <v>27.842105263157897</v>
      </c>
      <c r="AJ26" t="s">
        <v>1694</v>
      </c>
      <c r="AK26" t="s">
        <v>1694</v>
      </c>
      <c r="AL26" t="s">
        <v>1702</v>
      </c>
      <c r="AM26" t="s">
        <v>1703</v>
      </c>
      <c r="AN26" t="s">
        <v>1702</v>
      </c>
      <c r="AO26" t="s">
        <v>1703</v>
      </c>
      <c r="AP26" t="s">
        <v>1702</v>
      </c>
      <c r="AQ26" t="s">
        <v>1725</v>
      </c>
      <c r="AR26" t="s">
        <v>1703</v>
      </c>
      <c r="AS26" t="s">
        <v>1702</v>
      </c>
      <c r="AT26" t="s">
        <v>1703</v>
      </c>
      <c r="AU26" t="s">
        <v>1704</v>
      </c>
      <c r="AV26" t="s">
        <v>1725</v>
      </c>
      <c r="AW26" t="s">
        <v>1703</v>
      </c>
      <c r="AX26" t="s">
        <v>1704</v>
      </c>
      <c r="AY26" t="s">
        <v>1705</v>
      </c>
      <c r="AZ26" t="s">
        <v>1703</v>
      </c>
      <c r="BA26" t="s">
        <v>1700</v>
      </c>
      <c r="BB26" t="s">
        <v>1706</v>
      </c>
      <c r="BC26" t="s">
        <v>1723</v>
      </c>
      <c r="BD26" t="s">
        <v>1706</v>
      </c>
      <c r="BE26" t="s">
        <v>1706</v>
      </c>
      <c r="BF26" t="s">
        <v>1723</v>
      </c>
      <c r="BG26">
        <v>15</v>
      </c>
      <c r="BH26" s="12" t="s">
        <v>1708</v>
      </c>
      <c r="BI26" t="b">
        <v>0</v>
      </c>
      <c r="BJ26">
        <f t="shared" si="0"/>
        <v>0</v>
      </c>
    </row>
    <row r="27" spans="1:62" x14ac:dyDescent="0.2">
      <c r="A27" s="5" t="s">
        <v>7</v>
      </c>
      <c r="B27" s="6">
        <v>40350</v>
      </c>
      <c r="C27" s="7">
        <v>33.295566999999998</v>
      </c>
      <c r="D27" s="7">
        <v>-111.82657500000001</v>
      </c>
      <c r="E27" s="17">
        <v>372</v>
      </c>
      <c r="F27" t="s">
        <v>1706</v>
      </c>
      <c r="G27" t="s">
        <v>1724</v>
      </c>
      <c r="H27" t="s">
        <v>1724</v>
      </c>
      <c r="I27">
        <v>1</v>
      </c>
      <c r="J27" t="s">
        <v>1697</v>
      </c>
      <c r="K27" t="s">
        <v>1697</v>
      </c>
      <c r="L27" t="s">
        <v>1697</v>
      </c>
      <c r="M27" t="s">
        <v>1697</v>
      </c>
      <c r="N27" t="s">
        <v>1697</v>
      </c>
      <c r="O27" t="s">
        <v>1697</v>
      </c>
      <c r="P27" t="s">
        <v>1697</v>
      </c>
      <c r="Q27" t="s">
        <v>1697</v>
      </c>
      <c r="R27" t="s">
        <v>1697</v>
      </c>
      <c r="S27" t="s">
        <v>1697</v>
      </c>
      <c r="T27" t="s">
        <v>1697</v>
      </c>
      <c r="U27" t="s">
        <v>1697</v>
      </c>
      <c r="V27" t="s">
        <v>1697</v>
      </c>
      <c r="W27" t="s">
        <v>1697</v>
      </c>
      <c r="X27" t="s">
        <v>1697</v>
      </c>
      <c r="Y27" t="s">
        <v>1697</v>
      </c>
      <c r="Z27" t="s">
        <v>1697</v>
      </c>
      <c r="AA27" t="s">
        <v>1697</v>
      </c>
      <c r="AB27" t="s">
        <v>1697</v>
      </c>
      <c r="AC27" t="s">
        <v>1697</v>
      </c>
      <c r="AD27" t="s">
        <v>1697</v>
      </c>
      <c r="AE27" t="s">
        <v>1697</v>
      </c>
      <c r="AF27" t="s">
        <v>1697</v>
      </c>
      <c r="AG27" t="s">
        <v>1697</v>
      </c>
      <c r="AH27" t="s">
        <v>1697</v>
      </c>
      <c r="AI27" t="s">
        <v>1697</v>
      </c>
      <c r="AJ27" t="s">
        <v>1694</v>
      </c>
      <c r="AK27" t="s">
        <v>1694</v>
      </c>
      <c r="AL27" t="s">
        <v>1702</v>
      </c>
      <c r="AM27" t="s">
        <v>1703</v>
      </c>
      <c r="AN27" t="s">
        <v>1702</v>
      </c>
      <c r="AO27" t="s">
        <v>1703</v>
      </c>
      <c r="AP27" t="s">
        <v>1702</v>
      </c>
      <c r="AQ27" t="s">
        <v>1725</v>
      </c>
      <c r="AR27" t="s">
        <v>1703</v>
      </c>
      <c r="AS27" t="s">
        <v>1702</v>
      </c>
      <c r="AT27" t="s">
        <v>1703</v>
      </c>
      <c r="AU27" t="s">
        <v>1704</v>
      </c>
      <c r="AV27" t="s">
        <v>1725</v>
      </c>
      <c r="AW27" t="s">
        <v>1703</v>
      </c>
      <c r="AX27" t="s">
        <v>1704</v>
      </c>
      <c r="AY27" t="s">
        <v>1705</v>
      </c>
      <c r="AZ27" t="s">
        <v>1703</v>
      </c>
      <c r="BA27" t="s">
        <v>1700</v>
      </c>
      <c r="BB27" t="s">
        <v>1706</v>
      </c>
      <c r="BC27" t="s">
        <v>1723</v>
      </c>
      <c r="BD27" t="s">
        <v>1706</v>
      </c>
      <c r="BE27" t="s">
        <v>1706</v>
      </c>
      <c r="BF27" t="s">
        <v>1723</v>
      </c>
      <c r="BG27" s="6" t="s">
        <v>1697</v>
      </c>
      <c r="BH27" s="6" t="s">
        <v>1697</v>
      </c>
      <c r="BI27" t="b">
        <v>0</v>
      </c>
      <c r="BJ27">
        <f t="shared" si="0"/>
        <v>0</v>
      </c>
    </row>
    <row r="28" spans="1:62" x14ac:dyDescent="0.2">
      <c r="A28" s="5" t="s">
        <v>7</v>
      </c>
      <c r="B28" s="6">
        <v>42178</v>
      </c>
      <c r="C28" s="7">
        <v>33.295566999999998</v>
      </c>
      <c r="D28" s="7">
        <v>-111.82657500000001</v>
      </c>
      <c r="E28" s="17">
        <v>372</v>
      </c>
      <c r="F28" t="s">
        <v>1706</v>
      </c>
      <c r="G28" t="s">
        <v>1724</v>
      </c>
      <c r="H28" t="s">
        <v>1724</v>
      </c>
      <c r="I28">
        <v>1</v>
      </c>
      <c r="J28">
        <v>22.945505293028301</v>
      </c>
      <c r="K28">
        <v>65.876104895063605</v>
      </c>
      <c r="L28">
        <v>11.178389811908</v>
      </c>
      <c r="M28">
        <v>1.1810612420875799</v>
      </c>
      <c r="N28">
        <v>1.8470431676149801</v>
      </c>
      <c r="O28">
        <v>3.83568954790127</v>
      </c>
      <c r="P28">
        <v>2.5913739963553502</v>
      </c>
      <c r="Q28">
        <v>5.7305762350014602</v>
      </c>
      <c r="R28">
        <v>4.8393472424749602</v>
      </c>
      <c r="S28">
        <v>0.86799999999999999</v>
      </c>
      <c r="T28">
        <v>0.55500000000000005</v>
      </c>
      <c r="U28">
        <v>0.75800000000000001</v>
      </c>
      <c r="V28">
        <v>0.55400000000000005</v>
      </c>
      <c r="W28">
        <v>0.11</v>
      </c>
      <c r="X28">
        <v>1E-3</v>
      </c>
      <c r="Y28">
        <v>1.5228426395939101</v>
      </c>
      <c r="Z28">
        <v>1.7152658662092599</v>
      </c>
      <c r="AA28">
        <v>8.27</v>
      </c>
      <c r="AB28">
        <v>0.27100000000000002</v>
      </c>
      <c r="AC28">
        <v>7.1428571428571397</v>
      </c>
      <c r="AD28">
        <v>6.9252077562326901</v>
      </c>
      <c r="AE28">
        <v>5.0999999999999997E-2</v>
      </c>
      <c r="AF28">
        <v>1.9E-2</v>
      </c>
      <c r="AG28">
        <v>1.0459648748921591</v>
      </c>
      <c r="AH28">
        <v>17.019607843137301</v>
      </c>
      <c r="AI28">
        <v>29.210526315789501</v>
      </c>
      <c r="AJ28" t="s">
        <v>1694</v>
      </c>
      <c r="AK28" t="s">
        <v>1694</v>
      </c>
      <c r="AL28" t="s">
        <v>1702</v>
      </c>
      <c r="AM28" t="s">
        <v>1703</v>
      </c>
      <c r="AN28" t="s">
        <v>1702</v>
      </c>
      <c r="AO28" t="s">
        <v>1703</v>
      </c>
      <c r="AP28" t="s">
        <v>1702</v>
      </c>
      <c r="AQ28" t="s">
        <v>1725</v>
      </c>
      <c r="AR28" t="s">
        <v>1703</v>
      </c>
      <c r="AS28" t="s">
        <v>1702</v>
      </c>
      <c r="AT28" t="s">
        <v>1703</v>
      </c>
      <c r="AU28" t="s">
        <v>1704</v>
      </c>
      <c r="AV28" t="s">
        <v>1725</v>
      </c>
      <c r="AW28" t="s">
        <v>1703</v>
      </c>
      <c r="AX28" t="s">
        <v>1704</v>
      </c>
      <c r="AY28" t="s">
        <v>1705</v>
      </c>
      <c r="AZ28" t="s">
        <v>1703</v>
      </c>
      <c r="BA28" t="s">
        <v>1700</v>
      </c>
      <c r="BB28" t="s">
        <v>1706</v>
      </c>
      <c r="BC28" t="s">
        <v>1723</v>
      </c>
      <c r="BD28" t="s">
        <v>1706</v>
      </c>
      <c r="BE28" t="s">
        <v>1706</v>
      </c>
      <c r="BF28" t="s">
        <v>1723</v>
      </c>
      <c r="BG28">
        <v>20</v>
      </c>
      <c r="BH28" s="12" t="s">
        <v>1708</v>
      </c>
      <c r="BI28" t="b">
        <v>0</v>
      </c>
      <c r="BJ28">
        <f t="shared" si="0"/>
        <v>0</v>
      </c>
    </row>
    <row r="29" spans="1:62" x14ac:dyDescent="0.2">
      <c r="A29" s="5" t="s">
        <v>7</v>
      </c>
      <c r="B29" s="6">
        <v>45079</v>
      </c>
      <c r="C29" s="7">
        <v>33.295566999999998</v>
      </c>
      <c r="D29" s="7">
        <v>-111.82657500000001</v>
      </c>
      <c r="E29" s="17">
        <v>372</v>
      </c>
      <c r="F29" t="s">
        <v>1706</v>
      </c>
      <c r="G29" t="s">
        <v>1724</v>
      </c>
      <c r="H29" t="s">
        <v>1724</v>
      </c>
      <c r="I29">
        <v>1</v>
      </c>
      <c r="J29" s="6" t="s">
        <v>1697</v>
      </c>
      <c r="K29" s="6" t="s">
        <v>1697</v>
      </c>
      <c r="L29" s="6" t="s">
        <v>1697</v>
      </c>
      <c r="M29" s="6" t="s">
        <v>1697</v>
      </c>
      <c r="N29" s="6" t="s">
        <v>1697</v>
      </c>
      <c r="O29" s="6" t="s">
        <v>1697</v>
      </c>
      <c r="P29" s="6" t="s">
        <v>1697</v>
      </c>
      <c r="Q29" s="6" t="s">
        <v>1697</v>
      </c>
      <c r="R29" s="6" t="s">
        <v>1697</v>
      </c>
      <c r="S29" s="6" t="s">
        <v>1697</v>
      </c>
      <c r="T29" s="6" t="s">
        <v>1697</v>
      </c>
      <c r="U29" s="6" t="s">
        <v>1697</v>
      </c>
      <c r="V29" s="6" t="s">
        <v>1697</v>
      </c>
      <c r="W29" s="6" t="s">
        <v>1697</v>
      </c>
      <c r="X29" s="6" t="s">
        <v>1697</v>
      </c>
      <c r="Y29" s="6" t="s">
        <v>1697</v>
      </c>
      <c r="Z29" s="6" t="s">
        <v>1697</v>
      </c>
      <c r="AA29" s="6" t="s">
        <v>1697</v>
      </c>
      <c r="AB29" s="6" t="s">
        <v>1697</v>
      </c>
      <c r="AC29" s="6" t="s">
        <v>1697</v>
      </c>
      <c r="AD29" s="6" t="s">
        <v>1697</v>
      </c>
      <c r="AE29" s="6" t="s">
        <v>1697</v>
      </c>
      <c r="AF29" s="6" t="s">
        <v>1697</v>
      </c>
      <c r="AG29" s="6" t="s">
        <v>1697</v>
      </c>
      <c r="AH29" s="6" t="s">
        <v>1697</v>
      </c>
      <c r="AI29" s="6" t="s">
        <v>1697</v>
      </c>
      <c r="AJ29" t="s">
        <v>1694</v>
      </c>
      <c r="AK29" t="s">
        <v>1694</v>
      </c>
      <c r="AL29" t="s">
        <v>1702</v>
      </c>
      <c r="AM29" t="s">
        <v>1703</v>
      </c>
      <c r="AN29" t="s">
        <v>1702</v>
      </c>
      <c r="AO29" t="s">
        <v>1703</v>
      </c>
      <c r="AP29" t="s">
        <v>1702</v>
      </c>
      <c r="AQ29" t="s">
        <v>1725</v>
      </c>
      <c r="AR29" t="s">
        <v>1703</v>
      </c>
      <c r="AS29" t="s">
        <v>1702</v>
      </c>
      <c r="AT29" t="s">
        <v>1703</v>
      </c>
      <c r="AU29" t="s">
        <v>1704</v>
      </c>
      <c r="AV29" t="s">
        <v>1725</v>
      </c>
      <c r="AW29" t="s">
        <v>1703</v>
      </c>
      <c r="AX29" t="s">
        <v>1704</v>
      </c>
      <c r="AY29" t="s">
        <v>1705</v>
      </c>
      <c r="AZ29" t="s">
        <v>1703</v>
      </c>
      <c r="BA29" t="s">
        <v>1700</v>
      </c>
      <c r="BB29" t="s">
        <v>1706</v>
      </c>
      <c r="BC29" t="s">
        <v>1723</v>
      </c>
      <c r="BD29" t="s">
        <v>1706</v>
      </c>
      <c r="BE29" t="s">
        <v>1706</v>
      </c>
      <c r="BF29" t="s">
        <v>1723</v>
      </c>
      <c r="BG29" s="6" t="s">
        <v>1697</v>
      </c>
      <c r="BH29" s="6" t="s">
        <v>1697</v>
      </c>
      <c r="BI29" t="b">
        <v>0</v>
      </c>
      <c r="BJ29">
        <f t="shared" si="0"/>
        <v>0</v>
      </c>
    </row>
    <row r="30" spans="1:62" x14ac:dyDescent="0.2">
      <c r="A30" s="5" t="s">
        <v>8</v>
      </c>
      <c r="B30" s="6">
        <v>36636</v>
      </c>
      <c r="C30" s="7">
        <v>33.688885999999997</v>
      </c>
      <c r="D30" s="7">
        <v>-111.771922</v>
      </c>
      <c r="E30" s="17">
        <v>707</v>
      </c>
      <c r="F30" t="s">
        <v>1694</v>
      </c>
      <c r="G30" t="s">
        <v>1694</v>
      </c>
      <c r="H30" t="s">
        <v>1694</v>
      </c>
      <c r="I30">
        <v>0</v>
      </c>
      <c r="J30" s="8">
        <v>13.767869302111265</v>
      </c>
      <c r="K30" s="8">
        <v>60.622054667323638</v>
      </c>
      <c r="L30" s="8">
        <v>25.610076030565097</v>
      </c>
      <c r="M30" s="8">
        <v>1.7310791863953743</v>
      </c>
      <c r="N30" s="8">
        <v>1.3319294962870405</v>
      </c>
      <c r="O30" s="8">
        <v>5.3775516462095885</v>
      </c>
      <c r="P30" s="8">
        <v>1.9113578998367455</v>
      </c>
      <c r="Q30" s="8">
        <v>35.228907452012777</v>
      </c>
      <c r="R30" s="8">
        <v>13.526780421216456</v>
      </c>
      <c r="S30" s="8">
        <v>0.94899999999999995</v>
      </c>
      <c r="T30" s="8">
        <v>0.35599999999999998</v>
      </c>
      <c r="U30" s="8">
        <v>3.2000000000000001E-2</v>
      </c>
      <c r="V30" s="8">
        <v>2.8000000000000001E-2</v>
      </c>
      <c r="W30" s="8">
        <v>0.91700000000000004</v>
      </c>
      <c r="X30" s="8">
        <v>0.32800000000000001</v>
      </c>
      <c r="Y30" s="8">
        <v>2.6183299999999998</v>
      </c>
      <c r="Z30" s="8">
        <v>1.4091899999999999</v>
      </c>
      <c r="AA30" s="9">
        <v>7.37</v>
      </c>
      <c r="AB30" s="10">
        <v>0.223</v>
      </c>
      <c r="AC30" s="8">
        <v>1.6956199999999999</v>
      </c>
      <c r="AD30" s="8">
        <v>2.6305000000000001</v>
      </c>
      <c r="AE30" s="8">
        <v>0.106</v>
      </c>
      <c r="AF30" s="8">
        <v>3.6999999999999998E-2</v>
      </c>
      <c r="AG30" s="8">
        <v>1.5918698893103065</v>
      </c>
      <c r="AH30" s="8">
        <v>8.9528301886792452</v>
      </c>
      <c r="AI30" s="8">
        <v>3.358490566037736</v>
      </c>
      <c r="AJ30" t="s">
        <v>1694</v>
      </c>
      <c r="AK30" t="s">
        <v>1694</v>
      </c>
      <c r="AL30" t="s">
        <v>1694</v>
      </c>
      <c r="AM30" t="s">
        <v>1694</v>
      </c>
      <c r="AN30" t="s">
        <v>1694</v>
      </c>
      <c r="AO30" t="s">
        <v>1694</v>
      </c>
      <c r="AP30" t="s">
        <v>1695</v>
      </c>
      <c r="AQ30" t="s">
        <v>1694</v>
      </c>
      <c r="AR30" t="s">
        <v>1694</v>
      </c>
      <c r="AS30" t="s">
        <v>1726</v>
      </c>
      <c r="AT30" t="s">
        <v>1694</v>
      </c>
      <c r="AU30" t="s">
        <v>1695</v>
      </c>
      <c r="AV30" t="s">
        <v>1694</v>
      </c>
      <c r="AW30" t="s">
        <v>1694</v>
      </c>
      <c r="AX30" t="s">
        <v>1695</v>
      </c>
      <c r="AY30" t="s">
        <v>1694</v>
      </c>
      <c r="AZ30" t="s">
        <v>1694</v>
      </c>
      <c r="BA30" t="s">
        <v>1726</v>
      </c>
      <c r="BB30" t="s">
        <v>1695</v>
      </c>
      <c r="BC30" t="s">
        <v>1694</v>
      </c>
      <c r="BD30" t="s">
        <v>1694</v>
      </c>
      <c r="BE30" t="s">
        <v>1695</v>
      </c>
      <c r="BF30" t="s">
        <v>1694</v>
      </c>
      <c r="BG30" t="s">
        <v>1697</v>
      </c>
      <c r="BH30" t="s">
        <v>1698</v>
      </c>
      <c r="BI30" t="b">
        <v>0</v>
      </c>
      <c r="BJ30">
        <f t="shared" si="0"/>
        <v>0</v>
      </c>
    </row>
    <row r="31" spans="1:62" x14ac:dyDescent="0.2">
      <c r="A31" s="5" t="s">
        <v>8</v>
      </c>
      <c r="B31" s="6">
        <v>38468</v>
      </c>
      <c r="C31" s="7">
        <v>33.688885999999997</v>
      </c>
      <c r="D31" s="7">
        <v>-111.771922</v>
      </c>
      <c r="E31" s="17">
        <v>707</v>
      </c>
      <c r="F31" t="s">
        <v>1694</v>
      </c>
      <c r="G31" t="s">
        <v>1694</v>
      </c>
      <c r="H31" t="s">
        <v>1694</v>
      </c>
      <c r="I31">
        <v>0</v>
      </c>
      <c r="J31" s="8">
        <v>10.258693726665776</v>
      </c>
      <c r="K31" s="8">
        <v>69.277106250893723</v>
      </c>
      <c r="L31" s="8">
        <v>20.464200022440508</v>
      </c>
      <c r="M31" s="8">
        <v>1.9352182173777726</v>
      </c>
      <c r="N31" s="8">
        <v>2.0672403067959593</v>
      </c>
      <c r="O31" s="8">
        <v>2.4799463081952196</v>
      </c>
      <c r="P31" s="8">
        <v>0.13092521943041077</v>
      </c>
      <c r="Q31" s="8">
        <v>20.164312212010618</v>
      </c>
      <c r="R31" s="8">
        <v>19.139464871227819</v>
      </c>
      <c r="S31" s="8">
        <v>0.70899999999999996</v>
      </c>
      <c r="T31" s="8">
        <v>0.27200000000000002</v>
      </c>
      <c r="U31" s="8">
        <v>6.7000000000000004E-2</v>
      </c>
      <c r="V31" s="8">
        <v>5.5E-2</v>
      </c>
      <c r="W31" s="8">
        <v>0.6419999999999999</v>
      </c>
      <c r="X31" s="8">
        <v>0.21700000000000003</v>
      </c>
      <c r="Y31" s="8">
        <v>2.430939226519325</v>
      </c>
      <c r="Z31" s="8">
        <v>2.0330368487928867</v>
      </c>
      <c r="AA31" s="8">
        <v>7.33</v>
      </c>
      <c r="AB31">
        <v>0.23799999999999999</v>
      </c>
      <c r="AC31" s="8">
        <v>9.0607734806629878</v>
      </c>
      <c r="AD31" s="8">
        <v>4.9555273189326634</v>
      </c>
      <c r="AE31" s="8">
        <v>7.3999999999999996E-2</v>
      </c>
      <c r="AF31" s="8">
        <v>3.1E-2</v>
      </c>
      <c r="AG31" s="8">
        <v>1.3149104358824959</v>
      </c>
      <c r="AH31" s="8">
        <v>9.5810810810810807</v>
      </c>
      <c r="AI31" s="8">
        <v>3.6756756756756763</v>
      </c>
      <c r="AJ31" t="s">
        <v>1694</v>
      </c>
      <c r="AK31" t="s">
        <v>1694</v>
      </c>
      <c r="AL31" t="s">
        <v>1694</v>
      </c>
      <c r="AM31" t="s">
        <v>1694</v>
      </c>
      <c r="AN31" t="s">
        <v>1694</v>
      </c>
      <c r="AO31" t="s">
        <v>1694</v>
      </c>
      <c r="AP31" t="s">
        <v>1695</v>
      </c>
      <c r="AQ31" t="s">
        <v>1694</v>
      </c>
      <c r="AR31" t="s">
        <v>1694</v>
      </c>
      <c r="AS31" t="s">
        <v>1726</v>
      </c>
      <c r="AT31" t="s">
        <v>1694</v>
      </c>
      <c r="AU31" t="s">
        <v>1695</v>
      </c>
      <c r="AV31" t="s">
        <v>1694</v>
      </c>
      <c r="AW31" t="s">
        <v>1694</v>
      </c>
      <c r="AX31" t="s">
        <v>1695</v>
      </c>
      <c r="AY31" t="s">
        <v>1694</v>
      </c>
      <c r="AZ31" t="s">
        <v>1694</v>
      </c>
      <c r="BA31" t="s">
        <v>1726</v>
      </c>
      <c r="BB31" t="s">
        <v>1695</v>
      </c>
      <c r="BC31" t="s">
        <v>1694</v>
      </c>
      <c r="BD31" t="s">
        <v>1694</v>
      </c>
      <c r="BE31" t="s">
        <v>1695</v>
      </c>
      <c r="BF31" t="s">
        <v>1694</v>
      </c>
      <c r="BG31" t="s">
        <v>1697</v>
      </c>
      <c r="BH31" t="s">
        <v>1698</v>
      </c>
      <c r="BI31" t="b">
        <v>0</v>
      </c>
      <c r="BJ31">
        <f t="shared" si="0"/>
        <v>0</v>
      </c>
    </row>
    <row r="32" spans="1:62" x14ac:dyDescent="0.2">
      <c r="A32" s="5" t="s">
        <v>8</v>
      </c>
      <c r="B32" s="6">
        <v>40289</v>
      </c>
      <c r="C32" s="7">
        <v>33.688885999999997</v>
      </c>
      <c r="D32" s="7">
        <v>-111.771922</v>
      </c>
      <c r="E32" s="17">
        <v>707</v>
      </c>
      <c r="F32" t="s">
        <v>1694</v>
      </c>
      <c r="G32" t="s">
        <v>1694</v>
      </c>
      <c r="H32" t="s">
        <v>1694</v>
      </c>
      <c r="I32">
        <v>0</v>
      </c>
      <c r="J32" s="8">
        <v>11.131034689980877</v>
      </c>
      <c r="K32" s="8">
        <v>70.924616663182348</v>
      </c>
      <c r="L32" s="8">
        <v>17.944348646836772</v>
      </c>
      <c r="M32" s="8">
        <v>1.7541834162806582</v>
      </c>
      <c r="N32" s="8">
        <v>0.5438292217545575</v>
      </c>
      <c r="O32" s="8">
        <v>0.53548756918041152</v>
      </c>
      <c r="P32" s="8">
        <v>0.97414891747311716</v>
      </c>
      <c r="Q32" s="8">
        <v>44.373204646928386</v>
      </c>
      <c r="R32" s="8">
        <v>23.227814383956673</v>
      </c>
      <c r="S32" s="8">
        <v>1.1479999999999999</v>
      </c>
      <c r="T32" s="8">
        <v>0.39300000000000002</v>
      </c>
      <c r="U32" s="8">
        <v>2.4E-2</v>
      </c>
      <c r="V32" s="8">
        <v>8.9999999999999993E-3</v>
      </c>
      <c r="W32" s="8">
        <v>1.1239999999999999</v>
      </c>
      <c r="X32" s="8">
        <v>0.38400000000000001</v>
      </c>
      <c r="Y32" s="8">
        <v>3.550295857988143</v>
      </c>
      <c r="Z32" s="8">
        <v>2.0118343195266468</v>
      </c>
      <c r="AA32" s="8">
        <v>7.35</v>
      </c>
      <c r="AB32">
        <v>0.21199999999999999</v>
      </c>
      <c r="AC32" s="8">
        <v>1.4792899408284235</v>
      </c>
      <c r="AD32" s="8">
        <v>2.7218934911242441</v>
      </c>
      <c r="AE32" s="8">
        <v>0.122</v>
      </c>
      <c r="AF32" s="8">
        <v>4.5999999999999999E-2</v>
      </c>
      <c r="AG32" s="8">
        <v>1.6641815790482188</v>
      </c>
      <c r="AH32" s="8">
        <v>9.4098360655737707</v>
      </c>
      <c r="AI32" s="8">
        <v>3.2213114754098364</v>
      </c>
      <c r="AJ32" t="s">
        <v>1694</v>
      </c>
      <c r="AK32" t="s">
        <v>1694</v>
      </c>
      <c r="AL32" t="s">
        <v>1694</v>
      </c>
      <c r="AM32" t="s">
        <v>1694</v>
      </c>
      <c r="AN32" t="s">
        <v>1694</v>
      </c>
      <c r="AO32" t="s">
        <v>1694</v>
      </c>
      <c r="AP32" t="s">
        <v>1695</v>
      </c>
      <c r="AQ32" t="s">
        <v>1694</v>
      </c>
      <c r="AR32" t="s">
        <v>1694</v>
      </c>
      <c r="AS32" t="s">
        <v>1726</v>
      </c>
      <c r="AT32" t="s">
        <v>1694</v>
      </c>
      <c r="AU32" t="s">
        <v>1695</v>
      </c>
      <c r="AV32" t="s">
        <v>1694</v>
      </c>
      <c r="AW32" t="s">
        <v>1694</v>
      </c>
      <c r="AX32" t="s">
        <v>1695</v>
      </c>
      <c r="AY32" t="s">
        <v>1694</v>
      </c>
      <c r="AZ32" t="s">
        <v>1694</v>
      </c>
      <c r="BA32" t="s">
        <v>1726</v>
      </c>
      <c r="BB32" t="s">
        <v>1695</v>
      </c>
      <c r="BC32" t="s">
        <v>1694</v>
      </c>
      <c r="BD32" t="s">
        <v>1694</v>
      </c>
      <c r="BE32" t="s">
        <v>1695</v>
      </c>
      <c r="BF32" t="s">
        <v>1694</v>
      </c>
      <c r="BG32" t="s">
        <v>1697</v>
      </c>
      <c r="BH32" t="s">
        <v>1698</v>
      </c>
      <c r="BI32" t="b">
        <v>0</v>
      </c>
      <c r="BJ32">
        <f t="shared" si="0"/>
        <v>0</v>
      </c>
    </row>
    <row r="33" spans="1:62" x14ac:dyDescent="0.2">
      <c r="A33" s="5" t="s">
        <v>8</v>
      </c>
      <c r="B33" s="6">
        <v>42103</v>
      </c>
      <c r="C33" s="7">
        <v>33.688885999999997</v>
      </c>
      <c r="D33" s="7">
        <v>-111.771922</v>
      </c>
      <c r="E33" s="17">
        <v>707</v>
      </c>
      <c r="F33" t="s">
        <v>1694</v>
      </c>
      <c r="G33" t="s">
        <v>1694</v>
      </c>
      <c r="H33" t="s">
        <v>1694</v>
      </c>
      <c r="I33">
        <v>0</v>
      </c>
      <c r="J33">
        <v>9.7284062442642298</v>
      </c>
      <c r="K33">
        <v>71.333281088375699</v>
      </c>
      <c r="L33">
        <v>18.938312667360101</v>
      </c>
      <c r="M33">
        <v>8.7290169393480195</v>
      </c>
      <c r="N33">
        <v>2.8280841702260502</v>
      </c>
      <c r="O33">
        <v>7.7496638193236098</v>
      </c>
      <c r="P33">
        <v>5.2210784681096296</v>
      </c>
      <c r="Q33">
        <v>12.4877417326691</v>
      </c>
      <c r="R33">
        <v>4.8536919853689904</v>
      </c>
      <c r="S33">
        <v>0.80200000000000005</v>
      </c>
      <c r="T33">
        <v>0.45800000000000002</v>
      </c>
      <c r="U33">
        <v>9.5000000000000001E-2</v>
      </c>
      <c r="V33">
        <v>0.02</v>
      </c>
      <c r="W33">
        <v>0.70699999999999996</v>
      </c>
      <c r="X33">
        <v>0.438</v>
      </c>
      <c r="Y33">
        <v>1.8518518518518501</v>
      </c>
      <c r="Z33">
        <v>1.51898734177215</v>
      </c>
      <c r="AA33">
        <v>7</v>
      </c>
      <c r="AB33">
        <v>0.126</v>
      </c>
      <c r="AC33">
        <v>2.0715630885122498</v>
      </c>
      <c r="AD33">
        <v>3.8869257950529801</v>
      </c>
      <c r="AE33">
        <v>9.8000000000000004E-2</v>
      </c>
      <c r="AF33">
        <v>7.1999999999999995E-2</v>
      </c>
      <c r="AG33">
        <v>1.7917000877435298</v>
      </c>
      <c r="AH33">
        <v>8.1836734693877595</v>
      </c>
      <c r="AI33">
        <v>6.3611111111111098</v>
      </c>
      <c r="AJ33" t="s">
        <v>1694</v>
      </c>
      <c r="AK33" t="s">
        <v>1694</v>
      </c>
      <c r="AL33" t="s">
        <v>1694</v>
      </c>
      <c r="AM33" t="s">
        <v>1694</v>
      </c>
      <c r="AN33" t="s">
        <v>1694</v>
      </c>
      <c r="AO33" t="s">
        <v>1694</v>
      </c>
      <c r="AP33" t="s">
        <v>1695</v>
      </c>
      <c r="AQ33" t="s">
        <v>1694</v>
      </c>
      <c r="AR33" t="s">
        <v>1694</v>
      </c>
      <c r="AS33" t="s">
        <v>1726</v>
      </c>
      <c r="AT33" t="s">
        <v>1694</v>
      </c>
      <c r="AU33" t="s">
        <v>1695</v>
      </c>
      <c r="AV33" t="s">
        <v>1694</v>
      </c>
      <c r="AW33" t="s">
        <v>1694</v>
      </c>
      <c r="AX33" t="s">
        <v>1695</v>
      </c>
      <c r="AY33" t="s">
        <v>1694</v>
      </c>
      <c r="AZ33" t="s">
        <v>1694</v>
      </c>
      <c r="BA33" t="s">
        <v>1726</v>
      </c>
      <c r="BB33" t="s">
        <v>1695</v>
      </c>
      <c r="BC33" t="s">
        <v>1694</v>
      </c>
      <c r="BD33" t="s">
        <v>1694</v>
      </c>
      <c r="BE33" t="s">
        <v>1695</v>
      </c>
      <c r="BF33" t="s">
        <v>1694</v>
      </c>
      <c r="BG33" t="s">
        <v>1697</v>
      </c>
      <c r="BH33" t="s">
        <v>1698</v>
      </c>
      <c r="BI33" t="b">
        <v>0</v>
      </c>
      <c r="BJ33">
        <f t="shared" si="0"/>
        <v>0</v>
      </c>
    </row>
    <row r="34" spans="1:62" x14ac:dyDescent="0.2">
      <c r="A34" s="5" t="s">
        <v>8</v>
      </c>
      <c r="B34" s="6">
        <v>45041</v>
      </c>
      <c r="C34" s="7">
        <v>33.688885999999997</v>
      </c>
      <c r="D34" s="7">
        <v>-111.771922</v>
      </c>
      <c r="E34" s="17">
        <v>707</v>
      </c>
      <c r="F34" t="s">
        <v>1694</v>
      </c>
      <c r="G34" t="s">
        <v>1694</v>
      </c>
      <c r="H34" t="s">
        <v>1694</v>
      </c>
      <c r="I34">
        <v>0</v>
      </c>
      <c r="J34" s="6" t="s">
        <v>1697</v>
      </c>
      <c r="K34" s="6" t="s">
        <v>1697</v>
      </c>
      <c r="L34" s="6" t="s">
        <v>1697</v>
      </c>
      <c r="M34" s="6" t="s">
        <v>1697</v>
      </c>
      <c r="N34" s="6" t="s">
        <v>1697</v>
      </c>
      <c r="O34" s="6" t="s">
        <v>1697</v>
      </c>
      <c r="P34" s="6" t="s">
        <v>1697</v>
      </c>
      <c r="Q34" s="6" t="s">
        <v>1697</v>
      </c>
      <c r="R34" s="6" t="s">
        <v>1697</v>
      </c>
      <c r="S34" s="6" t="s">
        <v>1697</v>
      </c>
      <c r="T34" s="6" t="s">
        <v>1697</v>
      </c>
      <c r="U34" s="6" t="s">
        <v>1697</v>
      </c>
      <c r="V34" s="6" t="s">
        <v>1697</v>
      </c>
      <c r="W34" s="6" t="s">
        <v>1697</v>
      </c>
      <c r="X34" s="6" t="s">
        <v>1697</v>
      </c>
      <c r="Y34" s="6" t="s">
        <v>1697</v>
      </c>
      <c r="Z34" s="6" t="s">
        <v>1697</v>
      </c>
      <c r="AA34" s="6" t="s">
        <v>1697</v>
      </c>
      <c r="AB34" s="6" t="s">
        <v>1697</v>
      </c>
      <c r="AC34" s="6" t="s">
        <v>1697</v>
      </c>
      <c r="AD34" s="6" t="s">
        <v>1697</v>
      </c>
      <c r="AE34" s="6" t="s">
        <v>1697</v>
      </c>
      <c r="AF34" s="6" t="s">
        <v>1697</v>
      </c>
      <c r="AG34" s="6" t="s">
        <v>1697</v>
      </c>
      <c r="AH34" s="6" t="s">
        <v>1697</v>
      </c>
      <c r="AI34" s="6" t="s">
        <v>1697</v>
      </c>
      <c r="AJ34" t="s">
        <v>1694</v>
      </c>
      <c r="AK34" t="s">
        <v>1694</v>
      </c>
      <c r="AL34" t="s">
        <v>1694</v>
      </c>
      <c r="AM34" t="s">
        <v>1694</v>
      </c>
      <c r="AN34" t="s">
        <v>1694</v>
      </c>
      <c r="AO34" t="s">
        <v>1694</v>
      </c>
      <c r="AP34" t="s">
        <v>1695</v>
      </c>
      <c r="AQ34" t="s">
        <v>1694</v>
      </c>
      <c r="AR34" t="s">
        <v>1694</v>
      </c>
      <c r="AS34" t="s">
        <v>1726</v>
      </c>
      <c r="AT34" t="s">
        <v>1694</v>
      </c>
      <c r="AU34" t="s">
        <v>1695</v>
      </c>
      <c r="AV34" t="s">
        <v>1694</v>
      </c>
      <c r="AW34" t="s">
        <v>1694</v>
      </c>
      <c r="AX34" t="s">
        <v>1695</v>
      </c>
      <c r="AY34" t="s">
        <v>1694</v>
      </c>
      <c r="AZ34" t="s">
        <v>1694</v>
      </c>
      <c r="BA34" t="s">
        <v>1726</v>
      </c>
      <c r="BB34" t="s">
        <v>1695</v>
      </c>
      <c r="BC34" t="s">
        <v>1694</v>
      </c>
      <c r="BD34" t="s">
        <v>1694</v>
      </c>
      <c r="BE34" t="s">
        <v>1695</v>
      </c>
      <c r="BF34" t="s">
        <v>1694</v>
      </c>
      <c r="BG34" s="6" t="s">
        <v>1697</v>
      </c>
      <c r="BH34" s="6" t="s">
        <v>1697</v>
      </c>
      <c r="BI34" t="b">
        <v>1</v>
      </c>
      <c r="BJ34">
        <f t="shared" si="0"/>
        <v>1</v>
      </c>
    </row>
    <row r="35" spans="1:62" x14ac:dyDescent="0.2">
      <c r="A35" s="5" t="s">
        <v>9</v>
      </c>
      <c r="B35" s="6">
        <v>36633</v>
      </c>
      <c r="C35" s="7">
        <v>33.657333000000001</v>
      </c>
      <c r="D35" s="7">
        <v>-111.756789</v>
      </c>
      <c r="E35" s="17">
        <v>649</v>
      </c>
      <c r="F35" t="s">
        <v>1694</v>
      </c>
      <c r="G35" t="s">
        <v>1694</v>
      </c>
      <c r="H35" t="s">
        <v>1694</v>
      </c>
      <c r="I35">
        <v>0</v>
      </c>
      <c r="J35" s="8">
        <v>22.537926286391521</v>
      </c>
      <c r="K35" s="8">
        <v>50.196635192888337</v>
      </c>
      <c r="L35" s="8">
        <v>27.265438520720139</v>
      </c>
      <c r="M35" s="8">
        <v>4.9233158342502206</v>
      </c>
      <c r="N35" s="8">
        <v>6.3580177371793125</v>
      </c>
      <c r="O35" s="8">
        <v>1.2790617117163685</v>
      </c>
      <c r="P35" s="8">
        <v>0.69792023465672992</v>
      </c>
      <c r="Q35" s="8">
        <v>25.481328339362467</v>
      </c>
      <c r="R35" s="8">
        <v>12.459726519391779</v>
      </c>
      <c r="S35" s="8">
        <v>0.8</v>
      </c>
      <c r="T35" s="8">
        <v>0.63300000000000001</v>
      </c>
      <c r="U35" s="8">
        <v>1.4999999999999999E-2</v>
      </c>
      <c r="V35" s="8">
        <v>0.02</v>
      </c>
      <c r="W35" s="8">
        <v>0.78500000000000003</v>
      </c>
      <c r="X35" s="8">
        <v>0.61299999999999999</v>
      </c>
      <c r="Y35" s="8">
        <v>2.97648</v>
      </c>
      <c r="Z35" s="8">
        <v>3.01275</v>
      </c>
      <c r="AA35" s="9">
        <v>6.53</v>
      </c>
      <c r="AB35" s="10">
        <v>0.40100000000000002</v>
      </c>
      <c r="AC35" s="8">
        <v>1.46435</v>
      </c>
      <c r="AD35" s="8">
        <v>3.3660000000000001</v>
      </c>
      <c r="AE35" s="8">
        <v>8.4000000000000005E-2</v>
      </c>
      <c r="AF35" s="8">
        <v>6.9000000000000006E-2</v>
      </c>
      <c r="AG35" s="8">
        <v>1.4886226849551358</v>
      </c>
      <c r="AH35" s="8">
        <v>9.5238095238095237</v>
      </c>
      <c r="AI35" s="8">
        <v>7.5357142857142856</v>
      </c>
      <c r="AJ35" t="s">
        <v>1694</v>
      </c>
      <c r="AK35" t="s">
        <v>1694</v>
      </c>
      <c r="AL35" t="s">
        <v>1694</v>
      </c>
      <c r="AM35" t="s">
        <v>1694</v>
      </c>
      <c r="AN35" t="s">
        <v>1694</v>
      </c>
      <c r="AO35" t="s">
        <v>1694</v>
      </c>
      <c r="AP35" t="s">
        <v>1695</v>
      </c>
      <c r="AQ35" t="s">
        <v>1694</v>
      </c>
      <c r="AR35" t="s">
        <v>1694</v>
      </c>
      <c r="AS35" t="s">
        <v>1726</v>
      </c>
      <c r="AT35" t="s">
        <v>1694</v>
      </c>
      <c r="AU35" t="s">
        <v>1695</v>
      </c>
      <c r="AV35" t="s">
        <v>1694</v>
      </c>
      <c r="AW35" t="s">
        <v>1694</v>
      </c>
      <c r="AX35" t="s">
        <v>1695</v>
      </c>
      <c r="AY35" t="s">
        <v>1694</v>
      </c>
      <c r="AZ35" t="s">
        <v>1694</v>
      </c>
      <c r="BA35" t="s">
        <v>1726</v>
      </c>
      <c r="BB35" t="s">
        <v>1695</v>
      </c>
      <c r="BC35" t="s">
        <v>1694</v>
      </c>
      <c r="BD35" t="s">
        <v>1694</v>
      </c>
      <c r="BE35" t="s">
        <v>1695</v>
      </c>
      <c r="BF35" t="s">
        <v>1694</v>
      </c>
      <c r="BG35" t="s">
        <v>1697</v>
      </c>
      <c r="BH35" t="s">
        <v>1698</v>
      </c>
      <c r="BI35" t="b">
        <v>0</v>
      </c>
      <c r="BJ35">
        <f t="shared" si="0"/>
        <v>0</v>
      </c>
    </row>
    <row r="36" spans="1:62" x14ac:dyDescent="0.2">
      <c r="A36" s="5" t="s">
        <v>9</v>
      </c>
      <c r="B36" s="6">
        <v>38427</v>
      </c>
      <c r="C36" s="7">
        <v>33.657333000000001</v>
      </c>
      <c r="D36" s="7">
        <v>-111.756789</v>
      </c>
      <c r="E36" s="17">
        <v>649</v>
      </c>
      <c r="F36" t="s">
        <v>1694</v>
      </c>
      <c r="G36" t="s">
        <v>1694</v>
      </c>
      <c r="H36" t="s">
        <v>1694</v>
      </c>
      <c r="I36">
        <v>0</v>
      </c>
      <c r="J36" s="8">
        <v>22.494324255059052</v>
      </c>
      <c r="K36" s="8">
        <v>54.220558353834086</v>
      </c>
      <c r="L36" s="8">
        <v>23.285117391106866</v>
      </c>
      <c r="M36" s="8">
        <v>3.6747169326758153</v>
      </c>
      <c r="N36" s="8">
        <v>2.6104515527822758</v>
      </c>
      <c r="O36" s="8">
        <v>1.3178295206837405</v>
      </c>
      <c r="P36" s="8">
        <v>0.46335515061885385</v>
      </c>
      <c r="Q36" s="8">
        <v>12.198867610582637</v>
      </c>
      <c r="R36" s="8">
        <v>4.1600155945138342</v>
      </c>
      <c r="S36" s="8">
        <v>1.0649999999999999</v>
      </c>
      <c r="T36" s="8">
        <v>0.623</v>
      </c>
      <c r="U36" s="8">
        <v>6.4000000000000001E-2</v>
      </c>
      <c r="V36" s="8">
        <v>1.7999999999999999E-2</v>
      </c>
      <c r="W36" s="8">
        <v>1.0009999999999999</v>
      </c>
      <c r="X36" s="8">
        <v>0.60499999999999998</v>
      </c>
      <c r="Y36" s="8">
        <v>4.0421792618629242</v>
      </c>
      <c r="Z36" s="8">
        <v>4.3032786885245891</v>
      </c>
      <c r="AA36" s="8">
        <v>7.07</v>
      </c>
      <c r="AB36">
        <v>0.30299999999999999</v>
      </c>
      <c r="AC36" s="8">
        <v>5.2724077328646715</v>
      </c>
      <c r="AD36" s="8">
        <v>7.7868852459016367</v>
      </c>
      <c r="AE36" s="8">
        <v>9.2999999999999999E-2</v>
      </c>
      <c r="AF36" s="8">
        <v>0.06</v>
      </c>
      <c r="AG36" s="8">
        <v>1.2019771746644212</v>
      </c>
      <c r="AH36" s="8">
        <v>11.451612903225806</v>
      </c>
      <c r="AI36" s="8">
        <v>6.698924731182796</v>
      </c>
      <c r="AJ36" t="s">
        <v>1694</v>
      </c>
      <c r="AK36" t="s">
        <v>1694</v>
      </c>
      <c r="AL36" t="s">
        <v>1694</v>
      </c>
      <c r="AM36" t="s">
        <v>1694</v>
      </c>
      <c r="AN36" t="s">
        <v>1694</v>
      </c>
      <c r="AO36" t="s">
        <v>1694</v>
      </c>
      <c r="AP36" t="s">
        <v>1695</v>
      </c>
      <c r="AQ36" t="s">
        <v>1694</v>
      </c>
      <c r="AR36" t="s">
        <v>1694</v>
      </c>
      <c r="AS36" t="s">
        <v>1726</v>
      </c>
      <c r="AT36" t="s">
        <v>1694</v>
      </c>
      <c r="AU36" t="s">
        <v>1695</v>
      </c>
      <c r="AV36" t="s">
        <v>1694</v>
      </c>
      <c r="AW36" t="s">
        <v>1694</v>
      </c>
      <c r="AX36" t="s">
        <v>1695</v>
      </c>
      <c r="AY36" t="s">
        <v>1694</v>
      </c>
      <c r="AZ36" t="s">
        <v>1694</v>
      </c>
      <c r="BA36" t="s">
        <v>1726</v>
      </c>
      <c r="BB36" t="s">
        <v>1695</v>
      </c>
      <c r="BC36" t="s">
        <v>1694</v>
      </c>
      <c r="BD36" t="s">
        <v>1694</v>
      </c>
      <c r="BE36" t="s">
        <v>1695</v>
      </c>
      <c r="BF36" t="s">
        <v>1694</v>
      </c>
      <c r="BG36" t="s">
        <v>1697</v>
      </c>
      <c r="BH36" t="s">
        <v>1698</v>
      </c>
      <c r="BI36" t="b">
        <v>0</v>
      </c>
      <c r="BJ36">
        <f t="shared" si="0"/>
        <v>0</v>
      </c>
    </row>
    <row r="37" spans="1:62" x14ac:dyDescent="0.2">
      <c r="A37" s="5" t="s">
        <v>9</v>
      </c>
      <c r="B37" s="6">
        <v>40275</v>
      </c>
      <c r="C37" s="7">
        <v>33.657333000000001</v>
      </c>
      <c r="D37" s="7">
        <v>-111.756789</v>
      </c>
      <c r="E37" s="17">
        <v>649</v>
      </c>
      <c r="F37" t="s">
        <v>1694</v>
      </c>
      <c r="G37" t="s">
        <v>1694</v>
      </c>
      <c r="H37" t="s">
        <v>1694</v>
      </c>
      <c r="I37">
        <v>0</v>
      </c>
      <c r="J37" s="8">
        <v>19.044423528726433</v>
      </c>
      <c r="K37" s="8">
        <v>54.980480618940071</v>
      </c>
      <c r="L37" s="8">
        <v>25.975095852333496</v>
      </c>
      <c r="M37" s="8">
        <v>0.55819788403419812</v>
      </c>
      <c r="N37" s="8">
        <v>5.0000000000000001E-3</v>
      </c>
      <c r="O37" s="8">
        <v>0.37813405047477938</v>
      </c>
      <c r="P37" s="8">
        <v>0.57354675397415034</v>
      </c>
      <c r="Q37" s="8">
        <v>25.744103705263559</v>
      </c>
      <c r="R37" s="8">
        <v>2.5000000000000001E-3</v>
      </c>
      <c r="S37" s="8">
        <v>0.61099999999999999</v>
      </c>
      <c r="T37" s="8">
        <v>0.316</v>
      </c>
      <c r="U37" s="8">
        <v>2.7E-2</v>
      </c>
      <c r="V37" s="8">
        <v>2.7E-2</v>
      </c>
      <c r="W37" s="8">
        <v>0.58399999999999996</v>
      </c>
      <c r="X37" s="8">
        <v>0.28899999999999998</v>
      </c>
      <c r="Y37" s="8">
        <v>3.937947494033414</v>
      </c>
      <c r="Z37" s="8">
        <v>3.6643026004728183</v>
      </c>
      <c r="AA37" s="8">
        <v>7.24</v>
      </c>
      <c r="AB37">
        <v>0.24199999999999999</v>
      </c>
      <c r="AC37" s="8">
        <v>2.2673031026253136</v>
      </c>
      <c r="AD37" s="8">
        <v>5.5555555555555411</v>
      </c>
      <c r="AE37" s="8">
        <v>6.4000000000000001E-2</v>
      </c>
      <c r="AF37" s="8">
        <v>2.5999999999999999E-2</v>
      </c>
      <c r="AG37" s="8">
        <v>1.5513858156590505</v>
      </c>
      <c r="AH37" s="8">
        <v>9.546875</v>
      </c>
      <c r="AI37" s="8">
        <v>4.9375</v>
      </c>
      <c r="AJ37" t="s">
        <v>1694</v>
      </c>
      <c r="AK37" t="s">
        <v>1694</v>
      </c>
      <c r="AL37" t="s">
        <v>1694</v>
      </c>
      <c r="AM37" t="s">
        <v>1694</v>
      </c>
      <c r="AN37" t="s">
        <v>1694</v>
      </c>
      <c r="AO37" t="s">
        <v>1694</v>
      </c>
      <c r="AP37" t="s">
        <v>1695</v>
      </c>
      <c r="AQ37" t="s">
        <v>1694</v>
      </c>
      <c r="AR37" t="s">
        <v>1694</v>
      </c>
      <c r="AS37" t="s">
        <v>1726</v>
      </c>
      <c r="AT37" t="s">
        <v>1694</v>
      </c>
      <c r="AU37" t="s">
        <v>1695</v>
      </c>
      <c r="AV37" t="s">
        <v>1694</v>
      </c>
      <c r="AW37" t="s">
        <v>1694</v>
      </c>
      <c r="AX37" t="s">
        <v>1695</v>
      </c>
      <c r="AY37" t="s">
        <v>1694</v>
      </c>
      <c r="AZ37" t="s">
        <v>1694</v>
      </c>
      <c r="BA37" t="s">
        <v>1726</v>
      </c>
      <c r="BB37" t="s">
        <v>1695</v>
      </c>
      <c r="BC37" t="s">
        <v>1694</v>
      </c>
      <c r="BD37" t="s">
        <v>1694</v>
      </c>
      <c r="BE37" t="s">
        <v>1695</v>
      </c>
      <c r="BF37" t="s">
        <v>1694</v>
      </c>
      <c r="BG37" t="s">
        <v>1697</v>
      </c>
      <c r="BH37" t="s">
        <v>1698</v>
      </c>
      <c r="BI37" t="b">
        <v>0</v>
      </c>
      <c r="BJ37">
        <f t="shared" si="0"/>
        <v>0</v>
      </c>
    </row>
    <row r="38" spans="1:62" x14ac:dyDescent="0.2">
      <c r="A38" s="5" t="s">
        <v>9</v>
      </c>
      <c r="B38" s="6">
        <v>42135</v>
      </c>
      <c r="C38" s="7">
        <v>33.657333000000001</v>
      </c>
      <c r="D38" s="7">
        <v>-111.756789</v>
      </c>
      <c r="E38" s="17">
        <v>649</v>
      </c>
      <c r="F38" t="s">
        <v>1694</v>
      </c>
      <c r="G38" t="s">
        <v>1694</v>
      </c>
      <c r="H38" t="s">
        <v>1694</v>
      </c>
      <c r="I38">
        <v>0</v>
      </c>
      <c r="J38">
        <v>14.8498935468262</v>
      </c>
      <c r="K38">
        <v>61.333732970764899</v>
      </c>
      <c r="L38">
        <v>23.816373482408899</v>
      </c>
      <c r="M38">
        <v>5.0663123355859696</v>
      </c>
      <c r="N38">
        <v>1.7391295836515599</v>
      </c>
      <c r="O38">
        <v>16.491016662813401</v>
      </c>
      <c r="P38">
        <v>3.5739910709903699</v>
      </c>
      <c r="Q38">
        <v>7.3800526052052602</v>
      </c>
      <c r="R38">
        <v>13.6726523922372</v>
      </c>
      <c r="S38">
        <v>0.96599999999999997</v>
      </c>
      <c r="T38">
        <v>0.29299999999999998</v>
      </c>
      <c r="U38">
        <v>2.3E-2</v>
      </c>
      <c r="V38">
        <v>1.4E-2</v>
      </c>
      <c r="W38">
        <v>0.94299999999999995</v>
      </c>
      <c r="X38">
        <v>0.27900000000000003</v>
      </c>
      <c r="Y38">
        <v>2.52100840336134</v>
      </c>
      <c r="Z38">
        <v>2.88153681963714</v>
      </c>
      <c r="AA38">
        <v>6.03</v>
      </c>
      <c r="AB38">
        <v>0.17</v>
      </c>
      <c r="AC38">
        <v>3.6585365853658498</v>
      </c>
      <c r="AD38">
        <v>8.79888268156426</v>
      </c>
      <c r="AE38">
        <v>0.10100000000000001</v>
      </c>
      <c r="AF38">
        <v>4.2000000000000003E-2</v>
      </c>
      <c r="AG38">
        <v>1.3839198551717669</v>
      </c>
      <c r="AH38">
        <v>9.5643564356435604</v>
      </c>
      <c r="AI38">
        <v>6.9761904761904798</v>
      </c>
      <c r="AJ38" t="s">
        <v>1694</v>
      </c>
      <c r="AK38" t="s">
        <v>1694</v>
      </c>
      <c r="AL38" t="s">
        <v>1694</v>
      </c>
      <c r="AM38" t="s">
        <v>1694</v>
      </c>
      <c r="AN38" t="s">
        <v>1694</v>
      </c>
      <c r="AO38" t="s">
        <v>1694</v>
      </c>
      <c r="AP38" t="s">
        <v>1695</v>
      </c>
      <c r="AQ38" t="s">
        <v>1694</v>
      </c>
      <c r="AR38" t="s">
        <v>1694</v>
      </c>
      <c r="AS38" t="s">
        <v>1726</v>
      </c>
      <c r="AT38" t="s">
        <v>1694</v>
      </c>
      <c r="AU38" t="s">
        <v>1695</v>
      </c>
      <c r="AV38" t="s">
        <v>1694</v>
      </c>
      <c r="AW38" t="s">
        <v>1694</v>
      </c>
      <c r="AX38" t="s">
        <v>1695</v>
      </c>
      <c r="AY38" t="s">
        <v>1694</v>
      </c>
      <c r="AZ38" t="s">
        <v>1694</v>
      </c>
      <c r="BA38" t="s">
        <v>1726</v>
      </c>
      <c r="BB38" t="s">
        <v>1695</v>
      </c>
      <c r="BC38" t="s">
        <v>1694</v>
      </c>
      <c r="BD38" t="s">
        <v>1694</v>
      </c>
      <c r="BE38" t="s">
        <v>1695</v>
      </c>
      <c r="BF38" t="s">
        <v>1694</v>
      </c>
      <c r="BG38" t="s">
        <v>1697</v>
      </c>
      <c r="BH38" t="s">
        <v>1698</v>
      </c>
      <c r="BI38" t="b">
        <v>0</v>
      </c>
      <c r="BJ38">
        <f t="shared" si="0"/>
        <v>0</v>
      </c>
    </row>
    <row r="39" spans="1:62" x14ac:dyDescent="0.2">
      <c r="A39" s="5" t="s">
        <v>9</v>
      </c>
      <c r="B39" s="6">
        <v>45048</v>
      </c>
      <c r="C39" s="7">
        <v>33.657333000000001</v>
      </c>
      <c r="D39" s="7">
        <v>-111.756789</v>
      </c>
      <c r="E39" s="17">
        <v>649</v>
      </c>
      <c r="F39" t="s">
        <v>1694</v>
      </c>
      <c r="G39" t="s">
        <v>1694</v>
      </c>
      <c r="H39" t="s">
        <v>1694</v>
      </c>
      <c r="I39">
        <v>0</v>
      </c>
      <c r="J39" s="6" t="s">
        <v>1697</v>
      </c>
      <c r="K39" s="6" t="s">
        <v>1697</v>
      </c>
      <c r="L39" s="6" t="s">
        <v>1697</v>
      </c>
      <c r="M39" s="6" t="s">
        <v>1697</v>
      </c>
      <c r="N39" s="6" t="s">
        <v>1697</v>
      </c>
      <c r="O39" s="6" t="s">
        <v>1697</v>
      </c>
      <c r="P39" s="6" t="s">
        <v>1697</v>
      </c>
      <c r="Q39" s="6" t="s">
        <v>1697</v>
      </c>
      <c r="R39" s="6" t="s">
        <v>1697</v>
      </c>
      <c r="S39" s="6" t="s">
        <v>1697</v>
      </c>
      <c r="T39" s="6" t="s">
        <v>1697</v>
      </c>
      <c r="U39" s="6" t="s">
        <v>1697</v>
      </c>
      <c r="V39" s="6" t="s">
        <v>1697</v>
      </c>
      <c r="W39" s="6" t="s">
        <v>1697</v>
      </c>
      <c r="X39" s="6" t="s">
        <v>1697</v>
      </c>
      <c r="Y39" s="6" t="s">
        <v>1697</v>
      </c>
      <c r="Z39" s="6" t="s">
        <v>1697</v>
      </c>
      <c r="AA39" s="6" t="s">
        <v>1697</v>
      </c>
      <c r="AB39" s="6" t="s">
        <v>1697</v>
      </c>
      <c r="AC39" s="6" t="s">
        <v>1697</v>
      </c>
      <c r="AD39" s="6" t="s">
        <v>1697</v>
      </c>
      <c r="AE39" s="6" t="s">
        <v>1697</v>
      </c>
      <c r="AF39" s="6" t="s">
        <v>1697</v>
      </c>
      <c r="AG39" s="6" t="s">
        <v>1697</v>
      </c>
      <c r="AH39" s="6" t="s">
        <v>1697</v>
      </c>
      <c r="AI39" s="6" t="s">
        <v>1697</v>
      </c>
      <c r="AJ39" t="s">
        <v>1694</v>
      </c>
      <c r="AK39" t="s">
        <v>1694</v>
      </c>
      <c r="AL39" t="s">
        <v>1694</v>
      </c>
      <c r="AM39" t="s">
        <v>1694</v>
      </c>
      <c r="AN39" t="s">
        <v>1694</v>
      </c>
      <c r="AO39" t="s">
        <v>1694</v>
      </c>
      <c r="AP39" t="s">
        <v>1695</v>
      </c>
      <c r="AQ39" t="s">
        <v>1694</v>
      </c>
      <c r="AR39" t="s">
        <v>1694</v>
      </c>
      <c r="AS39" t="s">
        <v>1726</v>
      </c>
      <c r="AT39" t="s">
        <v>1694</v>
      </c>
      <c r="AU39" t="s">
        <v>1695</v>
      </c>
      <c r="AV39" t="s">
        <v>1694</v>
      </c>
      <c r="AW39" t="s">
        <v>1694</v>
      </c>
      <c r="AX39" t="s">
        <v>1695</v>
      </c>
      <c r="AY39" t="s">
        <v>1694</v>
      </c>
      <c r="AZ39" t="s">
        <v>1694</v>
      </c>
      <c r="BA39" t="s">
        <v>1726</v>
      </c>
      <c r="BB39" t="s">
        <v>1695</v>
      </c>
      <c r="BC39" t="s">
        <v>1694</v>
      </c>
      <c r="BD39" t="s">
        <v>1694</v>
      </c>
      <c r="BE39" t="s">
        <v>1695</v>
      </c>
      <c r="BF39" t="s">
        <v>1694</v>
      </c>
      <c r="BG39" s="6" t="s">
        <v>1697</v>
      </c>
      <c r="BH39" s="6" t="s">
        <v>1697</v>
      </c>
      <c r="BI39" t="b">
        <v>1</v>
      </c>
      <c r="BJ39">
        <f t="shared" si="0"/>
        <v>1</v>
      </c>
    </row>
    <row r="40" spans="1:62" x14ac:dyDescent="0.2">
      <c r="A40" s="5" t="s">
        <v>10</v>
      </c>
      <c r="B40" s="6">
        <v>36599</v>
      </c>
      <c r="C40" s="7">
        <v>33.469149999999999</v>
      </c>
      <c r="D40" s="7">
        <v>-111.7717</v>
      </c>
      <c r="E40" s="17">
        <v>393</v>
      </c>
      <c r="F40" t="s">
        <v>1700</v>
      </c>
      <c r="G40" s="11" t="s">
        <v>1714</v>
      </c>
      <c r="H40" s="11" t="s">
        <v>1715</v>
      </c>
      <c r="I40">
        <v>1</v>
      </c>
      <c r="J40" s="8">
        <v>11.718496922192575</v>
      </c>
      <c r="K40" s="8">
        <v>67.083462455261568</v>
      </c>
      <c r="L40" s="8">
        <v>21.198040622545861</v>
      </c>
      <c r="M40" s="8">
        <v>0.99180337321313294</v>
      </c>
      <c r="N40" s="8">
        <v>0.87519604060907774</v>
      </c>
      <c r="O40" s="8">
        <v>6.8938620747050869</v>
      </c>
      <c r="P40" s="8">
        <v>15.550306615075041</v>
      </c>
      <c r="Q40" s="8">
        <v>8.4912333042606942</v>
      </c>
      <c r="R40" s="8">
        <v>3.2883982403087013</v>
      </c>
      <c r="S40" s="8">
        <v>1.1659999999999999</v>
      </c>
      <c r="T40" s="8">
        <v>0.63</v>
      </c>
      <c r="U40" s="8">
        <v>0.624</v>
      </c>
      <c r="V40" s="8">
        <v>0.40100000000000002</v>
      </c>
      <c r="W40" s="8">
        <v>0.54200000000000004</v>
      </c>
      <c r="X40" s="8">
        <v>0.22900000000000001</v>
      </c>
      <c r="Y40" s="8">
        <v>2.7921399999999998</v>
      </c>
      <c r="Z40" s="8">
        <v>0.95643</v>
      </c>
      <c r="AA40" s="9">
        <v>8.11</v>
      </c>
      <c r="AB40" s="10">
        <v>0.65700000000000003</v>
      </c>
      <c r="AC40" s="8">
        <v>7.4766399999999997</v>
      </c>
      <c r="AD40" s="8">
        <v>6.3811900000000001</v>
      </c>
      <c r="AE40" s="8">
        <v>5.3999999999999999E-2</v>
      </c>
      <c r="AF40" s="8">
        <v>1.7000000000000001E-2</v>
      </c>
      <c r="AG40" s="8">
        <v>1.0339835611087766</v>
      </c>
      <c r="AH40" s="8">
        <v>21.592592592592592</v>
      </c>
      <c r="AI40" s="8">
        <v>11.666666666666666</v>
      </c>
      <c r="AJ40" t="s">
        <v>1694</v>
      </c>
      <c r="AK40" t="s">
        <v>1694</v>
      </c>
      <c r="AL40" t="s">
        <v>1694</v>
      </c>
      <c r="AM40" t="s">
        <v>1694</v>
      </c>
      <c r="AN40" t="s">
        <v>1694</v>
      </c>
      <c r="AO40" t="s">
        <v>1694</v>
      </c>
      <c r="AP40" t="s">
        <v>1695</v>
      </c>
      <c r="AQ40" t="s">
        <v>1694</v>
      </c>
      <c r="AR40" t="s">
        <v>1694</v>
      </c>
      <c r="AS40" t="s">
        <v>1694</v>
      </c>
      <c r="AT40" t="s">
        <v>1694</v>
      </c>
      <c r="AU40" t="s">
        <v>1716</v>
      </c>
      <c r="AV40" t="s">
        <v>1719</v>
      </c>
      <c r="AW40" t="s">
        <v>1714</v>
      </c>
      <c r="AX40" t="s">
        <v>1716</v>
      </c>
      <c r="AY40" t="s">
        <v>1719</v>
      </c>
      <c r="AZ40" t="s">
        <v>1714</v>
      </c>
      <c r="BA40" t="s">
        <v>1694</v>
      </c>
      <c r="BB40" t="s">
        <v>1716</v>
      </c>
      <c r="BC40" t="s">
        <v>1719</v>
      </c>
      <c r="BD40" t="s">
        <v>1714</v>
      </c>
      <c r="BE40" t="s">
        <v>1716</v>
      </c>
      <c r="BF40" t="s">
        <v>1719</v>
      </c>
      <c r="BG40" t="s">
        <v>1697</v>
      </c>
      <c r="BH40" t="s">
        <v>1727</v>
      </c>
      <c r="BI40" t="b">
        <v>0</v>
      </c>
      <c r="BJ40">
        <f t="shared" si="0"/>
        <v>0</v>
      </c>
    </row>
    <row r="41" spans="1:62" x14ac:dyDescent="0.2">
      <c r="A41" s="5" t="s">
        <v>10</v>
      </c>
      <c r="B41" s="6">
        <v>38497</v>
      </c>
      <c r="C41" s="7">
        <v>33.469149999999999</v>
      </c>
      <c r="D41" s="7">
        <v>-111.7717</v>
      </c>
      <c r="E41" s="17">
        <v>393</v>
      </c>
      <c r="F41" t="s">
        <v>1700</v>
      </c>
      <c r="G41" s="11" t="s">
        <v>1714</v>
      </c>
      <c r="H41" t="s">
        <v>1715</v>
      </c>
      <c r="I41">
        <v>1</v>
      </c>
      <c r="J41" s="8">
        <v>6.4708724334910803</v>
      </c>
      <c r="K41" s="8">
        <v>88.931281280637137</v>
      </c>
      <c r="L41" s="8">
        <v>4.5978462858717819</v>
      </c>
      <c r="M41" s="8">
        <v>1.2782526338123039</v>
      </c>
      <c r="N41" s="8">
        <v>0.65510338276112712</v>
      </c>
      <c r="O41" s="8">
        <v>3.627041848442413</v>
      </c>
      <c r="P41" s="8">
        <v>1.5795270451018288</v>
      </c>
      <c r="Q41" s="8">
        <v>11.560882035236709</v>
      </c>
      <c r="R41" s="8">
        <v>3.7372398618545231</v>
      </c>
      <c r="S41" s="8">
        <v>0.76200000000000001</v>
      </c>
      <c r="T41" s="8">
        <v>0.69399999999999995</v>
      </c>
      <c r="U41" s="8">
        <v>0.628</v>
      </c>
      <c r="V41" s="8">
        <v>0.46</v>
      </c>
      <c r="W41" s="8">
        <v>0.13400000000000001</v>
      </c>
      <c r="X41" s="8">
        <v>0.23399999999999993</v>
      </c>
      <c r="Y41" s="8">
        <v>2.5663716814159372</v>
      </c>
      <c r="Z41" s="8">
        <v>1.2391573729863647</v>
      </c>
      <c r="AA41" s="8">
        <v>8.59</v>
      </c>
      <c r="AB41">
        <v>0.16</v>
      </c>
      <c r="AC41" s="8">
        <v>1.4159292035398241</v>
      </c>
      <c r="AD41" s="8">
        <v>1.9826517967781925</v>
      </c>
      <c r="AE41" s="8">
        <v>2.8000000000000001E-2</v>
      </c>
      <c r="AF41" s="8">
        <v>1.0999999999999999E-2</v>
      </c>
      <c r="AG41" s="8">
        <v>1.5337665690264279</v>
      </c>
      <c r="AH41" s="8">
        <v>27.214285714285715</v>
      </c>
      <c r="AI41" s="8">
        <v>24.785714285714285</v>
      </c>
      <c r="AJ41" t="s">
        <v>1694</v>
      </c>
      <c r="AK41" t="s">
        <v>1694</v>
      </c>
      <c r="AL41" t="s">
        <v>1694</v>
      </c>
      <c r="AM41" t="s">
        <v>1694</v>
      </c>
      <c r="AN41" t="s">
        <v>1694</v>
      </c>
      <c r="AO41" t="s">
        <v>1694</v>
      </c>
      <c r="AP41" t="s">
        <v>1695</v>
      </c>
      <c r="AQ41" t="s">
        <v>1694</v>
      </c>
      <c r="AR41" t="s">
        <v>1694</v>
      </c>
      <c r="AS41" t="s">
        <v>1694</v>
      </c>
      <c r="AT41" t="s">
        <v>1694</v>
      </c>
      <c r="AU41" t="s">
        <v>1716</v>
      </c>
      <c r="AV41" t="s">
        <v>1719</v>
      </c>
      <c r="AW41" t="s">
        <v>1714</v>
      </c>
      <c r="AX41" t="s">
        <v>1716</v>
      </c>
      <c r="AY41" t="s">
        <v>1719</v>
      </c>
      <c r="AZ41" t="s">
        <v>1714</v>
      </c>
      <c r="BA41" t="s">
        <v>1694</v>
      </c>
      <c r="BB41" t="s">
        <v>1716</v>
      </c>
      <c r="BC41" t="s">
        <v>1719</v>
      </c>
      <c r="BD41" t="s">
        <v>1714</v>
      </c>
      <c r="BE41" t="s">
        <v>1716</v>
      </c>
      <c r="BF41" t="s">
        <v>1719</v>
      </c>
      <c r="BG41" t="s">
        <v>1697</v>
      </c>
      <c r="BH41" t="s">
        <v>1727</v>
      </c>
      <c r="BI41" t="b">
        <v>0</v>
      </c>
      <c r="BJ41">
        <f t="shared" si="0"/>
        <v>0</v>
      </c>
    </row>
    <row r="42" spans="1:62" x14ac:dyDescent="0.2">
      <c r="A42" s="5" t="s">
        <v>10</v>
      </c>
      <c r="B42" s="6">
        <v>40238</v>
      </c>
      <c r="C42" s="7">
        <v>33.469149999999999</v>
      </c>
      <c r="D42" s="7">
        <v>-111.7717</v>
      </c>
      <c r="E42" s="17">
        <v>393</v>
      </c>
      <c r="F42" t="s">
        <v>1700</v>
      </c>
      <c r="G42" s="11" t="s">
        <v>1714</v>
      </c>
      <c r="H42" t="s">
        <v>1715</v>
      </c>
      <c r="I42">
        <v>1</v>
      </c>
      <c r="J42" s="8">
        <v>5.0055288072875603</v>
      </c>
      <c r="K42" s="8">
        <v>85.947423317476435</v>
      </c>
      <c r="L42" s="8">
        <v>9.0470478752360037</v>
      </c>
      <c r="M42" s="8">
        <v>5.0000000000000001E-3</v>
      </c>
      <c r="N42" s="8">
        <v>5.0000000000000001E-3</v>
      </c>
      <c r="O42" s="8">
        <v>13.204770876530722</v>
      </c>
      <c r="P42" s="8">
        <v>11.600601981207435</v>
      </c>
      <c r="Q42" s="8">
        <v>24.892763856975652</v>
      </c>
      <c r="R42" s="8">
        <v>21.17417495663398</v>
      </c>
      <c r="S42" s="8">
        <v>1.147</v>
      </c>
      <c r="T42" s="8">
        <v>1.034</v>
      </c>
      <c r="U42" s="8">
        <v>0.63600000000000001</v>
      </c>
      <c r="V42" s="8">
        <v>0.76500000000000001</v>
      </c>
      <c r="W42" s="8">
        <v>0.51100000000000001</v>
      </c>
      <c r="X42" s="8">
        <v>0.26900000000000002</v>
      </c>
      <c r="Y42" s="8">
        <v>2.4667931688804532</v>
      </c>
      <c r="Z42" s="8">
        <v>1.6375545851528424</v>
      </c>
      <c r="AA42" s="8">
        <v>8.67</v>
      </c>
      <c r="AB42">
        <v>0.17399999999999999</v>
      </c>
      <c r="AC42" s="8">
        <v>9.3927893738140433</v>
      </c>
      <c r="AD42" s="8">
        <v>6.6593886462882033</v>
      </c>
      <c r="AE42" s="8">
        <v>3.5000000000000003E-2</v>
      </c>
      <c r="AF42" s="8">
        <v>2.1999999999999999E-2</v>
      </c>
      <c r="AG42" s="8">
        <v>1.7868514398818149</v>
      </c>
      <c r="AH42" s="8">
        <v>32.771428571428572</v>
      </c>
      <c r="AI42" s="8">
        <v>29.542857142857141</v>
      </c>
      <c r="AJ42" t="s">
        <v>1694</v>
      </c>
      <c r="AK42" t="s">
        <v>1694</v>
      </c>
      <c r="AL42" t="s">
        <v>1694</v>
      </c>
      <c r="AM42" t="s">
        <v>1694</v>
      </c>
      <c r="AN42" t="s">
        <v>1694</v>
      </c>
      <c r="AO42" t="s">
        <v>1694</v>
      </c>
      <c r="AP42" t="s">
        <v>1695</v>
      </c>
      <c r="AQ42" t="s">
        <v>1694</v>
      </c>
      <c r="AR42" t="s">
        <v>1694</v>
      </c>
      <c r="AS42" t="s">
        <v>1694</v>
      </c>
      <c r="AT42" t="s">
        <v>1694</v>
      </c>
      <c r="AU42" t="s">
        <v>1716</v>
      </c>
      <c r="AV42" t="s">
        <v>1719</v>
      </c>
      <c r="AW42" t="s">
        <v>1714</v>
      </c>
      <c r="AX42" t="s">
        <v>1716</v>
      </c>
      <c r="AY42" t="s">
        <v>1719</v>
      </c>
      <c r="AZ42" t="s">
        <v>1714</v>
      </c>
      <c r="BA42" t="s">
        <v>1694</v>
      </c>
      <c r="BB42" t="s">
        <v>1716</v>
      </c>
      <c r="BC42" t="s">
        <v>1719</v>
      </c>
      <c r="BD42" t="s">
        <v>1714</v>
      </c>
      <c r="BE42" t="s">
        <v>1716</v>
      </c>
      <c r="BF42" t="s">
        <v>1719</v>
      </c>
      <c r="BG42" t="s">
        <v>1697</v>
      </c>
      <c r="BH42" t="s">
        <v>1727</v>
      </c>
      <c r="BI42" t="b">
        <v>0</v>
      </c>
      <c r="BJ42">
        <f t="shared" si="0"/>
        <v>0</v>
      </c>
    </row>
    <row r="43" spans="1:62" x14ac:dyDescent="0.2">
      <c r="A43" s="5" t="s">
        <v>10</v>
      </c>
      <c r="B43" s="6">
        <v>42185</v>
      </c>
      <c r="C43" s="7">
        <v>33.469149999999999</v>
      </c>
      <c r="D43" s="7">
        <v>-111.7717</v>
      </c>
      <c r="E43" s="17">
        <v>393</v>
      </c>
      <c r="F43" t="s">
        <v>1700</v>
      </c>
      <c r="G43" t="s">
        <v>1714</v>
      </c>
      <c r="H43" t="s">
        <v>1715</v>
      </c>
      <c r="I43">
        <v>1</v>
      </c>
      <c r="J43">
        <v>9.8750738456074991</v>
      </c>
      <c r="K43">
        <v>74.304596363561402</v>
      </c>
      <c r="L43">
        <v>15.820329790831099</v>
      </c>
      <c r="M43">
        <v>2.70536838961586</v>
      </c>
      <c r="N43">
        <v>1.20579030422642</v>
      </c>
      <c r="O43">
        <v>22.031742574117199</v>
      </c>
      <c r="P43">
        <v>21.980552420794101</v>
      </c>
      <c r="Q43">
        <v>4.7450345909524998</v>
      </c>
      <c r="R43">
        <v>2.02144461609273</v>
      </c>
      <c r="S43">
        <v>1.5860000000000001</v>
      </c>
      <c r="T43">
        <v>0.85599999999999998</v>
      </c>
      <c r="U43">
        <v>0.67600000000000005</v>
      </c>
      <c r="V43">
        <v>0.92</v>
      </c>
      <c r="W43">
        <v>0.91</v>
      </c>
      <c r="X43" t="s">
        <v>1697</v>
      </c>
      <c r="Y43">
        <v>3.2298136645962798</v>
      </c>
      <c r="Z43">
        <v>1.3574660633484099</v>
      </c>
      <c r="AA43">
        <v>8.08</v>
      </c>
      <c r="AB43">
        <v>1.601</v>
      </c>
      <c r="AC43">
        <v>5.6603773584905701</v>
      </c>
      <c r="AD43">
        <v>3.1818181818181901</v>
      </c>
      <c r="AE43">
        <v>6.3E-2</v>
      </c>
      <c r="AF43">
        <v>2.8000000000000001E-2</v>
      </c>
      <c r="AG43">
        <v>1.3211769979323877</v>
      </c>
      <c r="AH43">
        <v>25.174603174603199</v>
      </c>
      <c r="AI43">
        <v>30.571428571428601</v>
      </c>
      <c r="AJ43" t="s">
        <v>1694</v>
      </c>
      <c r="AK43" t="s">
        <v>1694</v>
      </c>
      <c r="AL43" t="s">
        <v>1694</v>
      </c>
      <c r="AM43" t="s">
        <v>1694</v>
      </c>
      <c r="AN43" t="s">
        <v>1694</v>
      </c>
      <c r="AO43" t="s">
        <v>1694</v>
      </c>
      <c r="AP43" t="s">
        <v>1695</v>
      </c>
      <c r="AQ43" t="s">
        <v>1694</v>
      </c>
      <c r="AR43" t="s">
        <v>1694</v>
      </c>
      <c r="AS43" t="s">
        <v>1694</v>
      </c>
      <c r="AT43" t="s">
        <v>1694</v>
      </c>
      <c r="AU43" t="s">
        <v>1716</v>
      </c>
      <c r="AV43" t="s">
        <v>1719</v>
      </c>
      <c r="AW43" t="s">
        <v>1714</v>
      </c>
      <c r="AX43" t="s">
        <v>1716</v>
      </c>
      <c r="AY43" t="s">
        <v>1719</v>
      </c>
      <c r="AZ43" t="s">
        <v>1714</v>
      </c>
      <c r="BA43" t="s">
        <v>1694</v>
      </c>
      <c r="BB43" t="s">
        <v>1716</v>
      </c>
      <c r="BC43" t="s">
        <v>1719</v>
      </c>
      <c r="BD43" t="s">
        <v>1714</v>
      </c>
      <c r="BE43" t="s">
        <v>1716</v>
      </c>
      <c r="BF43" t="s">
        <v>1719</v>
      </c>
      <c r="BG43" t="s">
        <v>1697</v>
      </c>
      <c r="BH43" t="s">
        <v>1727</v>
      </c>
      <c r="BI43" t="b">
        <v>0</v>
      </c>
      <c r="BJ43">
        <f t="shared" si="0"/>
        <v>0</v>
      </c>
    </row>
    <row r="44" spans="1:62" x14ac:dyDescent="0.2">
      <c r="A44" s="5" t="s">
        <v>10</v>
      </c>
      <c r="B44" s="6">
        <v>45083</v>
      </c>
      <c r="C44" s="7">
        <v>33.469149999999999</v>
      </c>
      <c r="D44" s="7">
        <v>-111.7717</v>
      </c>
      <c r="E44" s="17">
        <v>393</v>
      </c>
      <c r="F44" t="s">
        <v>1700</v>
      </c>
      <c r="G44" t="s">
        <v>1714</v>
      </c>
      <c r="H44" t="s">
        <v>1715</v>
      </c>
      <c r="I44">
        <v>1</v>
      </c>
      <c r="J44" t="s">
        <v>1697</v>
      </c>
      <c r="K44" t="s">
        <v>1697</v>
      </c>
      <c r="L44" t="s">
        <v>1697</v>
      </c>
      <c r="M44" t="s">
        <v>1697</v>
      </c>
      <c r="N44" t="s">
        <v>1697</v>
      </c>
      <c r="O44" t="s">
        <v>1697</v>
      </c>
      <c r="P44" t="s">
        <v>1697</v>
      </c>
      <c r="Q44" t="s">
        <v>1697</v>
      </c>
      <c r="R44" t="s">
        <v>1697</v>
      </c>
      <c r="S44" t="s">
        <v>1697</v>
      </c>
      <c r="T44" t="s">
        <v>1697</v>
      </c>
      <c r="U44" t="s">
        <v>1697</v>
      </c>
      <c r="V44" t="s">
        <v>1697</v>
      </c>
      <c r="W44" t="s">
        <v>1697</v>
      </c>
      <c r="X44" t="s">
        <v>1697</v>
      </c>
      <c r="Y44" t="s">
        <v>1697</v>
      </c>
      <c r="Z44" t="s">
        <v>1697</v>
      </c>
      <c r="AA44" t="s">
        <v>1697</v>
      </c>
      <c r="AB44" t="s">
        <v>1697</v>
      </c>
      <c r="AC44" t="s">
        <v>1697</v>
      </c>
      <c r="AD44" t="s">
        <v>1697</v>
      </c>
      <c r="AE44" t="s">
        <v>1697</v>
      </c>
      <c r="AF44" t="s">
        <v>1697</v>
      </c>
      <c r="AG44" t="s">
        <v>1697</v>
      </c>
      <c r="AH44" t="s">
        <v>1697</v>
      </c>
      <c r="AI44" t="s">
        <v>1697</v>
      </c>
      <c r="AJ44" t="s">
        <v>1694</v>
      </c>
      <c r="AK44" t="s">
        <v>1694</v>
      </c>
      <c r="AL44" t="s">
        <v>1694</v>
      </c>
      <c r="AM44" t="s">
        <v>1694</v>
      </c>
      <c r="AN44" t="s">
        <v>1694</v>
      </c>
      <c r="AO44" t="s">
        <v>1694</v>
      </c>
      <c r="AP44" t="s">
        <v>1695</v>
      </c>
      <c r="AQ44" t="s">
        <v>1694</v>
      </c>
      <c r="AR44" t="s">
        <v>1694</v>
      </c>
      <c r="AS44" t="s">
        <v>1694</v>
      </c>
      <c r="AT44" t="s">
        <v>1694</v>
      </c>
      <c r="AU44" t="s">
        <v>1716</v>
      </c>
      <c r="AV44" t="s">
        <v>1719</v>
      </c>
      <c r="AW44" t="s">
        <v>1714</v>
      </c>
      <c r="AX44" t="s">
        <v>1716</v>
      </c>
      <c r="AY44" t="s">
        <v>1719</v>
      </c>
      <c r="AZ44" t="s">
        <v>1714</v>
      </c>
      <c r="BA44" t="s">
        <v>1694</v>
      </c>
      <c r="BB44" t="s">
        <v>1716</v>
      </c>
      <c r="BC44" t="s">
        <v>1719</v>
      </c>
      <c r="BD44" t="s">
        <v>1714</v>
      </c>
      <c r="BE44" t="s">
        <v>1716</v>
      </c>
      <c r="BF44" t="s">
        <v>1719</v>
      </c>
      <c r="BG44" s="6" t="s">
        <v>1697</v>
      </c>
      <c r="BH44" s="6" t="s">
        <v>1697</v>
      </c>
      <c r="BI44" t="b">
        <v>1</v>
      </c>
      <c r="BJ44">
        <f t="shared" si="0"/>
        <v>1</v>
      </c>
    </row>
    <row r="45" spans="1:62" x14ac:dyDescent="0.2">
      <c r="A45" s="5" t="s">
        <v>11</v>
      </c>
      <c r="B45" s="6">
        <v>36620</v>
      </c>
      <c r="C45" s="7">
        <v>33.458494000000002</v>
      </c>
      <c r="D45" s="7">
        <v>-111.763739</v>
      </c>
      <c r="E45" s="17">
        <v>401</v>
      </c>
      <c r="F45" t="s">
        <v>1706</v>
      </c>
      <c r="G45" t="s">
        <v>1728</v>
      </c>
      <c r="H45" t="s">
        <v>1728</v>
      </c>
      <c r="I45">
        <v>1</v>
      </c>
      <c r="J45" s="8">
        <v>19.363527869463532</v>
      </c>
      <c r="K45" s="8">
        <v>60.760896626256987</v>
      </c>
      <c r="L45" s="8">
        <v>19.875575504279482</v>
      </c>
      <c r="M45" s="8">
        <v>112.75803809567905</v>
      </c>
      <c r="N45" s="8">
        <v>30.851148359707754</v>
      </c>
      <c r="O45" s="8">
        <v>52.8448099664135</v>
      </c>
      <c r="P45" s="8">
        <v>28.329099692157364</v>
      </c>
      <c r="Q45" s="8">
        <v>82.665177626651399</v>
      </c>
      <c r="R45" s="8">
        <v>38.261120590294809</v>
      </c>
      <c r="S45" s="8">
        <v>1.823</v>
      </c>
      <c r="T45" s="8">
        <v>1.256</v>
      </c>
      <c r="U45" s="8">
        <v>0.55600000000000005</v>
      </c>
      <c r="V45" s="8">
        <v>0.85</v>
      </c>
      <c r="W45" s="8">
        <v>1.2669999999999999</v>
      </c>
      <c r="X45" s="8">
        <v>0.40600000000000003</v>
      </c>
      <c r="Y45" s="8">
        <v>4.2992299999999997</v>
      </c>
      <c r="Z45" s="8">
        <v>2.7279800000000001</v>
      </c>
      <c r="AA45" s="9">
        <v>7.87</v>
      </c>
      <c r="AB45" s="10">
        <v>0.67849999999999999</v>
      </c>
      <c r="AC45" s="8">
        <v>11.24579</v>
      </c>
      <c r="AD45" s="8">
        <v>9.7264400000000002</v>
      </c>
      <c r="AE45" s="8">
        <v>0.155</v>
      </c>
      <c r="AF45" s="8">
        <v>7.8E-2</v>
      </c>
      <c r="AG45" s="8">
        <v>1.1156945587067433</v>
      </c>
      <c r="AH45" s="8">
        <v>11.761290322580646</v>
      </c>
      <c r="AI45" s="8">
        <v>8.1032258064516132</v>
      </c>
      <c r="AJ45" t="s">
        <v>1694</v>
      </c>
      <c r="AK45" t="s">
        <v>1694</v>
      </c>
      <c r="AL45" t="s">
        <v>1702</v>
      </c>
      <c r="AM45" t="s">
        <v>1703</v>
      </c>
      <c r="AN45" t="s">
        <v>1702</v>
      </c>
      <c r="AO45" t="s">
        <v>1703</v>
      </c>
      <c r="AP45" t="s">
        <v>1702</v>
      </c>
      <c r="AQ45" s="11" t="s">
        <v>1697</v>
      </c>
      <c r="AR45" t="s">
        <v>1703</v>
      </c>
      <c r="AS45" t="s">
        <v>1702</v>
      </c>
      <c r="AT45" t="s">
        <v>1703</v>
      </c>
      <c r="AU45" t="s">
        <v>1695</v>
      </c>
      <c r="AV45" t="s">
        <v>1694</v>
      </c>
      <c r="AW45" t="s">
        <v>1694</v>
      </c>
      <c r="AX45" t="s">
        <v>1706</v>
      </c>
      <c r="AY45" t="s">
        <v>1723</v>
      </c>
      <c r="AZ45" t="s">
        <v>1706</v>
      </c>
      <c r="BA45" t="s">
        <v>1700</v>
      </c>
      <c r="BB45" t="s">
        <v>1706</v>
      </c>
      <c r="BC45" t="s">
        <v>1707</v>
      </c>
      <c r="BD45" t="s">
        <v>1706</v>
      </c>
      <c r="BE45" t="s">
        <v>1706</v>
      </c>
      <c r="BF45" t="s">
        <v>1723</v>
      </c>
      <c r="BG45">
        <v>20</v>
      </c>
      <c r="BH45" s="12" t="s">
        <v>1708</v>
      </c>
      <c r="BI45" t="b">
        <v>0</v>
      </c>
      <c r="BJ45">
        <f t="shared" si="0"/>
        <v>0</v>
      </c>
    </row>
    <row r="46" spans="1:62" x14ac:dyDescent="0.2">
      <c r="A46" s="5" t="s">
        <v>11</v>
      </c>
      <c r="B46" s="6">
        <v>38477</v>
      </c>
      <c r="C46" s="7">
        <v>33.458494000000002</v>
      </c>
      <c r="D46" s="7">
        <v>-111.763739</v>
      </c>
      <c r="E46" s="17">
        <v>401</v>
      </c>
      <c r="F46" t="s">
        <v>1706</v>
      </c>
      <c r="G46" t="s">
        <v>1728</v>
      </c>
      <c r="H46" t="s">
        <v>1728</v>
      </c>
      <c r="I46">
        <v>1</v>
      </c>
      <c r="J46" s="8">
        <v>7.4652646654836889</v>
      </c>
      <c r="K46" s="8">
        <v>78.832980049488356</v>
      </c>
      <c r="L46" s="8">
        <v>13.701755285027957</v>
      </c>
      <c r="M46" s="8">
        <v>3.0677943054874568</v>
      </c>
      <c r="N46" s="8">
        <v>1.7877398368181991</v>
      </c>
      <c r="O46" s="8">
        <v>14.679722112853808</v>
      </c>
      <c r="P46" s="8">
        <v>23.893830511320157</v>
      </c>
      <c r="Q46" s="8">
        <v>91.687451254387113</v>
      </c>
      <c r="R46" s="8">
        <v>95.451090402959935</v>
      </c>
      <c r="S46" s="8">
        <v>2.117</v>
      </c>
      <c r="T46" s="8">
        <v>1.3560000000000001</v>
      </c>
      <c r="U46" s="8">
        <v>0.98799999999999999</v>
      </c>
      <c r="V46" s="8">
        <v>0.60399999999999998</v>
      </c>
      <c r="W46" s="8">
        <v>1.129</v>
      </c>
      <c r="X46" s="8">
        <v>0.75200000000000011</v>
      </c>
      <c r="Y46" s="8">
        <v>3.5714285714285636</v>
      </c>
      <c r="Z46" s="8">
        <v>3.0674846625766765</v>
      </c>
      <c r="AA46" s="8">
        <v>7.95</v>
      </c>
      <c r="AB46">
        <v>0.93799999999999994</v>
      </c>
      <c r="AC46" s="8">
        <v>3.3163265306122423</v>
      </c>
      <c r="AD46" s="8">
        <v>6.9018404907975635</v>
      </c>
      <c r="AE46" s="8">
        <v>0.11</v>
      </c>
      <c r="AF46" s="8">
        <v>5.6000000000000001E-2</v>
      </c>
      <c r="AG46" s="8">
        <v>1.2793183793671448</v>
      </c>
      <c r="AH46" s="8">
        <v>19.245454545454546</v>
      </c>
      <c r="AI46" s="8">
        <v>12.327272727272728</v>
      </c>
      <c r="AJ46" t="s">
        <v>1694</v>
      </c>
      <c r="AK46" t="s">
        <v>1694</v>
      </c>
      <c r="AL46" t="s">
        <v>1702</v>
      </c>
      <c r="AM46" t="s">
        <v>1703</v>
      </c>
      <c r="AN46" t="s">
        <v>1702</v>
      </c>
      <c r="AO46" t="s">
        <v>1703</v>
      </c>
      <c r="AP46" t="s">
        <v>1702</v>
      </c>
      <c r="AQ46" s="11" t="s">
        <v>1697</v>
      </c>
      <c r="AR46" t="s">
        <v>1703</v>
      </c>
      <c r="AS46" t="s">
        <v>1702</v>
      </c>
      <c r="AT46" t="s">
        <v>1703</v>
      </c>
      <c r="AU46" t="s">
        <v>1695</v>
      </c>
      <c r="AV46" t="s">
        <v>1694</v>
      </c>
      <c r="AW46" t="s">
        <v>1694</v>
      </c>
      <c r="AX46" t="s">
        <v>1706</v>
      </c>
      <c r="AY46" t="s">
        <v>1723</v>
      </c>
      <c r="AZ46" t="s">
        <v>1706</v>
      </c>
      <c r="BA46" t="s">
        <v>1700</v>
      </c>
      <c r="BB46" t="s">
        <v>1706</v>
      </c>
      <c r="BC46" t="s">
        <v>1707</v>
      </c>
      <c r="BD46" t="s">
        <v>1706</v>
      </c>
      <c r="BE46" t="s">
        <v>1706</v>
      </c>
      <c r="BF46" t="s">
        <v>1723</v>
      </c>
      <c r="BG46">
        <v>25</v>
      </c>
      <c r="BH46" s="12" t="s">
        <v>1709</v>
      </c>
      <c r="BI46" t="b">
        <v>0</v>
      </c>
      <c r="BJ46">
        <f t="shared" si="0"/>
        <v>0</v>
      </c>
    </row>
    <row r="47" spans="1:62" x14ac:dyDescent="0.2">
      <c r="A47" s="5" t="s">
        <v>11</v>
      </c>
      <c r="B47" s="6">
        <v>40331</v>
      </c>
      <c r="C47" s="7">
        <v>33.458494000000002</v>
      </c>
      <c r="D47" s="7">
        <v>-111.763739</v>
      </c>
      <c r="E47" s="17">
        <v>401</v>
      </c>
      <c r="F47" t="s">
        <v>1706</v>
      </c>
      <c r="G47" t="s">
        <v>1728</v>
      </c>
      <c r="H47" t="s">
        <v>1728</v>
      </c>
      <c r="I47">
        <v>1</v>
      </c>
      <c r="J47" s="8">
        <v>14.69594441275011</v>
      </c>
      <c r="K47" s="8">
        <v>59.92410307061197</v>
      </c>
      <c r="L47" s="8">
        <v>25.379952516637914</v>
      </c>
      <c r="M47" s="8">
        <v>1.5831017662210434</v>
      </c>
      <c r="N47" s="8">
        <v>0.83447897657977788</v>
      </c>
      <c r="O47" s="8">
        <v>4.9140210893682106</v>
      </c>
      <c r="P47" s="8">
        <v>5.6922038787059508</v>
      </c>
      <c r="Q47" s="8">
        <v>20.691092151342431</v>
      </c>
      <c r="R47" s="8">
        <v>17.866408857541398</v>
      </c>
      <c r="S47" s="8">
        <v>0.995</v>
      </c>
      <c r="T47" s="8">
        <v>0.91300000000000003</v>
      </c>
      <c r="U47" s="8">
        <v>0.68</v>
      </c>
      <c r="V47" s="8">
        <v>0.85499999999999998</v>
      </c>
      <c r="W47" s="8">
        <v>0.31499999999999995</v>
      </c>
      <c r="X47" s="8">
        <v>5.8000000000000052E-2</v>
      </c>
      <c r="Y47" s="8">
        <v>2.3217247097843914</v>
      </c>
      <c r="Z47" s="8">
        <v>2.4778761061947003</v>
      </c>
      <c r="AA47" s="8">
        <v>8.64</v>
      </c>
      <c r="AB47">
        <v>0.17899999999999999</v>
      </c>
      <c r="AC47" s="8">
        <v>2.3217247097844207</v>
      </c>
      <c r="AD47" s="8">
        <v>5.1327433628318433</v>
      </c>
      <c r="AE47" s="8">
        <v>2.9000000000000001E-2</v>
      </c>
      <c r="AF47" s="8">
        <v>2.9000000000000001E-2</v>
      </c>
      <c r="AG47" s="8">
        <v>1.7883267987288445</v>
      </c>
      <c r="AH47" s="8">
        <v>34.310344827586206</v>
      </c>
      <c r="AI47" s="8">
        <v>31.482758620689655</v>
      </c>
      <c r="AJ47" t="s">
        <v>1694</v>
      </c>
      <c r="AK47" t="s">
        <v>1694</v>
      </c>
      <c r="AL47" t="s">
        <v>1702</v>
      </c>
      <c r="AM47" t="s">
        <v>1703</v>
      </c>
      <c r="AN47" t="s">
        <v>1702</v>
      </c>
      <c r="AO47" t="s">
        <v>1703</v>
      </c>
      <c r="AP47" t="s">
        <v>1702</v>
      </c>
      <c r="AQ47" s="11" t="s">
        <v>1697</v>
      </c>
      <c r="AR47" t="s">
        <v>1703</v>
      </c>
      <c r="AS47" t="s">
        <v>1702</v>
      </c>
      <c r="AT47" t="s">
        <v>1703</v>
      </c>
      <c r="AU47" t="s">
        <v>1695</v>
      </c>
      <c r="AV47" t="s">
        <v>1694</v>
      </c>
      <c r="AW47" t="s">
        <v>1694</v>
      </c>
      <c r="AX47" t="s">
        <v>1706</v>
      </c>
      <c r="AY47" t="s">
        <v>1723</v>
      </c>
      <c r="AZ47" t="s">
        <v>1706</v>
      </c>
      <c r="BA47" t="s">
        <v>1700</v>
      </c>
      <c r="BB47" t="s">
        <v>1706</v>
      </c>
      <c r="BC47" t="s">
        <v>1707</v>
      </c>
      <c r="BD47" t="s">
        <v>1706</v>
      </c>
      <c r="BE47" t="s">
        <v>1706</v>
      </c>
      <c r="BF47" t="s">
        <v>1723</v>
      </c>
      <c r="BG47">
        <v>30</v>
      </c>
      <c r="BH47" s="12" t="s">
        <v>1709</v>
      </c>
      <c r="BI47" t="b">
        <v>0</v>
      </c>
      <c r="BJ47">
        <f t="shared" si="0"/>
        <v>0</v>
      </c>
    </row>
    <row r="48" spans="1:62" x14ac:dyDescent="0.2">
      <c r="A48" s="5" t="s">
        <v>11</v>
      </c>
      <c r="B48" s="6">
        <v>45083</v>
      </c>
      <c r="C48" s="7">
        <v>33.458494000000002</v>
      </c>
      <c r="D48" s="7">
        <v>-111.763739</v>
      </c>
      <c r="E48" s="17">
        <v>401</v>
      </c>
      <c r="F48" t="s">
        <v>1706</v>
      </c>
      <c r="G48" t="s">
        <v>1724</v>
      </c>
      <c r="H48" t="s">
        <v>1724</v>
      </c>
      <c r="I48">
        <v>1</v>
      </c>
      <c r="J48" t="s">
        <v>1697</v>
      </c>
      <c r="K48" t="s">
        <v>1697</v>
      </c>
      <c r="L48" t="s">
        <v>1697</v>
      </c>
      <c r="M48" t="s">
        <v>1697</v>
      </c>
      <c r="N48" t="s">
        <v>1697</v>
      </c>
      <c r="O48" t="s">
        <v>1697</v>
      </c>
      <c r="P48" t="s">
        <v>1697</v>
      </c>
      <c r="Q48" t="s">
        <v>1697</v>
      </c>
      <c r="R48" t="s">
        <v>1697</v>
      </c>
      <c r="S48" t="s">
        <v>1697</v>
      </c>
      <c r="T48" t="s">
        <v>1697</v>
      </c>
      <c r="U48" t="s">
        <v>1697</v>
      </c>
      <c r="V48" t="s">
        <v>1697</v>
      </c>
      <c r="W48" t="s">
        <v>1697</v>
      </c>
      <c r="X48" t="s">
        <v>1697</v>
      </c>
      <c r="Y48" t="s">
        <v>1697</v>
      </c>
      <c r="Z48" t="s">
        <v>1697</v>
      </c>
      <c r="AA48" t="s">
        <v>1697</v>
      </c>
      <c r="AB48" t="s">
        <v>1697</v>
      </c>
      <c r="AC48" t="s">
        <v>1697</v>
      </c>
      <c r="AD48" t="s">
        <v>1697</v>
      </c>
      <c r="AE48" t="s">
        <v>1697</v>
      </c>
      <c r="AF48" t="s">
        <v>1697</v>
      </c>
      <c r="AG48" t="s">
        <v>1697</v>
      </c>
      <c r="AH48" t="s">
        <v>1697</v>
      </c>
      <c r="AI48" t="s">
        <v>1697</v>
      </c>
      <c r="AJ48" t="s">
        <v>1694</v>
      </c>
      <c r="AK48" t="s">
        <v>1694</v>
      </c>
      <c r="AL48" t="s">
        <v>1702</v>
      </c>
      <c r="AM48" t="s">
        <v>1703</v>
      </c>
      <c r="AN48" t="s">
        <v>1702</v>
      </c>
      <c r="AO48" t="s">
        <v>1703</v>
      </c>
      <c r="AP48" t="s">
        <v>1702</v>
      </c>
      <c r="AQ48" s="11" t="s">
        <v>1697</v>
      </c>
      <c r="AR48" t="s">
        <v>1703</v>
      </c>
      <c r="AS48" t="s">
        <v>1702</v>
      </c>
      <c r="AT48" t="s">
        <v>1703</v>
      </c>
      <c r="AU48" t="s">
        <v>1695</v>
      </c>
      <c r="AV48" t="s">
        <v>1694</v>
      </c>
      <c r="AW48" t="s">
        <v>1694</v>
      </c>
      <c r="AX48" t="s">
        <v>1706</v>
      </c>
      <c r="AY48" t="s">
        <v>1723</v>
      </c>
      <c r="AZ48" t="s">
        <v>1706</v>
      </c>
      <c r="BA48" t="s">
        <v>1700</v>
      </c>
      <c r="BB48" t="s">
        <v>1706</v>
      </c>
      <c r="BC48" t="s">
        <v>1707</v>
      </c>
      <c r="BD48" t="s">
        <v>1706</v>
      </c>
      <c r="BE48" t="s">
        <v>1706</v>
      </c>
      <c r="BF48" t="s">
        <v>1723</v>
      </c>
      <c r="BG48" s="6" t="s">
        <v>1697</v>
      </c>
      <c r="BH48" s="6" t="s">
        <v>1697</v>
      </c>
      <c r="BI48" t="b">
        <v>0</v>
      </c>
      <c r="BJ48">
        <f t="shared" si="0"/>
        <v>0</v>
      </c>
    </row>
    <row r="49" spans="1:62" x14ac:dyDescent="0.2">
      <c r="A49" s="5" t="s">
        <v>12</v>
      </c>
      <c r="B49" s="6">
        <v>38477</v>
      </c>
      <c r="C49" s="7">
        <v>33.413972000000001</v>
      </c>
      <c r="D49" s="7">
        <v>-111.7786</v>
      </c>
      <c r="E49" s="17">
        <v>382</v>
      </c>
      <c r="F49" t="s">
        <v>1706</v>
      </c>
      <c r="G49" t="s">
        <v>1724</v>
      </c>
      <c r="H49" t="s">
        <v>1724</v>
      </c>
      <c r="I49">
        <v>1</v>
      </c>
      <c r="J49" s="8">
        <v>12.26694631675549</v>
      </c>
      <c r="K49" s="8">
        <v>68.165539196179864</v>
      </c>
      <c r="L49" s="8">
        <v>19.567514487064642</v>
      </c>
      <c r="M49" s="8">
        <v>1.0089470262067903</v>
      </c>
      <c r="N49" s="8">
        <v>1.2375120114909928</v>
      </c>
      <c r="O49" s="8">
        <v>1.7757467661239512</v>
      </c>
      <c r="P49" s="8">
        <v>1.1206358770723992</v>
      </c>
      <c r="Q49" s="8">
        <v>18.914393584623298</v>
      </c>
      <c r="R49" s="8">
        <v>6.6805526473985317</v>
      </c>
      <c r="S49" s="8">
        <v>0.55500000000000005</v>
      </c>
      <c r="T49" s="8">
        <v>0.68700000000000006</v>
      </c>
      <c r="U49" s="8">
        <v>0.51800000000000002</v>
      </c>
      <c r="V49" s="8">
        <v>0.42799999999999999</v>
      </c>
      <c r="W49" s="8">
        <v>3.7000000000000033E-2</v>
      </c>
      <c r="X49" s="8">
        <v>0.25900000000000006</v>
      </c>
      <c r="Y49" s="8">
        <v>2.5000000000000027</v>
      </c>
      <c r="Z49" s="8">
        <v>2.1739130434782736</v>
      </c>
      <c r="AA49" s="8">
        <v>8.1199999999999992</v>
      </c>
      <c r="AB49">
        <v>0.251</v>
      </c>
      <c r="AC49" s="8">
        <v>7.1875000000000133</v>
      </c>
      <c r="AD49" s="8">
        <v>8.3612040133779271</v>
      </c>
      <c r="AE49" s="8">
        <v>1.2999999999999999E-2</v>
      </c>
      <c r="AF49" s="8">
        <v>1.7000000000000001E-2</v>
      </c>
      <c r="AG49" s="8">
        <v>1.2632002572368892</v>
      </c>
      <c r="AH49" s="8">
        <v>42.692307692307701</v>
      </c>
      <c r="AI49" s="8">
        <v>52.846153846153854</v>
      </c>
      <c r="AJ49" t="s">
        <v>1702</v>
      </c>
      <c r="AK49" t="s">
        <v>1703</v>
      </c>
      <c r="AL49" t="s">
        <v>1702</v>
      </c>
      <c r="AM49" t="s">
        <v>1703</v>
      </c>
      <c r="AN49" t="s">
        <v>1702</v>
      </c>
      <c r="AO49" t="s">
        <v>1703</v>
      </c>
      <c r="AP49" t="s">
        <v>1706</v>
      </c>
      <c r="AQ49" t="s">
        <v>1723</v>
      </c>
      <c r="AR49" t="s">
        <v>1706</v>
      </c>
      <c r="AS49" t="s">
        <v>1700</v>
      </c>
      <c r="AT49" t="s">
        <v>1700</v>
      </c>
      <c r="AU49" t="s">
        <v>1706</v>
      </c>
      <c r="AV49" t="s">
        <v>1723</v>
      </c>
      <c r="AW49" t="s">
        <v>1706</v>
      </c>
      <c r="AX49" t="s">
        <v>1706</v>
      </c>
      <c r="AY49" t="s">
        <v>1723</v>
      </c>
      <c r="AZ49" t="s">
        <v>1706</v>
      </c>
      <c r="BA49" t="s">
        <v>1700</v>
      </c>
      <c r="BB49" t="s">
        <v>1706</v>
      </c>
      <c r="BC49" t="s">
        <v>1723</v>
      </c>
      <c r="BD49" t="s">
        <v>1706</v>
      </c>
      <c r="BE49" t="s">
        <v>1706</v>
      </c>
      <c r="BF49" t="s">
        <v>1723</v>
      </c>
      <c r="BG49">
        <v>50</v>
      </c>
      <c r="BH49" s="12" t="s">
        <v>1729</v>
      </c>
      <c r="BI49" t="b">
        <v>0</v>
      </c>
      <c r="BJ49">
        <f t="shared" si="0"/>
        <v>0</v>
      </c>
    </row>
    <row r="50" spans="1:62" x14ac:dyDescent="0.2">
      <c r="A50" s="5" t="s">
        <v>12</v>
      </c>
      <c r="B50" s="6">
        <v>40311</v>
      </c>
      <c r="C50" s="7">
        <v>33.413972000000001</v>
      </c>
      <c r="D50" s="7">
        <v>-111.7786</v>
      </c>
      <c r="E50" s="17">
        <v>382</v>
      </c>
      <c r="F50" t="s">
        <v>1706</v>
      </c>
      <c r="G50" t="s">
        <v>1724</v>
      </c>
      <c r="H50" t="s">
        <v>1724</v>
      </c>
      <c r="I50">
        <v>1</v>
      </c>
      <c r="J50" s="8">
        <v>21.314330456402836</v>
      </c>
      <c r="K50" s="8">
        <v>70.640824336473273</v>
      </c>
      <c r="L50" s="8">
        <v>8.0448452071238989</v>
      </c>
      <c r="M50" s="8">
        <v>10.850834572905139</v>
      </c>
      <c r="N50" s="8">
        <v>9.1923328029923841</v>
      </c>
      <c r="O50" s="8">
        <v>6.1819191334368027</v>
      </c>
      <c r="P50" s="8">
        <v>3.1976747442888036</v>
      </c>
      <c r="Q50" s="8">
        <v>135.64515762123875</v>
      </c>
      <c r="R50" s="8">
        <v>169.61499260065276</v>
      </c>
      <c r="S50" s="8">
        <v>1.35</v>
      </c>
      <c r="T50" s="8">
        <v>0.58899999999999997</v>
      </c>
      <c r="U50" s="8">
        <v>0.32</v>
      </c>
      <c r="V50" s="8">
        <v>0.34599999999999997</v>
      </c>
      <c r="W50" s="8">
        <v>1.03</v>
      </c>
      <c r="X50" s="8">
        <v>0.24299999999999999</v>
      </c>
      <c r="Y50" s="8">
        <v>4.5655375552282589</v>
      </c>
      <c r="Z50" s="8">
        <v>2.5974025974025996</v>
      </c>
      <c r="AA50" s="8">
        <v>7.61</v>
      </c>
      <c r="AB50">
        <v>0.371</v>
      </c>
      <c r="AC50" s="8">
        <v>5.1546391752577536</v>
      </c>
      <c r="AD50" s="8">
        <v>8.1168831168831161</v>
      </c>
      <c r="AE50" s="8">
        <v>0.10100000000000001</v>
      </c>
      <c r="AF50" s="8">
        <v>3.4000000000000002E-2</v>
      </c>
      <c r="AG50" s="8">
        <v>1.4582087992216597</v>
      </c>
      <c r="AH50" s="8">
        <v>13.366336633663366</v>
      </c>
      <c r="AI50" s="8">
        <v>5.8316831683168306</v>
      </c>
      <c r="AJ50" t="s">
        <v>1702</v>
      </c>
      <c r="AK50" t="s">
        <v>1703</v>
      </c>
      <c r="AL50" t="s">
        <v>1702</v>
      </c>
      <c r="AM50" t="s">
        <v>1703</v>
      </c>
      <c r="AN50" t="s">
        <v>1702</v>
      </c>
      <c r="AO50" t="s">
        <v>1703</v>
      </c>
      <c r="AP50" t="s">
        <v>1706</v>
      </c>
      <c r="AQ50" t="s">
        <v>1723</v>
      </c>
      <c r="AR50" t="s">
        <v>1706</v>
      </c>
      <c r="AS50" t="s">
        <v>1700</v>
      </c>
      <c r="AT50" t="s">
        <v>1700</v>
      </c>
      <c r="AU50" t="s">
        <v>1706</v>
      </c>
      <c r="AV50" t="s">
        <v>1723</v>
      </c>
      <c r="AW50" t="s">
        <v>1706</v>
      </c>
      <c r="AX50" t="s">
        <v>1706</v>
      </c>
      <c r="AY50" t="s">
        <v>1723</v>
      </c>
      <c r="AZ50" t="s">
        <v>1706</v>
      </c>
      <c r="BA50" t="s">
        <v>1700</v>
      </c>
      <c r="BB50" t="s">
        <v>1706</v>
      </c>
      <c r="BC50" t="s">
        <v>1723</v>
      </c>
      <c r="BD50" t="s">
        <v>1706</v>
      </c>
      <c r="BE50" t="s">
        <v>1706</v>
      </c>
      <c r="BF50" t="s">
        <v>1723</v>
      </c>
      <c r="BG50">
        <v>55</v>
      </c>
      <c r="BH50" s="12" t="s">
        <v>1729</v>
      </c>
      <c r="BI50" t="b">
        <v>0</v>
      </c>
      <c r="BJ50">
        <f t="shared" si="0"/>
        <v>0</v>
      </c>
    </row>
    <row r="51" spans="1:62" x14ac:dyDescent="0.2">
      <c r="A51" s="5" t="s">
        <v>13</v>
      </c>
      <c r="B51" s="6">
        <v>36593</v>
      </c>
      <c r="C51" s="7">
        <v>33.351757999999997</v>
      </c>
      <c r="D51" s="7">
        <v>-111.77351899999999</v>
      </c>
      <c r="E51" s="17">
        <v>379</v>
      </c>
      <c r="F51" t="s">
        <v>1706</v>
      </c>
      <c r="G51" t="s">
        <v>1710</v>
      </c>
      <c r="H51" t="s">
        <v>1710</v>
      </c>
      <c r="I51">
        <v>1</v>
      </c>
      <c r="J51" s="8">
        <v>22.107663632693221</v>
      </c>
      <c r="K51" s="8">
        <v>69.162988207749336</v>
      </c>
      <c r="L51" s="8">
        <v>8.7293481595574463</v>
      </c>
      <c r="M51" s="8">
        <v>4.5816041128179981</v>
      </c>
      <c r="N51" s="8">
        <v>3.2130832457094538</v>
      </c>
      <c r="O51" s="8">
        <v>1.2029479493046951</v>
      </c>
      <c r="P51" s="8">
        <v>0.70839895019821908</v>
      </c>
      <c r="Q51" s="8">
        <v>20.332380136721163</v>
      </c>
      <c r="R51" s="8">
        <v>1.746561809155073</v>
      </c>
      <c r="S51" s="8">
        <v>3.2320000000000002</v>
      </c>
      <c r="T51" s="8">
        <v>0.52300000000000002</v>
      </c>
      <c r="U51" s="8">
        <v>1.673</v>
      </c>
      <c r="V51" s="8">
        <v>0.19600000000000001</v>
      </c>
      <c r="W51" s="8">
        <v>1.5589999999999999</v>
      </c>
      <c r="X51" s="8">
        <v>0.32700000000000001</v>
      </c>
      <c r="Y51" s="8">
        <v>3.8946800000000001</v>
      </c>
      <c r="Z51" s="8">
        <v>1.84599</v>
      </c>
      <c r="AA51" s="9">
        <v>8.15</v>
      </c>
      <c r="AB51" s="10">
        <v>0.57399999999999995</v>
      </c>
      <c r="AC51" s="8">
        <v>29.594059999999999</v>
      </c>
      <c r="AD51" s="8">
        <v>18.025210000000001</v>
      </c>
      <c r="AE51" s="8">
        <v>0.23</v>
      </c>
      <c r="AF51" s="8">
        <v>6.2E-2</v>
      </c>
      <c r="AG51" s="8">
        <v>1.2843445483411566</v>
      </c>
      <c r="AH51" s="8">
        <v>14.052173913043479</v>
      </c>
      <c r="AI51" s="8">
        <v>2.2739130434782608</v>
      </c>
      <c r="AJ51" t="s">
        <v>1694</v>
      </c>
      <c r="AK51" t="s">
        <v>1694</v>
      </c>
      <c r="AL51" t="s">
        <v>1702</v>
      </c>
      <c r="AM51" t="s">
        <v>1703</v>
      </c>
      <c r="AN51" t="s">
        <v>1702</v>
      </c>
      <c r="AO51" t="s">
        <v>1703</v>
      </c>
      <c r="AP51" t="s">
        <v>1702</v>
      </c>
      <c r="AQ51" t="s">
        <v>1725</v>
      </c>
      <c r="AR51" t="s">
        <v>1703</v>
      </c>
      <c r="AS51" t="s">
        <v>1702</v>
      </c>
      <c r="AT51" t="s">
        <v>1703</v>
      </c>
      <c r="AU51" t="s">
        <v>1704</v>
      </c>
      <c r="AV51" t="s">
        <v>1725</v>
      </c>
      <c r="AW51" t="s">
        <v>1703</v>
      </c>
      <c r="AX51" t="s">
        <v>1706</v>
      </c>
      <c r="AY51" t="s">
        <v>1707</v>
      </c>
      <c r="AZ51" t="s">
        <v>1706</v>
      </c>
      <c r="BA51" t="s">
        <v>1700</v>
      </c>
      <c r="BB51" t="s">
        <v>1706</v>
      </c>
      <c r="BC51" t="s">
        <v>1707</v>
      </c>
      <c r="BD51" t="s">
        <v>1706</v>
      </c>
      <c r="BE51" t="s">
        <v>1706</v>
      </c>
      <c r="BF51" t="s">
        <v>1723</v>
      </c>
      <c r="BG51">
        <v>20</v>
      </c>
      <c r="BH51" s="12" t="s">
        <v>1708</v>
      </c>
      <c r="BI51" t="b">
        <v>0</v>
      </c>
      <c r="BJ51">
        <f t="shared" si="0"/>
        <v>0</v>
      </c>
    </row>
    <row r="52" spans="1:62" x14ac:dyDescent="0.2">
      <c r="A52" s="5" t="s">
        <v>13</v>
      </c>
      <c r="B52" s="6">
        <v>38478</v>
      </c>
      <c r="C52" s="7">
        <v>33.351757999999997</v>
      </c>
      <c r="D52" s="7">
        <v>-111.77351899999999</v>
      </c>
      <c r="E52" s="17">
        <v>379</v>
      </c>
      <c r="F52" t="s">
        <v>1706</v>
      </c>
      <c r="G52" t="s">
        <v>1710</v>
      </c>
      <c r="H52" t="s">
        <v>1710</v>
      </c>
      <c r="I52">
        <v>1</v>
      </c>
      <c r="J52" s="8">
        <v>1.924850172492961</v>
      </c>
      <c r="K52" s="8">
        <v>94.612628294117414</v>
      </c>
      <c r="L52" s="8">
        <v>3.4625215333896193</v>
      </c>
      <c r="M52" s="8">
        <v>0.79471608734504262</v>
      </c>
      <c r="N52" s="8" t="s">
        <v>1697</v>
      </c>
      <c r="O52" s="8">
        <v>4.0819508122722636</v>
      </c>
      <c r="P52" s="8" t="s">
        <v>1697</v>
      </c>
      <c r="Q52" s="8">
        <v>20.875368239981572</v>
      </c>
      <c r="R52" s="8">
        <v>4.5522494967525562</v>
      </c>
      <c r="S52" s="8">
        <v>1.33</v>
      </c>
      <c r="T52" s="8">
        <v>0.86699999999999999</v>
      </c>
      <c r="U52" s="8">
        <v>0.71199999999999997</v>
      </c>
      <c r="V52" s="8">
        <v>0.45800000000000002</v>
      </c>
      <c r="W52" s="8">
        <v>0.6180000000000001</v>
      </c>
      <c r="X52" s="8">
        <v>0.40899999999999997</v>
      </c>
      <c r="Y52" s="8">
        <v>3.5616438356164362</v>
      </c>
      <c r="Z52" s="8">
        <v>2.571041948579178</v>
      </c>
      <c r="AA52" s="8">
        <v>8.41</v>
      </c>
      <c r="AB52">
        <v>0.20200000000000001</v>
      </c>
      <c r="AC52" s="8">
        <v>10.273972602739727</v>
      </c>
      <c r="AD52" s="8">
        <v>10.960757780784826</v>
      </c>
      <c r="AE52" s="8">
        <v>0.06</v>
      </c>
      <c r="AF52" s="8">
        <v>3.2000000000000001E-2</v>
      </c>
      <c r="AG52" s="8">
        <v>1.307033176380727</v>
      </c>
      <c r="AH52" s="8">
        <v>22.166666666666668</v>
      </c>
      <c r="AI52" s="8">
        <v>14.450000000000001</v>
      </c>
      <c r="AJ52" t="s">
        <v>1694</v>
      </c>
      <c r="AK52" t="s">
        <v>1694</v>
      </c>
      <c r="AL52" t="s">
        <v>1702</v>
      </c>
      <c r="AM52" t="s">
        <v>1703</v>
      </c>
      <c r="AN52" t="s">
        <v>1702</v>
      </c>
      <c r="AO52" t="s">
        <v>1703</v>
      </c>
      <c r="AP52" t="s">
        <v>1702</v>
      </c>
      <c r="AQ52" t="s">
        <v>1725</v>
      </c>
      <c r="AR52" t="s">
        <v>1703</v>
      </c>
      <c r="AS52" t="s">
        <v>1702</v>
      </c>
      <c r="AT52" t="s">
        <v>1703</v>
      </c>
      <c r="AU52" t="s">
        <v>1704</v>
      </c>
      <c r="AV52" t="s">
        <v>1725</v>
      </c>
      <c r="AW52" t="s">
        <v>1703</v>
      </c>
      <c r="AX52" t="s">
        <v>1706</v>
      </c>
      <c r="AY52" t="s">
        <v>1707</v>
      </c>
      <c r="AZ52" t="s">
        <v>1706</v>
      </c>
      <c r="BA52" t="s">
        <v>1700</v>
      </c>
      <c r="BB52" t="s">
        <v>1706</v>
      </c>
      <c r="BC52" t="s">
        <v>1707</v>
      </c>
      <c r="BD52" t="s">
        <v>1706</v>
      </c>
      <c r="BE52" t="s">
        <v>1706</v>
      </c>
      <c r="BF52" t="s">
        <v>1723</v>
      </c>
      <c r="BG52">
        <v>25</v>
      </c>
      <c r="BH52" s="12" t="s">
        <v>1709</v>
      </c>
      <c r="BI52" t="b">
        <v>0</v>
      </c>
      <c r="BJ52">
        <f t="shared" si="0"/>
        <v>0</v>
      </c>
    </row>
    <row r="53" spans="1:62" x14ac:dyDescent="0.2">
      <c r="A53" s="5" t="s">
        <v>13</v>
      </c>
      <c r="B53" s="6">
        <v>40311</v>
      </c>
      <c r="C53" s="7">
        <v>33.351757999999997</v>
      </c>
      <c r="D53" s="7">
        <v>-111.77351899999999</v>
      </c>
      <c r="E53" s="17">
        <v>379</v>
      </c>
      <c r="F53" t="s">
        <v>1706</v>
      </c>
      <c r="G53" t="s">
        <v>1710</v>
      </c>
      <c r="H53" t="s">
        <v>1710</v>
      </c>
      <c r="I53">
        <v>1</v>
      </c>
      <c r="J53" s="8">
        <v>15.870856232868471</v>
      </c>
      <c r="K53" s="8">
        <v>69.330855018587357</v>
      </c>
      <c r="L53" s="8">
        <v>14.798288748544167</v>
      </c>
      <c r="M53" s="8">
        <v>1.0967021220494195</v>
      </c>
      <c r="N53" s="8">
        <v>0.27998678163541674</v>
      </c>
      <c r="O53" s="8">
        <v>67.518704557477307</v>
      </c>
      <c r="P53" s="8">
        <v>29.624407863360222</v>
      </c>
      <c r="Q53" s="8">
        <v>34.890404463032084</v>
      </c>
      <c r="R53" s="8">
        <v>2.5000000000000001E-3</v>
      </c>
      <c r="S53" s="8">
        <v>1.7529999999999999</v>
      </c>
      <c r="T53" s="8">
        <v>0.31900000000000001</v>
      </c>
      <c r="U53" s="8">
        <v>0.157</v>
      </c>
      <c r="V53" s="8">
        <v>2.8000000000000001E-2</v>
      </c>
      <c r="W53" s="8">
        <v>1.5959999999999999</v>
      </c>
      <c r="X53" s="8">
        <v>0.29099999999999998</v>
      </c>
      <c r="Y53" s="8">
        <v>5.9180576631259569</v>
      </c>
      <c r="Z53" s="8">
        <v>3.4364261168384957</v>
      </c>
      <c r="AA53" s="8">
        <v>7.7</v>
      </c>
      <c r="AB53">
        <v>0.64500000000000002</v>
      </c>
      <c r="AC53" s="8">
        <v>25.189681335356607</v>
      </c>
      <c r="AD53" s="8">
        <v>18.213058419243982</v>
      </c>
      <c r="AE53" s="8">
        <v>0.16600000000000001</v>
      </c>
      <c r="AF53" s="8">
        <v>4.4999999999999998E-2</v>
      </c>
      <c r="AG53" s="8">
        <v>1.5013425673334986</v>
      </c>
      <c r="AH53" s="8">
        <v>10.560240963855421</v>
      </c>
      <c r="AI53" s="8">
        <v>1.9216867469879517</v>
      </c>
      <c r="AJ53" t="s">
        <v>1694</v>
      </c>
      <c r="AK53" t="s">
        <v>1694</v>
      </c>
      <c r="AL53" t="s">
        <v>1702</v>
      </c>
      <c r="AM53" t="s">
        <v>1703</v>
      </c>
      <c r="AN53" t="s">
        <v>1702</v>
      </c>
      <c r="AO53" t="s">
        <v>1703</v>
      </c>
      <c r="AP53" t="s">
        <v>1702</v>
      </c>
      <c r="AQ53" t="s">
        <v>1725</v>
      </c>
      <c r="AR53" t="s">
        <v>1703</v>
      </c>
      <c r="AS53" t="s">
        <v>1702</v>
      </c>
      <c r="AT53" t="s">
        <v>1703</v>
      </c>
      <c r="AU53" t="s">
        <v>1704</v>
      </c>
      <c r="AV53" t="s">
        <v>1725</v>
      </c>
      <c r="AW53" t="s">
        <v>1703</v>
      </c>
      <c r="AX53" t="s">
        <v>1706</v>
      </c>
      <c r="AY53" t="s">
        <v>1707</v>
      </c>
      <c r="AZ53" t="s">
        <v>1706</v>
      </c>
      <c r="BA53" t="s">
        <v>1700</v>
      </c>
      <c r="BB53" t="s">
        <v>1706</v>
      </c>
      <c r="BC53" t="s">
        <v>1707</v>
      </c>
      <c r="BD53" t="s">
        <v>1706</v>
      </c>
      <c r="BE53" t="s">
        <v>1706</v>
      </c>
      <c r="BF53" t="s">
        <v>1723</v>
      </c>
      <c r="BG53">
        <v>30</v>
      </c>
      <c r="BH53" s="12" t="s">
        <v>1709</v>
      </c>
      <c r="BI53" t="b">
        <v>0</v>
      </c>
      <c r="BJ53">
        <f t="shared" si="0"/>
        <v>0</v>
      </c>
    </row>
    <row r="54" spans="1:62" x14ac:dyDescent="0.2">
      <c r="A54" s="5" t="s">
        <v>13</v>
      </c>
      <c r="B54" s="6">
        <v>42144</v>
      </c>
      <c r="C54" s="7">
        <v>33.351757999999997</v>
      </c>
      <c r="D54" s="7">
        <v>-111.77351899999999</v>
      </c>
      <c r="E54" s="17">
        <v>379</v>
      </c>
      <c r="F54" t="s">
        <v>1706</v>
      </c>
      <c r="G54" t="s">
        <v>1710</v>
      </c>
      <c r="H54" t="s">
        <v>1710</v>
      </c>
      <c r="I54">
        <v>1</v>
      </c>
      <c r="J54" t="s">
        <v>1697</v>
      </c>
      <c r="K54" t="s">
        <v>1697</v>
      </c>
      <c r="L54" t="s">
        <v>1697</v>
      </c>
      <c r="M54" t="s">
        <v>1697</v>
      </c>
      <c r="N54" t="s">
        <v>1697</v>
      </c>
      <c r="O54" t="s">
        <v>1697</v>
      </c>
      <c r="P54" t="s">
        <v>1697</v>
      </c>
      <c r="Q54" t="s">
        <v>1697</v>
      </c>
      <c r="R54" t="s">
        <v>1697</v>
      </c>
      <c r="S54" t="s">
        <v>1697</v>
      </c>
      <c r="T54" t="s">
        <v>1697</v>
      </c>
      <c r="U54" t="s">
        <v>1697</v>
      </c>
      <c r="V54" t="s">
        <v>1697</v>
      </c>
      <c r="W54" t="s">
        <v>1697</v>
      </c>
      <c r="X54" t="s">
        <v>1697</v>
      </c>
      <c r="Y54" t="s">
        <v>1697</v>
      </c>
      <c r="Z54" t="s">
        <v>1697</v>
      </c>
      <c r="AA54" t="s">
        <v>1697</v>
      </c>
      <c r="AB54" t="s">
        <v>1697</v>
      </c>
      <c r="AC54" t="s">
        <v>1697</v>
      </c>
      <c r="AD54" t="s">
        <v>1697</v>
      </c>
      <c r="AE54" t="s">
        <v>1697</v>
      </c>
      <c r="AF54" t="s">
        <v>1697</v>
      </c>
      <c r="AG54" t="s">
        <v>1697</v>
      </c>
      <c r="AH54" t="s">
        <v>1697</v>
      </c>
      <c r="AI54" t="s">
        <v>1697</v>
      </c>
      <c r="AJ54" t="s">
        <v>1694</v>
      </c>
      <c r="AK54" t="s">
        <v>1694</v>
      </c>
      <c r="AL54" t="s">
        <v>1702</v>
      </c>
      <c r="AM54" t="s">
        <v>1703</v>
      </c>
      <c r="AN54" t="s">
        <v>1702</v>
      </c>
      <c r="AO54" t="s">
        <v>1703</v>
      </c>
      <c r="AP54" t="s">
        <v>1702</v>
      </c>
      <c r="AQ54" t="s">
        <v>1725</v>
      </c>
      <c r="AR54" t="s">
        <v>1703</v>
      </c>
      <c r="AS54" t="s">
        <v>1702</v>
      </c>
      <c r="AT54" t="s">
        <v>1703</v>
      </c>
      <c r="AU54" t="s">
        <v>1704</v>
      </c>
      <c r="AV54" t="s">
        <v>1725</v>
      </c>
      <c r="AW54" t="s">
        <v>1703</v>
      </c>
      <c r="AX54" t="s">
        <v>1706</v>
      </c>
      <c r="AY54" t="s">
        <v>1707</v>
      </c>
      <c r="AZ54" t="s">
        <v>1706</v>
      </c>
      <c r="BA54" t="s">
        <v>1700</v>
      </c>
      <c r="BB54" t="s">
        <v>1706</v>
      </c>
      <c r="BC54" t="s">
        <v>1707</v>
      </c>
      <c r="BD54" t="s">
        <v>1706</v>
      </c>
      <c r="BE54" t="s">
        <v>1706</v>
      </c>
      <c r="BF54" t="s">
        <v>1723</v>
      </c>
      <c r="BG54">
        <v>35</v>
      </c>
      <c r="BH54" s="12" t="s">
        <v>1709</v>
      </c>
      <c r="BI54" t="b">
        <v>0</v>
      </c>
      <c r="BJ54">
        <f t="shared" si="0"/>
        <v>0</v>
      </c>
    </row>
    <row r="55" spans="1:62" x14ac:dyDescent="0.2">
      <c r="A55" s="5" t="s">
        <v>13</v>
      </c>
      <c r="B55" s="6">
        <v>45043</v>
      </c>
      <c r="C55" s="7">
        <v>33.351757999999997</v>
      </c>
      <c r="D55" s="7">
        <v>-111.77351899999999</v>
      </c>
      <c r="E55" s="17">
        <v>379</v>
      </c>
      <c r="F55" t="s">
        <v>1706</v>
      </c>
      <c r="G55" t="s">
        <v>1710</v>
      </c>
      <c r="H55" t="s">
        <v>1710</v>
      </c>
      <c r="I55">
        <v>1</v>
      </c>
      <c r="J55" t="s">
        <v>1697</v>
      </c>
      <c r="K55" t="s">
        <v>1697</v>
      </c>
      <c r="L55" t="s">
        <v>1697</v>
      </c>
      <c r="M55" t="s">
        <v>1697</v>
      </c>
      <c r="N55" t="s">
        <v>1697</v>
      </c>
      <c r="O55" t="s">
        <v>1697</v>
      </c>
      <c r="P55" t="s">
        <v>1697</v>
      </c>
      <c r="Q55" t="s">
        <v>1697</v>
      </c>
      <c r="R55" t="s">
        <v>1697</v>
      </c>
      <c r="S55" t="s">
        <v>1697</v>
      </c>
      <c r="T55" t="s">
        <v>1697</v>
      </c>
      <c r="U55" t="s">
        <v>1697</v>
      </c>
      <c r="V55" t="s">
        <v>1697</v>
      </c>
      <c r="W55" t="s">
        <v>1697</v>
      </c>
      <c r="X55" t="s">
        <v>1697</v>
      </c>
      <c r="Y55" t="s">
        <v>1697</v>
      </c>
      <c r="Z55" t="s">
        <v>1697</v>
      </c>
      <c r="AA55" t="s">
        <v>1697</v>
      </c>
      <c r="AB55" t="s">
        <v>1697</v>
      </c>
      <c r="AC55" t="s">
        <v>1697</v>
      </c>
      <c r="AD55" t="s">
        <v>1697</v>
      </c>
      <c r="AE55" t="s">
        <v>1697</v>
      </c>
      <c r="AF55" t="s">
        <v>1697</v>
      </c>
      <c r="AG55" t="s">
        <v>1697</v>
      </c>
      <c r="AH55" t="s">
        <v>1697</v>
      </c>
      <c r="AI55" t="s">
        <v>1697</v>
      </c>
      <c r="AJ55" t="s">
        <v>1694</v>
      </c>
      <c r="AK55" t="s">
        <v>1694</v>
      </c>
      <c r="AL55" t="s">
        <v>1702</v>
      </c>
      <c r="AM55" t="s">
        <v>1703</v>
      </c>
      <c r="AN55" t="s">
        <v>1702</v>
      </c>
      <c r="AO55" t="s">
        <v>1703</v>
      </c>
      <c r="AP55" t="s">
        <v>1702</v>
      </c>
      <c r="AQ55" t="s">
        <v>1725</v>
      </c>
      <c r="AR55" t="s">
        <v>1703</v>
      </c>
      <c r="AS55" t="s">
        <v>1702</v>
      </c>
      <c r="AT55" t="s">
        <v>1703</v>
      </c>
      <c r="AU55" t="s">
        <v>1704</v>
      </c>
      <c r="AV55" t="s">
        <v>1725</v>
      </c>
      <c r="AW55" t="s">
        <v>1703</v>
      </c>
      <c r="AX55" t="s">
        <v>1706</v>
      </c>
      <c r="AY55" t="s">
        <v>1707</v>
      </c>
      <c r="AZ55" t="s">
        <v>1706</v>
      </c>
      <c r="BA55" t="s">
        <v>1700</v>
      </c>
      <c r="BB55" t="s">
        <v>1706</v>
      </c>
      <c r="BC55" t="s">
        <v>1707</v>
      </c>
      <c r="BD55" t="s">
        <v>1706</v>
      </c>
      <c r="BE55" t="s">
        <v>1706</v>
      </c>
      <c r="BF55" t="s">
        <v>1723</v>
      </c>
      <c r="BG55" s="6" t="s">
        <v>1697</v>
      </c>
      <c r="BH55" s="6" t="s">
        <v>1697</v>
      </c>
      <c r="BI55" t="b">
        <v>1</v>
      </c>
      <c r="BJ55">
        <f t="shared" si="0"/>
        <v>1</v>
      </c>
    </row>
    <row r="56" spans="1:62" x14ac:dyDescent="0.2">
      <c r="A56" s="5" t="s">
        <v>14</v>
      </c>
      <c r="B56" s="6">
        <v>38491</v>
      </c>
      <c r="C56" s="7">
        <v>33.336602999999997</v>
      </c>
      <c r="D56" s="7">
        <v>-111.78537799999999</v>
      </c>
      <c r="E56" s="17">
        <v>378</v>
      </c>
      <c r="F56" t="s">
        <v>1706</v>
      </c>
      <c r="G56" t="s">
        <v>1710</v>
      </c>
      <c r="H56" t="s">
        <v>1710</v>
      </c>
      <c r="I56">
        <v>1</v>
      </c>
      <c r="J56" s="8">
        <v>24.900877162310117</v>
      </c>
      <c r="K56" s="8">
        <v>53.790915984597</v>
      </c>
      <c r="L56" s="8">
        <v>21.308206853092884</v>
      </c>
      <c r="M56" s="8">
        <v>0.59071602706600135</v>
      </c>
      <c r="N56" s="8">
        <v>0.52705857686008795</v>
      </c>
      <c r="O56" s="8">
        <v>28.590655709994465</v>
      </c>
      <c r="P56" s="8">
        <v>11.279053544805883</v>
      </c>
      <c r="Q56" s="8">
        <v>16.720003672673752</v>
      </c>
      <c r="R56" s="8">
        <v>2.4799897017013741</v>
      </c>
      <c r="S56" s="8">
        <v>0.68200000000000005</v>
      </c>
      <c r="T56" s="8">
        <v>0.59799999999999998</v>
      </c>
      <c r="U56" s="8">
        <v>0.26900000000000002</v>
      </c>
      <c r="V56" s="8">
        <v>0.57399999999999995</v>
      </c>
      <c r="W56" s="8">
        <v>0.41300000000000003</v>
      </c>
      <c r="X56" s="8">
        <v>2.4000000000000021E-2</v>
      </c>
      <c r="Y56" s="8">
        <v>3.3591731266149845</v>
      </c>
      <c r="Z56" s="8">
        <v>4.4817927170868384</v>
      </c>
      <c r="AA56" s="8">
        <v>8.33</v>
      </c>
      <c r="AB56">
        <v>0.372</v>
      </c>
      <c r="AC56" s="8">
        <v>8.0103359173126751</v>
      </c>
      <c r="AD56" s="8">
        <v>10.364145658263308</v>
      </c>
      <c r="AE56" s="8">
        <v>4.7E-2</v>
      </c>
      <c r="AF56" s="8">
        <v>3.1E-2</v>
      </c>
      <c r="AG56" s="8">
        <v>1.2851871265512897</v>
      </c>
      <c r="AH56" s="8">
        <v>14.510638297872342</v>
      </c>
      <c r="AI56" s="8">
        <v>12.723404255319148</v>
      </c>
      <c r="AJ56" t="s">
        <v>1702</v>
      </c>
      <c r="AK56" t="s">
        <v>1703</v>
      </c>
      <c r="AL56" t="s">
        <v>1702</v>
      </c>
      <c r="AM56" t="s">
        <v>1703</v>
      </c>
      <c r="AN56" t="s">
        <v>1702</v>
      </c>
      <c r="AO56" t="s">
        <v>1703</v>
      </c>
      <c r="AP56" t="s">
        <v>1702</v>
      </c>
      <c r="AQ56" t="s">
        <v>1725</v>
      </c>
      <c r="AR56" t="s">
        <v>1703</v>
      </c>
      <c r="AS56" t="s">
        <v>1702</v>
      </c>
      <c r="AT56" t="s">
        <v>1703</v>
      </c>
      <c r="AU56" t="s">
        <v>1704</v>
      </c>
      <c r="AV56" t="s">
        <v>1725</v>
      </c>
      <c r="AW56" t="s">
        <v>1703</v>
      </c>
      <c r="AX56" t="s">
        <v>1706</v>
      </c>
      <c r="AY56" t="s">
        <v>1723</v>
      </c>
      <c r="AZ56" t="s">
        <v>1706</v>
      </c>
      <c r="BA56" t="s">
        <v>1700</v>
      </c>
      <c r="BB56" t="s">
        <v>1706</v>
      </c>
      <c r="BC56" t="s">
        <v>1723</v>
      </c>
      <c r="BD56" t="s">
        <v>1706</v>
      </c>
      <c r="BE56" t="s">
        <v>1706</v>
      </c>
      <c r="BF56" t="s">
        <v>1723</v>
      </c>
      <c r="BG56">
        <v>25</v>
      </c>
      <c r="BH56" s="12" t="s">
        <v>1709</v>
      </c>
      <c r="BI56" t="b">
        <v>0</v>
      </c>
      <c r="BJ56">
        <f t="shared" si="0"/>
        <v>0</v>
      </c>
    </row>
    <row r="57" spans="1:62" x14ac:dyDescent="0.2">
      <c r="A57" s="5" t="s">
        <v>14</v>
      </c>
      <c r="B57" s="6">
        <v>40297</v>
      </c>
      <c r="C57" s="7">
        <v>33.336602999999997</v>
      </c>
      <c r="D57" s="7">
        <v>-111.78537799999999</v>
      </c>
      <c r="E57" s="17">
        <v>378</v>
      </c>
      <c r="F57" t="s">
        <v>1706</v>
      </c>
      <c r="G57" t="s">
        <v>1728</v>
      </c>
      <c r="H57" t="s">
        <v>1728</v>
      </c>
      <c r="I57">
        <v>1</v>
      </c>
      <c r="J57" s="8">
        <v>20.237747133322593</v>
      </c>
      <c r="K57" s="8">
        <v>51.228374926946373</v>
      </c>
      <c r="L57" s="8">
        <v>28.533877939731042</v>
      </c>
      <c r="M57" s="8">
        <v>5.0000000000000001E-3</v>
      </c>
      <c r="N57" s="8">
        <v>5.0000000000000001E-3</v>
      </c>
      <c r="O57" s="8">
        <v>67.829325405051264</v>
      </c>
      <c r="P57" s="8">
        <v>72.163963660094055</v>
      </c>
      <c r="Q57" s="8">
        <v>30.000481400349411</v>
      </c>
      <c r="R57" s="8">
        <v>11.646526486698106</v>
      </c>
      <c r="S57" s="8">
        <v>1.47</v>
      </c>
      <c r="T57" s="8">
        <v>0.504</v>
      </c>
      <c r="U57" s="8">
        <v>0.82599999999999996</v>
      </c>
      <c r="V57" s="8">
        <v>0.23799999999999999</v>
      </c>
      <c r="W57" s="8">
        <v>0.64400000000000002</v>
      </c>
      <c r="X57" s="8">
        <v>0.26600000000000001</v>
      </c>
      <c r="Y57" s="8">
        <v>4.7808764940239081</v>
      </c>
      <c r="Z57" s="8">
        <v>3.4562211981566899</v>
      </c>
      <c r="AA57" s="8">
        <v>7.37</v>
      </c>
      <c r="AB57">
        <v>1.7749999999999999</v>
      </c>
      <c r="AC57" s="8">
        <v>9.7609561752987908</v>
      </c>
      <c r="AD57" s="8">
        <v>10.138248847926254</v>
      </c>
      <c r="AE57" s="8">
        <v>9.0999999999999998E-2</v>
      </c>
      <c r="AF57" s="8">
        <v>4.5999999999999999E-2</v>
      </c>
      <c r="AG57" s="8">
        <v>1.2985886986766937</v>
      </c>
      <c r="AH57" s="8">
        <v>16.153846153846153</v>
      </c>
      <c r="AI57" s="8">
        <v>5.5384615384615383</v>
      </c>
      <c r="AJ57" t="s">
        <v>1702</v>
      </c>
      <c r="AK57" t="s">
        <v>1703</v>
      </c>
      <c r="AL57" t="s">
        <v>1702</v>
      </c>
      <c r="AM57" t="s">
        <v>1703</v>
      </c>
      <c r="AN57" t="s">
        <v>1702</v>
      </c>
      <c r="AO57" t="s">
        <v>1703</v>
      </c>
      <c r="AP57" t="s">
        <v>1702</v>
      </c>
      <c r="AQ57" t="s">
        <v>1725</v>
      </c>
      <c r="AR57" t="s">
        <v>1703</v>
      </c>
      <c r="AS57" t="s">
        <v>1702</v>
      </c>
      <c r="AT57" t="s">
        <v>1703</v>
      </c>
      <c r="AU57" t="s">
        <v>1704</v>
      </c>
      <c r="AV57" t="s">
        <v>1725</v>
      </c>
      <c r="AW57" t="s">
        <v>1703</v>
      </c>
      <c r="AX57" t="s">
        <v>1706</v>
      </c>
      <c r="AY57" t="s">
        <v>1723</v>
      </c>
      <c r="AZ57" t="s">
        <v>1706</v>
      </c>
      <c r="BA57" t="s">
        <v>1700</v>
      </c>
      <c r="BB57" t="s">
        <v>1706</v>
      </c>
      <c r="BC57" t="s">
        <v>1723</v>
      </c>
      <c r="BD57" t="s">
        <v>1706</v>
      </c>
      <c r="BE57" t="s">
        <v>1706</v>
      </c>
      <c r="BF57" t="s">
        <v>1723</v>
      </c>
      <c r="BG57">
        <v>30</v>
      </c>
      <c r="BH57" s="12" t="s">
        <v>1709</v>
      </c>
      <c r="BI57" t="b">
        <v>0</v>
      </c>
      <c r="BJ57">
        <f t="shared" si="0"/>
        <v>0</v>
      </c>
    </row>
    <row r="58" spans="1:62" x14ac:dyDescent="0.2">
      <c r="A58" s="5" t="s">
        <v>14</v>
      </c>
      <c r="B58" s="6">
        <v>42178</v>
      </c>
      <c r="C58" s="7">
        <v>33.336602999999997</v>
      </c>
      <c r="D58" s="7">
        <v>-111.78537799999999</v>
      </c>
      <c r="E58" s="17">
        <v>378</v>
      </c>
      <c r="F58" t="s">
        <v>1706</v>
      </c>
      <c r="G58" t="s">
        <v>1728</v>
      </c>
      <c r="H58" t="s">
        <v>1728</v>
      </c>
      <c r="I58">
        <v>1</v>
      </c>
      <c r="J58">
        <v>11.735286352036701</v>
      </c>
      <c r="K58">
        <v>73.313120785762806</v>
      </c>
      <c r="L58">
        <v>14.951592862200499</v>
      </c>
      <c r="M58">
        <v>2.1001410967642098</v>
      </c>
      <c r="N58" t="s">
        <v>1697</v>
      </c>
      <c r="O58">
        <v>2.7437327231919499</v>
      </c>
      <c r="P58" t="s">
        <v>1697</v>
      </c>
      <c r="Q58">
        <v>2.0795957964382001</v>
      </c>
      <c r="R58" t="s">
        <v>1697</v>
      </c>
      <c r="S58">
        <v>0.78200000000000003</v>
      </c>
      <c r="T58" t="s">
        <v>1697</v>
      </c>
      <c r="U58">
        <v>0.35599999999999998</v>
      </c>
      <c r="V58" t="s">
        <v>1697</v>
      </c>
      <c r="W58">
        <v>0.42599999999999999</v>
      </c>
      <c r="X58" t="s">
        <v>1697</v>
      </c>
      <c r="Y58">
        <v>0.89445438282647305</v>
      </c>
      <c r="Z58" t="s">
        <v>1697</v>
      </c>
      <c r="AA58">
        <v>8.32</v>
      </c>
      <c r="AB58">
        <v>0.32200000000000001</v>
      </c>
      <c r="AC58">
        <v>2.0648967551622501</v>
      </c>
      <c r="AD58" t="s">
        <v>1697</v>
      </c>
      <c r="AE58">
        <v>2.3E-2</v>
      </c>
      <c r="AF58" t="s">
        <v>1697</v>
      </c>
      <c r="AG58">
        <v>1.3888587673419883</v>
      </c>
      <c r="AH58">
        <v>34</v>
      </c>
      <c r="AI58" t="s">
        <v>1697</v>
      </c>
      <c r="AJ58" t="s">
        <v>1702</v>
      </c>
      <c r="AK58" t="s">
        <v>1703</v>
      </c>
      <c r="AL58" t="s">
        <v>1702</v>
      </c>
      <c r="AM58" t="s">
        <v>1703</v>
      </c>
      <c r="AN58" t="s">
        <v>1702</v>
      </c>
      <c r="AO58" t="s">
        <v>1703</v>
      </c>
      <c r="AP58" t="s">
        <v>1702</v>
      </c>
      <c r="AQ58" t="s">
        <v>1725</v>
      </c>
      <c r="AR58" t="s">
        <v>1703</v>
      </c>
      <c r="AS58" t="s">
        <v>1702</v>
      </c>
      <c r="AT58" t="s">
        <v>1703</v>
      </c>
      <c r="AU58" t="s">
        <v>1704</v>
      </c>
      <c r="AV58" t="s">
        <v>1725</v>
      </c>
      <c r="AW58" t="s">
        <v>1703</v>
      </c>
      <c r="AX58" t="s">
        <v>1706</v>
      </c>
      <c r="AY58" t="s">
        <v>1723</v>
      </c>
      <c r="AZ58" t="s">
        <v>1706</v>
      </c>
      <c r="BA58" t="s">
        <v>1700</v>
      </c>
      <c r="BB58" t="s">
        <v>1706</v>
      </c>
      <c r="BC58" t="s">
        <v>1723</v>
      </c>
      <c r="BD58" t="s">
        <v>1706</v>
      </c>
      <c r="BE58" t="s">
        <v>1706</v>
      </c>
      <c r="BF58" t="s">
        <v>1723</v>
      </c>
      <c r="BG58">
        <v>35</v>
      </c>
      <c r="BH58" s="12" t="s">
        <v>1709</v>
      </c>
      <c r="BI58" t="b">
        <v>0</v>
      </c>
      <c r="BJ58">
        <f t="shared" si="0"/>
        <v>0</v>
      </c>
    </row>
    <row r="59" spans="1:62" x14ac:dyDescent="0.2">
      <c r="A59" s="5" t="s">
        <v>15</v>
      </c>
      <c r="B59" s="6">
        <v>36608</v>
      </c>
      <c r="C59" s="7">
        <v>33.285452999999997</v>
      </c>
      <c r="D59" s="7">
        <v>-111.768283</v>
      </c>
      <c r="E59" s="17">
        <v>386</v>
      </c>
      <c r="F59" t="s">
        <v>1703</v>
      </c>
      <c r="G59" t="s">
        <v>1720</v>
      </c>
      <c r="H59" t="s">
        <v>1721</v>
      </c>
      <c r="I59">
        <v>0</v>
      </c>
      <c r="J59" s="8">
        <v>18.217262895447465</v>
      </c>
      <c r="K59" s="8">
        <v>66.807362428316537</v>
      </c>
      <c r="L59" s="8">
        <v>14.975374676236001</v>
      </c>
      <c r="M59" s="8">
        <v>19.578535109205436</v>
      </c>
      <c r="N59" s="8">
        <v>6.2580648667630268</v>
      </c>
      <c r="O59" s="8">
        <v>55.317014683777494</v>
      </c>
      <c r="P59" s="8">
        <v>73.043880379758448</v>
      </c>
      <c r="Q59" s="8">
        <v>48.437308377178539</v>
      </c>
      <c r="R59" s="8">
        <v>5.608424145510055</v>
      </c>
      <c r="S59" s="8">
        <v>1.1339999999999999</v>
      </c>
      <c r="T59" s="8">
        <v>0.56999999999999995</v>
      </c>
      <c r="U59" s="8">
        <v>0.222</v>
      </c>
      <c r="V59" s="8">
        <v>0.14299999999999999</v>
      </c>
      <c r="W59" s="8">
        <v>0.91200000000000003</v>
      </c>
      <c r="X59" s="8">
        <v>0.42699999999999999</v>
      </c>
      <c r="Y59" s="8">
        <v>3.6831100000000001</v>
      </c>
      <c r="Z59" s="8">
        <v>3.0989300000000002</v>
      </c>
      <c r="AA59" s="9">
        <v>8.61</v>
      </c>
      <c r="AB59" s="10">
        <v>0.46750000000000003</v>
      </c>
      <c r="AC59" s="8">
        <v>9.1364900000000002</v>
      </c>
      <c r="AD59" s="8">
        <v>9.3539100000000008</v>
      </c>
      <c r="AE59" s="8">
        <v>9.0999999999999998E-2</v>
      </c>
      <c r="AF59" s="8">
        <v>4.8000000000000001E-2</v>
      </c>
      <c r="AG59" s="8">
        <v>1.3545629023326833</v>
      </c>
      <c r="AH59" s="8">
        <v>12.46153846153846</v>
      </c>
      <c r="AI59" s="8">
        <v>6.2637362637362637</v>
      </c>
      <c r="AJ59" t="s">
        <v>1694</v>
      </c>
      <c r="AK59" t="s">
        <v>1694</v>
      </c>
      <c r="AL59" t="s">
        <v>1702</v>
      </c>
      <c r="AM59" t="s">
        <v>1703</v>
      </c>
      <c r="AN59" t="s">
        <v>1702</v>
      </c>
      <c r="AO59" t="s">
        <v>1703</v>
      </c>
      <c r="AP59" t="s">
        <v>1702</v>
      </c>
      <c r="AQ59" t="s">
        <v>1697</v>
      </c>
      <c r="AR59" t="s">
        <v>1703</v>
      </c>
      <c r="AS59" t="s">
        <v>1702</v>
      </c>
      <c r="AT59" t="s">
        <v>1703</v>
      </c>
      <c r="AU59" t="s">
        <v>1716</v>
      </c>
      <c r="AV59" t="s">
        <v>1719</v>
      </c>
      <c r="AW59" t="s">
        <v>1703</v>
      </c>
      <c r="AX59" t="s">
        <v>1716</v>
      </c>
      <c r="AY59" t="s">
        <v>1719</v>
      </c>
      <c r="AZ59" t="s">
        <v>1703</v>
      </c>
      <c r="BA59" t="s">
        <v>1700</v>
      </c>
      <c r="BB59" t="s">
        <v>1716</v>
      </c>
      <c r="BC59" t="s">
        <v>1719</v>
      </c>
      <c r="BD59" t="s">
        <v>1700</v>
      </c>
      <c r="BE59" t="s">
        <v>1716</v>
      </c>
      <c r="BF59" t="s">
        <v>1719</v>
      </c>
      <c r="BG59">
        <v>5</v>
      </c>
      <c r="BH59" s="12" t="s">
        <v>1708</v>
      </c>
      <c r="BI59" t="b">
        <v>0</v>
      </c>
      <c r="BJ59">
        <f t="shared" si="0"/>
        <v>0</v>
      </c>
    </row>
    <row r="60" spans="1:62" x14ac:dyDescent="0.2">
      <c r="A60" s="5" t="s">
        <v>15</v>
      </c>
      <c r="B60" s="6">
        <v>38457</v>
      </c>
      <c r="C60" s="7">
        <v>33.285452999999997</v>
      </c>
      <c r="D60" s="7">
        <v>-111.768283</v>
      </c>
      <c r="E60" s="17">
        <v>386</v>
      </c>
      <c r="F60" t="s">
        <v>1703</v>
      </c>
      <c r="G60" t="s">
        <v>1720</v>
      </c>
      <c r="H60" t="s">
        <v>1721</v>
      </c>
      <c r="I60">
        <v>0</v>
      </c>
      <c r="J60" s="8">
        <v>15.058777471625636</v>
      </c>
      <c r="K60" s="8">
        <v>63.370768015250427</v>
      </c>
      <c r="L60" s="8">
        <v>21.570454513123934</v>
      </c>
      <c r="M60" s="8">
        <v>6.9180584442336102</v>
      </c>
      <c r="N60" s="8">
        <v>4.9407176476422423</v>
      </c>
      <c r="O60" s="8">
        <v>49.533298460712651</v>
      </c>
      <c r="P60" s="8">
        <v>178.79669516177799</v>
      </c>
      <c r="Q60" s="8">
        <v>17.525922097931289</v>
      </c>
      <c r="R60" s="8">
        <v>15.867319774949705</v>
      </c>
      <c r="S60" s="8">
        <v>0.70199999999999996</v>
      </c>
      <c r="T60" s="8">
        <v>0.77900000000000003</v>
      </c>
      <c r="U60" s="8">
        <v>0.24</v>
      </c>
      <c r="V60" s="8">
        <v>0.23599999999999999</v>
      </c>
      <c r="W60" s="8">
        <v>0.46199999999999997</v>
      </c>
      <c r="X60" s="8">
        <v>0.54300000000000004</v>
      </c>
      <c r="Y60" s="8">
        <v>4.0041067761807039</v>
      </c>
      <c r="Z60" s="8">
        <v>4.2124542124542197</v>
      </c>
      <c r="AA60" s="8">
        <v>8.73</v>
      </c>
      <c r="AB60">
        <v>0.191</v>
      </c>
      <c r="AC60" s="8">
        <v>4.0041067761807039</v>
      </c>
      <c r="AD60" s="8">
        <v>7.326007326007332</v>
      </c>
      <c r="AE60" s="8">
        <v>4.3999999999999997E-2</v>
      </c>
      <c r="AF60" s="8">
        <v>7.0000000000000007E-2</v>
      </c>
      <c r="AG60" s="8">
        <v>1.3238701847002434</v>
      </c>
      <c r="AH60" s="8">
        <v>15.954545454545455</v>
      </c>
      <c r="AI60" s="8">
        <v>17.704545454545457</v>
      </c>
      <c r="AJ60" t="s">
        <v>1694</v>
      </c>
      <c r="AK60" t="s">
        <v>1694</v>
      </c>
      <c r="AL60" t="s">
        <v>1702</v>
      </c>
      <c r="AM60" t="s">
        <v>1703</v>
      </c>
      <c r="AN60" t="s">
        <v>1702</v>
      </c>
      <c r="AO60" t="s">
        <v>1703</v>
      </c>
      <c r="AP60" t="s">
        <v>1702</v>
      </c>
      <c r="AQ60" t="s">
        <v>1697</v>
      </c>
      <c r="AR60" t="s">
        <v>1703</v>
      </c>
      <c r="AS60" t="s">
        <v>1702</v>
      </c>
      <c r="AT60" t="s">
        <v>1703</v>
      </c>
      <c r="AU60" t="s">
        <v>1716</v>
      </c>
      <c r="AV60" t="s">
        <v>1719</v>
      </c>
      <c r="AW60" t="s">
        <v>1703</v>
      </c>
      <c r="AX60" t="s">
        <v>1716</v>
      </c>
      <c r="AY60" t="s">
        <v>1719</v>
      </c>
      <c r="AZ60" t="s">
        <v>1703</v>
      </c>
      <c r="BA60" t="s">
        <v>1700</v>
      </c>
      <c r="BB60" t="s">
        <v>1716</v>
      </c>
      <c r="BC60" t="s">
        <v>1719</v>
      </c>
      <c r="BD60" t="s">
        <v>1700</v>
      </c>
      <c r="BE60" t="s">
        <v>1716</v>
      </c>
      <c r="BF60" t="s">
        <v>1719</v>
      </c>
      <c r="BG60">
        <v>10</v>
      </c>
      <c r="BH60" s="12" t="s">
        <v>1708</v>
      </c>
      <c r="BI60" t="b">
        <v>0</v>
      </c>
      <c r="BJ60">
        <f t="shared" si="0"/>
        <v>0</v>
      </c>
    </row>
    <row r="61" spans="1:62" x14ac:dyDescent="0.2">
      <c r="A61" s="5" t="s">
        <v>15</v>
      </c>
      <c r="B61" s="6">
        <v>40311</v>
      </c>
      <c r="C61" s="7">
        <v>33.285452999999997</v>
      </c>
      <c r="D61" s="7">
        <v>-111.768283</v>
      </c>
      <c r="E61" s="17">
        <v>386</v>
      </c>
      <c r="F61" t="s">
        <v>1703</v>
      </c>
      <c r="G61" t="s">
        <v>1720</v>
      </c>
      <c r="H61" t="s">
        <v>1721</v>
      </c>
      <c r="I61">
        <v>0</v>
      </c>
      <c r="J61" s="8">
        <v>14.740953799247107</v>
      </c>
      <c r="K61" s="8">
        <v>76.458000624773888</v>
      </c>
      <c r="L61" s="8">
        <v>8.8010455759790034</v>
      </c>
      <c r="M61" s="8">
        <v>4.5763500238744701</v>
      </c>
      <c r="N61" s="8">
        <v>9.581345621173293</v>
      </c>
      <c r="O61" s="8">
        <v>230.99671549080665</v>
      </c>
      <c r="P61" s="8">
        <v>235.98499400297183</v>
      </c>
      <c r="Q61" s="8">
        <v>16.524099698748525</v>
      </c>
      <c r="R61" s="8">
        <v>33.975064447604879</v>
      </c>
      <c r="S61" s="8">
        <v>0.63400000000000001</v>
      </c>
      <c r="T61" s="8">
        <v>0.86199999999999999</v>
      </c>
      <c r="U61" s="8">
        <v>0.26800000000000002</v>
      </c>
      <c r="V61" s="8">
        <v>0.157</v>
      </c>
      <c r="W61" s="8">
        <v>0.36599999999999999</v>
      </c>
      <c r="X61" s="8">
        <v>0.70499999999999996</v>
      </c>
      <c r="Y61" s="8">
        <v>3.1716417910447916</v>
      </c>
      <c r="Z61" s="8">
        <v>4.3196544276457924</v>
      </c>
      <c r="AA61" s="8">
        <v>8.9600000000000009</v>
      </c>
      <c r="AB61">
        <v>0.23699999999999999</v>
      </c>
      <c r="AC61" s="8">
        <v>1.4925373134328206</v>
      </c>
      <c r="AD61" s="8">
        <v>2.3758099352051905</v>
      </c>
      <c r="AE61" s="8">
        <v>3.5999999999999997E-2</v>
      </c>
      <c r="AF61" s="8">
        <v>0.09</v>
      </c>
      <c r="AG61" s="8">
        <v>1.7241985076788988</v>
      </c>
      <c r="AH61" s="8">
        <v>17.611111111111114</v>
      </c>
      <c r="AI61" s="8">
        <v>23.944444444444446</v>
      </c>
      <c r="AJ61" t="s">
        <v>1694</v>
      </c>
      <c r="AK61" t="s">
        <v>1694</v>
      </c>
      <c r="AL61" t="s">
        <v>1702</v>
      </c>
      <c r="AM61" t="s">
        <v>1703</v>
      </c>
      <c r="AN61" t="s">
        <v>1702</v>
      </c>
      <c r="AO61" t="s">
        <v>1703</v>
      </c>
      <c r="AP61" t="s">
        <v>1702</v>
      </c>
      <c r="AQ61" t="s">
        <v>1697</v>
      </c>
      <c r="AR61" t="s">
        <v>1703</v>
      </c>
      <c r="AS61" t="s">
        <v>1702</v>
      </c>
      <c r="AT61" t="s">
        <v>1703</v>
      </c>
      <c r="AU61" t="s">
        <v>1716</v>
      </c>
      <c r="AV61" t="s">
        <v>1719</v>
      </c>
      <c r="AW61" t="s">
        <v>1703</v>
      </c>
      <c r="AX61" t="s">
        <v>1716</v>
      </c>
      <c r="AY61" t="s">
        <v>1719</v>
      </c>
      <c r="AZ61" t="s">
        <v>1703</v>
      </c>
      <c r="BA61" t="s">
        <v>1700</v>
      </c>
      <c r="BB61" t="s">
        <v>1716</v>
      </c>
      <c r="BC61" t="s">
        <v>1719</v>
      </c>
      <c r="BD61" t="s">
        <v>1700</v>
      </c>
      <c r="BE61" t="s">
        <v>1716</v>
      </c>
      <c r="BF61" t="s">
        <v>1719</v>
      </c>
      <c r="BG61">
        <v>15</v>
      </c>
      <c r="BH61" s="12" t="s">
        <v>1708</v>
      </c>
      <c r="BI61" t="b">
        <v>0</v>
      </c>
      <c r="BJ61">
        <f t="shared" si="0"/>
        <v>0</v>
      </c>
    </row>
    <row r="62" spans="1:62" x14ac:dyDescent="0.2">
      <c r="A62" s="5" t="s">
        <v>15</v>
      </c>
      <c r="B62" s="6">
        <v>42184</v>
      </c>
      <c r="C62" s="7">
        <v>33.285452999999997</v>
      </c>
      <c r="D62" s="7">
        <v>-111.768283</v>
      </c>
      <c r="E62" s="17">
        <v>386</v>
      </c>
      <c r="F62" t="s">
        <v>1703</v>
      </c>
      <c r="G62" t="s">
        <v>1720</v>
      </c>
      <c r="H62" t="s">
        <v>1721</v>
      </c>
      <c r="I62">
        <v>0</v>
      </c>
      <c r="J62" t="s">
        <v>1697</v>
      </c>
      <c r="K62" t="s">
        <v>1697</v>
      </c>
      <c r="L62" t="s">
        <v>1697</v>
      </c>
      <c r="M62" t="s">
        <v>1697</v>
      </c>
      <c r="N62" t="s">
        <v>1697</v>
      </c>
      <c r="O62" t="s">
        <v>1697</v>
      </c>
      <c r="P62" t="s">
        <v>1697</v>
      </c>
      <c r="Q62" t="s">
        <v>1697</v>
      </c>
      <c r="R62" t="s">
        <v>1697</v>
      </c>
      <c r="S62" t="s">
        <v>1697</v>
      </c>
      <c r="T62" t="s">
        <v>1697</v>
      </c>
      <c r="U62" t="s">
        <v>1697</v>
      </c>
      <c r="V62" t="s">
        <v>1697</v>
      </c>
      <c r="W62" t="s">
        <v>1697</v>
      </c>
      <c r="X62" t="s">
        <v>1697</v>
      </c>
      <c r="Y62" t="s">
        <v>1697</v>
      </c>
      <c r="Z62" t="s">
        <v>1697</v>
      </c>
      <c r="AA62" t="s">
        <v>1697</v>
      </c>
      <c r="AB62" t="s">
        <v>1697</v>
      </c>
      <c r="AC62" t="s">
        <v>1697</v>
      </c>
      <c r="AD62" t="s">
        <v>1697</v>
      </c>
      <c r="AE62" t="s">
        <v>1697</v>
      </c>
      <c r="AF62" t="s">
        <v>1697</v>
      </c>
      <c r="AG62" t="s">
        <v>1697</v>
      </c>
      <c r="AH62" t="s">
        <v>1697</v>
      </c>
      <c r="AI62" t="s">
        <v>1697</v>
      </c>
      <c r="AJ62" t="s">
        <v>1694</v>
      </c>
      <c r="AK62" t="s">
        <v>1694</v>
      </c>
      <c r="AL62" t="s">
        <v>1702</v>
      </c>
      <c r="AM62" t="s">
        <v>1703</v>
      </c>
      <c r="AN62" t="s">
        <v>1702</v>
      </c>
      <c r="AO62" t="s">
        <v>1703</v>
      </c>
      <c r="AP62" t="s">
        <v>1697</v>
      </c>
      <c r="AQ62" t="s">
        <v>1697</v>
      </c>
      <c r="AR62" t="s">
        <v>1703</v>
      </c>
      <c r="AS62" t="s">
        <v>1702</v>
      </c>
      <c r="AT62" t="s">
        <v>1703</v>
      </c>
      <c r="AU62" t="s">
        <v>1716</v>
      </c>
      <c r="AV62" t="s">
        <v>1719</v>
      </c>
      <c r="AW62" t="s">
        <v>1703</v>
      </c>
      <c r="AX62" t="s">
        <v>1716</v>
      </c>
      <c r="AY62" t="s">
        <v>1719</v>
      </c>
      <c r="AZ62" t="s">
        <v>1703</v>
      </c>
      <c r="BA62" t="s">
        <v>1700</v>
      </c>
      <c r="BB62" t="s">
        <v>1716</v>
      </c>
      <c r="BC62" t="s">
        <v>1719</v>
      </c>
      <c r="BD62" t="s">
        <v>1700</v>
      </c>
      <c r="BE62" t="s">
        <v>1716</v>
      </c>
      <c r="BF62" t="s">
        <v>1719</v>
      </c>
      <c r="BG62">
        <v>20</v>
      </c>
      <c r="BH62" s="12" t="s">
        <v>1708</v>
      </c>
      <c r="BI62" t="b">
        <v>0</v>
      </c>
      <c r="BJ62">
        <f t="shared" si="0"/>
        <v>0</v>
      </c>
    </row>
    <row r="63" spans="1:62" x14ac:dyDescent="0.2">
      <c r="A63" s="5" t="s">
        <v>15</v>
      </c>
      <c r="B63" s="6">
        <v>45077</v>
      </c>
      <c r="C63" s="7">
        <v>33.285452999999997</v>
      </c>
      <c r="D63" s="7">
        <v>-111.768283</v>
      </c>
      <c r="E63" s="17">
        <v>386</v>
      </c>
      <c r="F63" t="s">
        <v>1700</v>
      </c>
      <c r="G63" t="s">
        <v>1699</v>
      </c>
      <c r="H63" t="s">
        <v>1732</v>
      </c>
      <c r="I63">
        <v>1</v>
      </c>
      <c r="J63" t="s">
        <v>1697</v>
      </c>
      <c r="K63" t="s">
        <v>1697</v>
      </c>
      <c r="L63" t="s">
        <v>1697</v>
      </c>
      <c r="M63" t="s">
        <v>1697</v>
      </c>
      <c r="N63" t="s">
        <v>1697</v>
      </c>
      <c r="O63" t="s">
        <v>1697</v>
      </c>
      <c r="P63" t="s">
        <v>1697</v>
      </c>
      <c r="Q63" t="s">
        <v>1697</v>
      </c>
      <c r="R63" t="s">
        <v>1697</v>
      </c>
      <c r="S63" t="s">
        <v>1697</v>
      </c>
      <c r="T63" t="s">
        <v>1697</v>
      </c>
      <c r="U63" t="s">
        <v>1697</v>
      </c>
      <c r="V63" t="s">
        <v>1697</v>
      </c>
      <c r="W63" t="s">
        <v>1697</v>
      </c>
      <c r="X63" t="s">
        <v>1697</v>
      </c>
      <c r="Y63" t="s">
        <v>1697</v>
      </c>
      <c r="Z63" t="s">
        <v>1697</v>
      </c>
      <c r="AA63" t="s">
        <v>1697</v>
      </c>
      <c r="AB63" t="s">
        <v>1697</v>
      </c>
      <c r="AC63" t="s">
        <v>1697</v>
      </c>
      <c r="AD63" t="s">
        <v>1697</v>
      </c>
      <c r="AE63" t="s">
        <v>1697</v>
      </c>
      <c r="AF63" t="s">
        <v>1697</v>
      </c>
      <c r="AG63" t="s">
        <v>1697</v>
      </c>
      <c r="AH63" t="s">
        <v>1697</v>
      </c>
      <c r="AI63" t="s">
        <v>1697</v>
      </c>
      <c r="AJ63" t="s">
        <v>1694</v>
      </c>
      <c r="AK63" t="s">
        <v>1694</v>
      </c>
      <c r="AL63" t="s">
        <v>1702</v>
      </c>
      <c r="AM63" t="s">
        <v>1703</v>
      </c>
      <c r="AN63" t="s">
        <v>1702</v>
      </c>
      <c r="AO63" t="s">
        <v>1703</v>
      </c>
      <c r="AP63" t="s">
        <v>1697</v>
      </c>
      <c r="AQ63" t="s">
        <v>1697</v>
      </c>
      <c r="AR63" t="s">
        <v>1703</v>
      </c>
      <c r="AS63" t="s">
        <v>1702</v>
      </c>
      <c r="AT63" t="s">
        <v>1703</v>
      </c>
      <c r="AU63" t="s">
        <v>1716</v>
      </c>
      <c r="AV63" t="s">
        <v>1719</v>
      </c>
      <c r="AW63" t="s">
        <v>1703</v>
      </c>
      <c r="AX63" t="s">
        <v>1716</v>
      </c>
      <c r="AY63" t="s">
        <v>1719</v>
      </c>
      <c r="AZ63" t="s">
        <v>1703</v>
      </c>
      <c r="BA63" t="s">
        <v>1700</v>
      </c>
      <c r="BB63" t="s">
        <v>1716</v>
      </c>
      <c r="BC63" t="s">
        <v>1719</v>
      </c>
      <c r="BD63" t="s">
        <v>1700</v>
      </c>
      <c r="BE63" t="s">
        <v>1716</v>
      </c>
      <c r="BF63" t="s">
        <v>1719</v>
      </c>
      <c r="BG63" s="6" t="s">
        <v>1697</v>
      </c>
      <c r="BH63" s="6" t="s">
        <v>1697</v>
      </c>
      <c r="BI63" t="b">
        <v>1</v>
      </c>
      <c r="BJ63">
        <f t="shared" si="0"/>
        <v>1</v>
      </c>
    </row>
    <row r="64" spans="1:62" x14ac:dyDescent="0.2">
      <c r="A64" s="5" t="s">
        <v>16</v>
      </c>
      <c r="B64" s="6">
        <v>38457</v>
      </c>
      <c r="C64" s="7">
        <v>33.275402999999997</v>
      </c>
      <c r="D64" s="7">
        <v>-111.794194</v>
      </c>
      <c r="E64" s="17">
        <v>380</v>
      </c>
      <c r="F64" t="s">
        <v>1703</v>
      </c>
      <c r="G64" t="s">
        <v>1730</v>
      </c>
      <c r="H64" t="s">
        <v>1705</v>
      </c>
      <c r="I64">
        <v>0</v>
      </c>
      <c r="J64" s="8">
        <v>25.465359060525195</v>
      </c>
      <c r="K64" s="8">
        <v>46.00570035550988</v>
      </c>
      <c r="L64" s="8">
        <v>28.528940583964925</v>
      </c>
      <c r="M64" s="8">
        <v>1.8635954222152762</v>
      </c>
      <c r="N64" s="8">
        <v>0.95879245322293083</v>
      </c>
      <c r="O64" s="8">
        <v>0.85192933586984054</v>
      </c>
      <c r="P64" s="8">
        <v>2.2394652300278453</v>
      </c>
      <c r="Q64" s="8">
        <v>9.2623473969804007</v>
      </c>
      <c r="R64" s="8">
        <v>7.3963989248626092</v>
      </c>
      <c r="S64" s="8">
        <v>0.65400000000000003</v>
      </c>
      <c r="T64" s="8">
        <v>0.48299999999999998</v>
      </c>
      <c r="U64" s="8">
        <v>5.8999999999999997E-2</v>
      </c>
      <c r="V64" s="8">
        <v>6.6000000000000003E-2</v>
      </c>
      <c r="W64" s="8">
        <v>0.59499999999999997</v>
      </c>
      <c r="X64" s="8">
        <v>0.41699999999999998</v>
      </c>
      <c r="Y64" s="8">
        <v>4.3841336116910217</v>
      </c>
      <c r="Z64" s="8">
        <v>3.9001560062402496</v>
      </c>
      <c r="AA64" s="8">
        <v>8.25</v>
      </c>
      <c r="AB64">
        <v>0.25900000000000001</v>
      </c>
      <c r="AC64" s="8">
        <v>5.1148225469728619</v>
      </c>
      <c r="AD64" s="8">
        <v>8.2683307332293197</v>
      </c>
      <c r="AE64" s="8">
        <v>6.9000000000000006E-2</v>
      </c>
      <c r="AF64" s="8">
        <v>0.06</v>
      </c>
      <c r="AG64" s="8">
        <v>1.2558956291132914</v>
      </c>
      <c r="AH64" s="8">
        <v>9.4782608695652169</v>
      </c>
      <c r="AI64" s="8">
        <v>6.9999999999999991</v>
      </c>
      <c r="AJ64" t="s">
        <v>1694</v>
      </c>
      <c r="AK64" t="s">
        <v>1694</v>
      </c>
      <c r="AL64" t="s">
        <v>1702</v>
      </c>
      <c r="AM64" t="s">
        <v>1703</v>
      </c>
      <c r="AN64" t="s">
        <v>1702</v>
      </c>
      <c r="AO64" t="s">
        <v>1703</v>
      </c>
      <c r="AP64" t="s">
        <v>1702</v>
      </c>
      <c r="AQ64" t="s">
        <v>1725</v>
      </c>
      <c r="AR64" t="s">
        <v>1703</v>
      </c>
      <c r="AS64" t="s">
        <v>1702</v>
      </c>
      <c r="AT64" t="s">
        <v>1703</v>
      </c>
      <c r="AU64" t="s">
        <v>1704</v>
      </c>
      <c r="AV64" t="s">
        <v>1725</v>
      </c>
      <c r="AW64" t="s">
        <v>1703</v>
      </c>
      <c r="AX64" t="s">
        <v>1704</v>
      </c>
      <c r="AY64" t="s">
        <v>1705</v>
      </c>
      <c r="AZ64" t="s">
        <v>1703</v>
      </c>
      <c r="BA64" t="s">
        <v>1702</v>
      </c>
      <c r="BB64" t="s">
        <v>1704</v>
      </c>
      <c r="BC64" t="s">
        <v>1725</v>
      </c>
      <c r="BD64" t="s">
        <v>1703</v>
      </c>
      <c r="BE64" t="s">
        <v>1704</v>
      </c>
      <c r="BF64" t="s">
        <v>1725</v>
      </c>
      <c r="BG64">
        <v>93</v>
      </c>
      <c r="BH64" s="12" t="s">
        <v>1713</v>
      </c>
      <c r="BI64" t="b">
        <v>0</v>
      </c>
      <c r="BJ64">
        <f t="shared" si="0"/>
        <v>0</v>
      </c>
    </row>
    <row r="65" spans="1:62" x14ac:dyDescent="0.2">
      <c r="A65" s="5" t="s">
        <v>16</v>
      </c>
      <c r="B65" s="6">
        <v>40311</v>
      </c>
      <c r="C65" s="7">
        <v>33.275402999999997</v>
      </c>
      <c r="D65" s="7">
        <v>-111.794194</v>
      </c>
      <c r="E65" s="17">
        <v>380</v>
      </c>
      <c r="F65" t="s">
        <v>1711</v>
      </c>
      <c r="G65" t="s">
        <v>1711</v>
      </c>
      <c r="H65" t="s">
        <v>1711</v>
      </c>
      <c r="I65">
        <v>1</v>
      </c>
      <c r="J65" s="8">
        <v>24.02505557770548</v>
      </c>
      <c r="K65" s="8">
        <v>51.371056078876911</v>
      </c>
      <c r="L65" s="8">
        <v>24.603888343417609</v>
      </c>
      <c r="M65" s="8">
        <v>2.4917808195083784</v>
      </c>
      <c r="N65" s="8">
        <v>3.4422923898670317</v>
      </c>
      <c r="O65" s="8">
        <v>43.838448994062659</v>
      </c>
      <c r="P65" s="8">
        <v>48.309922537498203</v>
      </c>
      <c r="Q65" s="8">
        <v>14.65932907718242</v>
      </c>
      <c r="R65" s="8">
        <v>11.821872578620592</v>
      </c>
      <c r="S65" s="8">
        <v>0.60199999999999998</v>
      </c>
      <c r="T65" s="8">
        <v>0.4</v>
      </c>
      <c r="U65" s="8">
        <v>0.192</v>
      </c>
      <c r="V65" s="8">
        <v>7.4999999999999997E-2</v>
      </c>
      <c r="W65" s="8">
        <v>0.41</v>
      </c>
      <c r="X65" s="8">
        <v>0.32500000000000001</v>
      </c>
      <c r="Y65" s="8">
        <v>1.2912482065997108</v>
      </c>
      <c r="Z65" s="8">
        <v>2.9850746268656687</v>
      </c>
      <c r="AA65" s="8">
        <v>8.61</v>
      </c>
      <c r="AB65">
        <v>0.27600000000000002</v>
      </c>
      <c r="AC65" s="8">
        <v>2.5824964131994217</v>
      </c>
      <c r="AD65" s="8">
        <v>4.247990815154985</v>
      </c>
      <c r="AE65" s="8">
        <v>5.6000000000000001E-2</v>
      </c>
      <c r="AF65" s="8">
        <v>4.4999999999999998E-2</v>
      </c>
      <c r="AG65" s="8">
        <v>1.6327732826522567</v>
      </c>
      <c r="AH65" s="8">
        <v>10.75</v>
      </c>
      <c r="AI65" s="8">
        <v>7.1428571428571432</v>
      </c>
      <c r="AJ65" t="s">
        <v>1694</v>
      </c>
      <c r="AK65" t="s">
        <v>1694</v>
      </c>
      <c r="AL65" t="s">
        <v>1702</v>
      </c>
      <c r="AM65" t="s">
        <v>1703</v>
      </c>
      <c r="AN65" t="s">
        <v>1702</v>
      </c>
      <c r="AO65" t="s">
        <v>1703</v>
      </c>
      <c r="AP65" t="s">
        <v>1702</v>
      </c>
      <c r="AQ65" t="s">
        <v>1725</v>
      </c>
      <c r="AR65" t="s">
        <v>1703</v>
      </c>
      <c r="AS65" t="s">
        <v>1702</v>
      </c>
      <c r="AT65" t="s">
        <v>1703</v>
      </c>
      <c r="AU65" t="s">
        <v>1704</v>
      </c>
      <c r="AV65" t="s">
        <v>1725</v>
      </c>
      <c r="AW65" t="s">
        <v>1703</v>
      </c>
      <c r="AX65" t="s">
        <v>1704</v>
      </c>
      <c r="AY65" t="s">
        <v>1705</v>
      </c>
      <c r="AZ65" t="s">
        <v>1703</v>
      </c>
      <c r="BA65" t="s">
        <v>1702</v>
      </c>
      <c r="BB65" t="s">
        <v>1704</v>
      </c>
      <c r="BC65" t="s">
        <v>1725</v>
      </c>
      <c r="BD65" t="s">
        <v>1703</v>
      </c>
      <c r="BE65" t="s">
        <v>1704</v>
      </c>
      <c r="BF65" t="s">
        <v>1725</v>
      </c>
      <c r="BG65">
        <v>98</v>
      </c>
      <c r="BH65" s="12" t="s">
        <v>1713</v>
      </c>
      <c r="BI65" t="b">
        <v>0</v>
      </c>
      <c r="BJ65">
        <f t="shared" si="0"/>
        <v>0</v>
      </c>
    </row>
    <row r="66" spans="1:62" x14ac:dyDescent="0.2">
      <c r="A66" s="5" t="s">
        <v>16</v>
      </c>
      <c r="B66" s="6">
        <v>42089</v>
      </c>
      <c r="C66" s="7">
        <v>33.275402999999997</v>
      </c>
      <c r="D66" s="7">
        <v>-111.794194</v>
      </c>
      <c r="E66" s="17">
        <v>380</v>
      </c>
      <c r="F66" t="s">
        <v>1711</v>
      </c>
      <c r="G66" t="s">
        <v>1711</v>
      </c>
      <c r="H66" t="s">
        <v>1711</v>
      </c>
      <c r="I66">
        <v>1</v>
      </c>
      <c r="J66">
        <v>19.5119108432771</v>
      </c>
      <c r="K66">
        <v>51.627744484958903</v>
      </c>
      <c r="L66">
        <v>28.860344671764</v>
      </c>
      <c r="M66">
        <v>4.76611172172188</v>
      </c>
      <c r="N66">
        <v>25.949105397733401</v>
      </c>
      <c r="O66">
        <v>50.664969142673698</v>
      </c>
      <c r="P66">
        <v>442.31429655227299</v>
      </c>
      <c r="Q66">
        <v>13.8082600447398</v>
      </c>
      <c r="R66">
        <v>9.9136225962234796</v>
      </c>
      <c r="S66">
        <v>0.51100000000000001</v>
      </c>
      <c r="T66">
        <v>0.46</v>
      </c>
      <c r="U66">
        <v>0.183</v>
      </c>
      <c r="V66">
        <v>0.08</v>
      </c>
      <c r="W66">
        <v>0.32800000000000001</v>
      </c>
      <c r="X66">
        <v>0.38</v>
      </c>
      <c r="Y66">
        <v>2.1786492374727602</v>
      </c>
      <c r="Z66">
        <v>2.1118012422360302</v>
      </c>
      <c r="AA66">
        <v>8.1300000000000008</v>
      </c>
      <c r="AB66">
        <v>0.38400000000000001</v>
      </c>
      <c r="AC66">
        <v>4.0287769784172802</v>
      </c>
      <c r="AD66">
        <v>4.6712802768166002</v>
      </c>
      <c r="AE66">
        <v>5.2999999999999999E-2</v>
      </c>
      <c r="AF66">
        <v>9.2999999999999999E-2</v>
      </c>
      <c r="AG66">
        <v>1.6324268530502499</v>
      </c>
      <c r="AH66">
        <v>9.6415094339622591</v>
      </c>
      <c r="AI66">
        <v>4.9462365591397797</v>
      </c>
      <c r="AJ66" t="s">
        <v>1694</v>
      </c>
      <c r="AK66" t="s">
        <v>1694</v>
      </c>
      <c r="AL66" t="s">
        <v>1702</v>
      </c>
      <c r="AM66" t="s">
        <v>1703</v>
      </c>
      <c r="AN66" t="s">
        <v>1702</v>
      </c>
      <c r="AO66" t="s">
        <v>1703</v>
      </c>
      <c r="AP66" t="s">
        <v>1702</v>
      </c>
      <c r="AQ66" t="s">
        <v>1725</v>
      </c>
      <c r="AR66" t="s">
        <v>1703</v>
      </c>
      <c r="AS66" t="s">
        <v>1702</v>
      </c>
      <c r="AT66" t="s">
        <v>1703</v>
      </c>
      <c r="AU66" t="s">
        <v>1704</v>
      </c>
      <c r="AV66" t="s">
        <v>1725</v>
      </c>
      <c r="AW66" t="s">
        <v>1703</v>
      </c>
      <c r="AX66" t="s">
        <v>1704</v>
      </c>
      <c r="AY66" t="s">
        <v>1705</v>
      </c>
      <c r="AZ66" t="s">
        <v>1703</v>
      </c>
      <c r="BA66" t="s">
        <v>1702</v>
      </c>
      <c r="BB66" t="s">
        <v>1704</v>
      </c>
      <c r="BC66" t="s">
        <v>1725</v>
      </c>
      <c r="BD66" t="s">
        <v>1703</v>
      </c>
      <c r="BE66" t="s">
        <v>1704</v>
      </c>
      <c r="BF66" t="s">
        <v>1725</v>
      </c>
      <c r="BG66">
        <v>103</v>
      </c>
      <c r="BH66" t="s">
        <v>1731</v>
      </c>
      <c r="BI66" t="b">
        <v>1</v>
      </c>
      <c r="BJ66">
        <f t="shared" ref="BJ66:BJ129" si="1">COUNTIF(BI66:BI66,TRUE)</f>
        <v>1</v>
      </c>
    </row>
    <row r="67" spans="1:62" x14ac:dyDescent="0.2">
      <c r="A67" s="5" t="s">
        <v>16</v>
      </c>
      <c r="B67" s="6">
        <v>45077</v>
      </c>
      <c r="C67" s="7">
        <v>33.275402999999997</v>
      </c>
      <c r="D67" s="7">
        <v>-111.794194</v>
      </c>
      <c r="E67" s="17">
        <v>380</v>
      </c>
      <c r="F67" t="s">
        <v>1711</v>
      </c>
      <c r="G67" t="s">
        <v>1711</v>
      </c>
      <c r="H67" t="s">
        <v>1711</v>
      </c>
      <c r="I67">
        <v>1</v>
      </c>
      <c r="J67" t="s">
        <v>1697</v>
      </c>
      <c r="K67" t="s">
        <v>1697</v>
      </c>
      <c r="L67" t="s">
        <v>1697</v>
      </c>
      <c r="M67" t="s">
        <v>1697</v>
      </c>
      <c r="N67" t="s">
        <v>1697</v>
      </c>
      <c r="O67" t="s">
        <v>1697</v>
      </c>
      <c r="P67" t="s">
        <v>1697</v>
      </c>
      <c r="Q67" t="s">
        <v>1697</v>
      </c>
      <c r="R67" t="s">
        <v>1697</v>
      </c>
      <c r="S67" t="s">
        <v>1697</v>
      </c>
      <c r="T67" t="s">
        <v>1697</v>
      </c>
      <c r="U67" t="s">
        <v>1697</v>
      </c>
      <c r="V67" t="s">
        <v>1697</v>
      </c>
      <c r="W67" t="s">
        <v>1697</v>
      </c>
      <c r="X67" t="s">
        <v>1697</v>
      </c>
      <c r="Y67" t="s">
        <v>1697</v>
      </c>
      <c r="Z67" t="s">
        <v>1697</v>
      </c>
      <c r="AA67" t="s">
        <v>1697</v>
      </c>
      <c r="AB67" t="s">
        <v>1697</v>
      </c>
      <c r="AC67" t="s">
        <v>1697</v>
      </c>
      <c r="AD67" t="s">
        <v>1697</v>
      </c>
      <c r="AE67" t="s">
        <v>1697</v>
      </c>
      <c r="AF67" t="s">
        <v>1697</v>
      </c>
      <c r="AG67" t="s">
        <v>1697</v>
      </c>
      <c r="AH67" t="s">
        <v>1697</v>
      </c>
      <c r="AI67" t="s">
        <v>1697</v>
      </c>
      <c r="AJ67" t="s">
        <v>1694</v>
      </c>
      <c r="AK67" t="s">
        <v>1694</v>
      </c>
      <c r="AL67" t="s">
        <v>1702</v>
      </c>
      <c r="AM67" t="s">
        <v>1703</v>
      </c>
      <c r="AN67" t="s">
        <v>1702</v>
      </c>
      <c r="AO67" t="s">
        <v>1703</v>
      </c>
      <c r="AP67" t="s">
        <v>1702</v>
      </c>
      <c r="AQ67" t="s">
        <v>1725</v>
      </c>
      <c r="AR67" t="s">
        <v>1703</v>
      </c>
      <c r="AS67" t="s">
        <v>1702</v>
      </c>
      <c r="AT67" t="s">
        <v>1703</v>
      </c>
      <c r="AU67" t="s">
        <v>1704</v>
      </c>
      <c r="AV67" t="s">
        <v>1725</v>
      </c>
      <c r="AW67" t="s">
        <v>1703</v>
      </c>
      <c r="AX67" t="s">
        <v>1704</v>
      </c>
      <c r="AY67" t="s">
        <v>1705</v>
      </c>
      <c r="AZ67" t="s">
        <v>1703</v>
      </c>
      <c r="BA67" t="s">
        <v>1702</v>
      </c>
      <c r="BB67" t="s">
        <v>1704</v>
      </c>
      <c r="BC67" t="s">
        <v>1725</v>
      </c>
      <c r="BD67" t="s">
        <v>1703</v>
      </c>
      <c r="BE67" t="s">
        <v>1704</v>
      </c>
      <c r="BF67" t="s">
        <v>1725</v>
      </c>
      <c r="BG67" s="6" t="s">
        <v>1697</v>
      </c>
      <c r="BH67" s="6" t="s">
        <v>1697</v>
      </c>
      <c r="BI67" t="b">
        <v>1</v>
      </c>
      <c r="BJ67">
        <f t="shared" si="1"/>
        <v>1</v>
      </c>
    </row>
    <row r="68" spans="1:62" x14ac:dyDescent="0.2">
      <c r="A68" s="5" t="s">
        <v>851</v>
      </c>
      <c r="B68" s="6">
        <v>38449</v>
      </c>
      <c r="C68" s="7">
        <v>33.804910999999997</v>
      </c>
      <c r="D68" s="7">
        <v>-111.75556899999999</v>
      </c>
      <c r="E68" s="17">
        <v>729</v>
      </c>
      <c r="F68" t="s">
        <v>1694</v>
      </c>
      <c r="G68" t="s">
        <v>1694</v>
      </c>
      <c r="H68" t="s">
        <v>1694</v>
      </c>
      <c r="I68">
        <v>0</v>
      </c>
      <c r="J68" s="8">
        <v>21.088561050184907</v>
      </c>
      <c r="K68" s="8">
        <v>62.49772571084759</v>
      </c>
      <c r="L68" s="8">
        <v>16.413713238967503</v>
      </c>
      <c r="M68" s="8">
        <v>1.9589531571805152</v>
      </c>
      <c r="N68" s="8">
        <v>1.3071064694930306</v>
      </c>
      <c r="O68" s="8">
        <v>0.95687327293048241</v>
      </c>
      <c r="P68" s="8">
        <v>0.45364283352993406</v>
      </c>
      <c r="Q68" s="8">
        <v>21.669693721781307</v>
      </c>
      <c r="R68" s="8">
        <v>8.1452780263868672</v>
      </c>
      <c r="S68" s="8">
        <v>0.53900000000000003</v>
      </c>
      <c r="T68" s="8">
        <v>0.47199999999999998</v>
      </c>
      <c r="U68" s="8">
        <v>2.4E-2</v>
      </c>
      <c r="V68" s="8">
        <v>0.04</v>
      </c>
      <c r="W68" s="8">
        <v>0.51500000000000001</v>
      </c>
      <c r="X68" s="8">
        <v>0.432</v>
      </c>
      <c r="Y68" s="8">
        <v>3.4267912772585492</v>
      </c>
      <c r="Z68" s="8">
        <v>2.3255813953488174</v>
      </c>
      <c r="AA68" s="8">
        <v>7.57</v>
      </c>
      <c r="AB68">
        <v>0.47599999999999998</v>
      </c>
      <c r="AC68" s="8">
        <v>2.9595015576324188</v>
      </c>
      <c r="AD68" s="8">
        <v>4.6511627906976933</v>
      </c>
      <c r="AE68" s="8">
        <v>4.5999999999999999E-2</v>
      </c>
      <c r="AF68" s="8">
        <v>4.4999999999999998E-2</v>
      </c>
      <c r="AG68" s="8">
        <v>1.4619500326932728</v>
      </c>
      <c r="AH68" s="8">
        <v>11.717391304347826</v>
      </c>
      <c r="AI68" s="8">
        <v>10.260869565217391</v>
      </c>
      <c r="AJ68" t="s">
        <v>1694</v>
      </c>
      <c r="AK68" t="s">
        <v>1694</v>
      </c>
      <c r="AL68" t="s">
        <v>1694</v>
      </c>
      <c r="AM68" t="s">
        <v>1694</v>
      </c>
      <c r="AN68" t="s">
        <v>1694</v>
      </c>
      <c r="AO68" t="s">
        <v>1694</v>
      </c>
      <c r="AP68" t="s">
        <v>1695</v>
      </c>
      <c r="AQ68" t="s">
        <v>1694</v>
      </c>
      <c r="AR68" t="s">
        <v>1694</v>
      </c>
      <c r="AS68" t="s">
        <v>1694</v>
      </c>
      <c r="AT68" t="s">
        <v>1694</v>
      </c>
      <c r="AU68" t="s">
        <v>1695</v>
      </c>
      <c r="AV68" t="s">
        <v>1694</v>
      </c>
      <c r="AW68" t="s">
        <v>1694</v>
      </c>
      <c r="AX68" t="s">
        <v>1695</v>
      </c>
      <c r="AY68" t="s">
        <v>1694</v>
      </c>
      <c r="AZ68" t="s">
        <v>1694</v>
      </c>
      <c r="BA68" t="s">
        <v>1694</v>
      </c>
      <c r="BB68" t="s">
        <v>1695</v>
      </c>
      <c r="BC68" t="s">
        <v>1694</v>
      </c>
      <c r="BD68" t="s">
        <v>1694</v>
      </c>
      <c r="BE68" t="s">
        <v>1695</v>
      </c>
      <c r="BF68" t="s">
        <v>1694</v>
      </c>
      <c r="BG68" t="s">
        <v>1697</v>
      </c>
      <c r="BH68" t="s">
        <v>1698</v>
      </c>
      <c r="BI68" t="b">
        <v>0</v>
      </c>
      <c r="BJ68">
        <f t="shared" si="1"/>
        <v>0</v>
      </c>
    </row>
    <row r="69" spans="1:62" x14ac:dyDescent="0.2">
      <c r="A69" s="5" t="s">
        <v>851</v>
      </c>
      <c r="B69" s="6">
        <v>40324</v>
      </c>
      <c r="C69" s="7">
        <v>33.804910999999997</v>
      </c>
      <c r="D69" s="7">
        <v>-111.75556899999999</v>
      </c>
      <c r="E69" s="17">
        <v>729</v>
      </c>
      <c r="F69" t="s">
        <v>1694</v>
      </c>
      <c r="G69" t="s">
        <v>1694</v>
      </c>
      <c r="H69" t="s">
        <v>1694</v>
      </c>
      <c r="I69">
        <v>0</v>
      </c>
      <c r="J69" s="8">
        <v>12.191658231512838</v>
      </c>
      <c r="K69" s="8">
        <v>73.649563270096536</v>
      </c>
      <c r="L69" s="8">
        <v>14.158778498390632</v>
      </c>
      <c r="M69" s="8">
        <v>1.2961438919167341</v>
      </c>
      <c r="N69" s="8">
        <v>0.27689348044682788</v>
      </c>
      <c r="O69" s="8">
        <v>0.51211279645661179</v>
      </c>
      <c r="P69" s="8">
        <v>2.5000000000000001E-3</v>
      </c>
      <c r="Q69" s="8">
        <v>34.037772957615928</v>
      </c>
      <c r="R69" s="8">
        <v>14.486309523158116</v>
      </c>
      <c r="S69" s="8">
        <v>0.52500000000000002</v>
      </c>
      <c r="T69" s="8">
        <v>0.219</v>
      </c>
      <c r="U69" s="8">
        <v>2.1999999999999999E-2</v>
      </c>
      <c r="V69" s="8">
        <v>2.8000000000000001E-2</v>
      </c>
      <c r="W69" s="8">
        <v>0.503</v>
      </c>
      <c r="X69" s="8">
        <v>0.191</v>
      </c>
      <c r="Y69" s="8">
        <v>3.3783783783783661</v>
      </c>
      <c r="Z69" s="8">
        <v>2.3809523809523827</v>
      </c>
      <c r="AA69" s="8">
        <v>6.83</v>
      </c>
      <c r="AB69">
        <v>0.34699999999999998</v>
      </c>
      <c r="AC69" s="8">
        <v>1.3513513513513526</v>
      </c>
      <c r="AD69" s="8">
        <v>2.8273809523809446</v>
      </c>
      <c r="AE69" s="8">
        <v>0.05</v>
      </c>
      <c r="AF69" s="8">
        <v>2.1000000000000001E-2</v>
      </c>
      <c r="AG69" s="8">
        <v>1.7942996773377968</v>
      </c>
      <c r="AH69" s="8">
        <v>10.5</v>
      </c>
      <c r="AI69" s="8">
        <v>4.38</v>
      </c>
      <c r="AJ69" t="s">
        <v>1694</v>
      </c>
      <c r="AK69" t="s">
        <v>1694</v>
      </c>
      <c r="AL69" t="s">
        <v>1694</v>
      </c>
      <c r="AM69" t="s">
        <v>1694</v>
      </c>
      <c r="AN69" t="s">
        <v>1694</v>
      </c>
      <c r="AO69" t="s">
        <v>1694</v>
      </c>
      <c r="AP69" t="s">
        <v>1695</v>
      </c>
      <c r="AQ69" t="s">
        <v>1694</v>
      </c>
      <c r="AR69" t="s">
        <v>1694</v>
      </c>
      <c r="AS69" t="s">
        <v>1694</v>
      </c>
      <c r="AT69" t="s">
        <v>1694</v>
      </c>
      <c r="AU69" t="s">
        <v>1695</v>
      </c>
      <c r="AV69" t="s">
        <v>1694</v>
      </c>
      <c r="AW69" t="s">
        <v>1694</v>
      </c>
      <c r="AX69" t="s">
        <v>1695</v>
      </c>
      <c r="AY69" t="s">
        <v>1694</v>
      </c>
      <c r="AZ69" t="s">
        <v>1694</v>
      </c>
      <c r="BA69" t="s">
        <v>1694</v>
      </c>
      <c r="BB69" t="s">
        <v>1695</v>
      </c>
      <c r="BC69" t="s">
        <v>1694</v>
      </c>
      <c r="BD69" t="s">
        <v>1694</v>
      </c>
      <c r="BE69" t="s">
        <v>1695</v>
      </c>
      <c r="BF69" t="s">
        <v>1694</v>
      </c>
      <c r="BG69" t="s">
        <v>1697</v>
      </c>
      <c r="BH69" t="s">
        <v>1698</v>
      </c>
      <c r="BI69" t="b">
        <v>0</v>
      </c>
      <c r="BJ69">
        <f t="shared" si="1"/>
        <v>0</v>
      </c>
    </row>
    <row r="70" spans="1:62" x14ac:dyDescent="0.2">
      <c r="A70" s="5" t="s">
        <v>851</v>
      </c>
      <c r="B70" s="6">
        <v>42121</v>
      </c>
      <c r="C70" s="7">
        <v>33.804910999999997</v>
      </c>
      <c r="D70" s="7">
        <v>-111.75556899999999</v>
      </c>
      <c r="E70" s="17">
        <v>729</v>
      </c>
      <c r="F70" t="s">
        <v>1694</v>
      </c>
      <c r="G70" t="s">
        <v>1694</v>
      </c>
      <c r="H70" t="s">
        <v>1694</v>
      </c>
      <c r="I70">
        <v>0</v>
      </c>
      <c r="J70">
        <v>14.2406585549839</v>
      </c>
      <c r="K70">
        <v>75.353680430879706</v>
      </c>
      <c r="L70">
        <v>10.4056610141363</v>
      </c>
      <c r="M70">
        <v>1.2191782718717801</v>
      </c>
      <c r="N70">
        <v>3.0634219506617</v>
      </c>
      <c r="O70">
        <v>15.842618752619501</v>
      </c>
      <c r="P70">
        <v>3.6398723177216898</v>
      </c>
      <c r="Q70">
        <v>9.2885473505954792</v>
      </c>
      <c r="R70">
        <v>8.2196913221356507</v>
      </c>
      <c r="S70">
        <v>0.54100000000000004</v>
      </c>
      <c r="T70">
        <v>0.28399999999999997</v>
      </c>
      <c r="U70">
        <v>0.03</v>
      </c>
      <c r="V70">
        <v>1.9E-2</v>
      </c>
      <c r="W70">
        <v>0.51100000000000001</v>
      </c>
      <c r="X70">
        <v>0.26500000000000001</v>
      </c>
      <c r="Y70">
        <v>2.0172910662824299</v>
      </c>
      <c r="Z70">
        <v>1.4184397163120499</v>
      </c>
      <c r="AA70">
        <v>6.94</v>
      </c>
      <c r="AB70">
        <v>0.26100000000000001</v>
      </c>
      <c r="AC70">
        <v>5.7692307692307603</v>
      </c>
      <c r="AD70">
        <v>3.5490605427974899</v>
      </c>
      <c r="AE70">
        <v>8.5999999999999993E-2</v>
      </c>
      <c r="AF70">
        <v>4.8000000000000001E-2</v>
      </c>
      <c r="AG70">
        <v>1.3571504363525184</v>
      </c>
      <c r="AH70">
        <v>6.2906976744186096</v>
      </c>
      <c r="AI70">
        <v>5.9166666666666696</v>
      </c>
      <c r="AJ70" t="s">
        <v>1694</v>
      </c>
      <c r="AK70" t="s">
        <v>1694</v>
      </c>
      <c r="AL70" t="s">
        <v>1694</v>
      </c>
      <c r="AM70" t="s">
        <v>1694</v>
      </c>
      <c r="AN70" t="s">
        <v>1694</v>
      </c>
      <c r="AO70" t="s">
        <v>1694</v>
      </c>
      <c r="AP70" t="s">
        <v>1697</v>
      </c>
      <c r="AQ70" t="s">
        <v>1697</v>
      </c>
      <c r="AR70" t="s">
        <v>1694</v>
      </c>
      <c r="AS70" t="s">
        <v>1694</v>
      </c>
      <c r="AT70" t="s">
        <v>1694</v>
      </c>
      <c r="AU70" t="s">
        <v>1695</v>
      </c>
      <c r="AV70" t="s">
        <v>1694</v>
      </c>
      <c r="AW70" t="s">
        <v>1694</v>
      </c>
      <c r="AX70" t="s">
        <v>1695</v>
      </c>
      <c r="AY70" t="s">
        <v>1694</v>
      </c>
      <c r="AZ70" t="s">
        <v>1694</v>
      </c>
      <c r="BA70" t="s">
        <v>1694</v>
      </c>
      <c r="BB70" t="s">
        <v>1695</v>
      </c>
      <c r="BC70" t="s">
        <v>1694</v>
      </c>
      <c r="BD70" t="s">
        <v>1694</v>
      </c>
      <c r="BE70" t="s">
        <v>1695</v>
      </c>
      <c r="BF70" t="s">
        <v>1694</v>
      </c>
      <c r="BG70" t="s">
        <v>1697</v>
      </c>
      <c r="BH70" t="s">
        <v>1698</v>
      </c>
      <c r="BI70" t="b">
        <v>1</v>
      </c>
      <c r="BJ70">
        <f t="shared" si="1"/>
        <v>1</v>
      </c>
    </row>
    <row r="71" spans="1:62" x14ac:dyDescent="0.2">
      <c r="A71" s="5" t="s">
        <v>851</v>
      </c>
      <c r="B71" s="6">
        <v>45036</v>
      </c>
      <c r="C71" s="7">
        <v>33.804910999999997</v>
      </c>
      <c r="D71" s="7">
        <v>-111.75556899999999</v>
      </c>
      <c r="E71" s="17">
        <v>729</v>
      </c>
      <c r="F71" t="s">
        <v>1694</v>
      </c>
      <c r="G71" t="s">
        <v>1694</v>
      </c>
      <c r="H71" t="s">
        <v>1694</v>
      </c>
      <c r="I71">
        <v>0</v>
      </c>
      <c r="J71" s="6" t="s">
        <v>1697</v>
      </c>
      <c r="K71" s="6" t="s">
        <v>1697</v>
      </c>
      <c r="L71" s="6" t="s">
        <v>1697</v>
      </c>
      <c r="M71" s="6" t="s">
        <v>1697</v>
      </c>
      <c r="N71" s="6" t="s">
        <v>1697</v>
      </c>
      <c r="O71" s="6" t="s">
        <v>1697</v>
      </c>
      <c r="P71" s="6" t="s">
        <v>1697</v>
      </c>
      <c r="Q71" s="6" t="s">
        <v>1697</v>
      </c>
      <c r="R71" s="6" t="s">
        <v>1697</v>
      </c>
      <c r="S71" s="6" t="s">
        <v>1697</v>
      </c>
      <c r="T71" s="6" t="s">
        <v>1697</v>
      </c>
      <c r="U71" s="6" t="s">
        <v>1697</v>
      </c>
      <c r="V71" s="6" t="s">
        <v>1697</v>
      </c>
      <c r="W71" s="6" t="s">
        <v>1697</v>
      </c>
      <c r="X71" s="6" t="s">
        <v>1697</v>
      </c>
      <c r="Y71" s="6" t="s">
        <v>1697</v>
      </c>
      <c r="Z71" s="6" t="s">
        <v>1697</v>
      </c>
      <c r="AA71" s="6" t="s">
        <v>1697</v>
      </c>
      <c r="AB71" s="6" t="s">
        <v>1697</v>
      </c>
      <c r="AC71" s="6" t="s">
        <v>1697</v>
      </c>
      <c r="AD71" s="6" t="s">
        <v>1697</v>
      </c>
      <c r="AE71" s="6" t="s">
        <v>1697</v>
      </c>
      <c r="AF71" s="6" t="s">
        <v>1697</v>
      </c>
      <c r="AG71" s="6" t="s">
        <v>1697</v>
      </c>
      <c r="AH71" s="6" t="s">
        <v>1697</v>
      </c>
      <c r="AI71" s="6" t="s">
        <v>1697</v>
      </c>
      <c r="AJ71" t="s">
        <v>1694</v>
      </c>
      <c r="AK71" t="s">
        <v>1694</v>
      </c>
      <c r="AL71" t="s">
        <v>1694</v>
      </c>
      <c r="AM71" t="s">
        <v>1694</v>
      </c>
      <c r="AN71" t="s">
        <v>1694</v>
      </c>
      <c r="AO71" t="s">
        <v>1694</v>
      </c>
      <c r="AP71" t="s">
        <v>1697</v>
      </c>
      <c r="AQ71" t="s">
        <v>1697</v>
      </c>
      <c r="AR71" t="s">
        <v>1694</v>
      </c>
      <c r="AS71" t="s">
        <v>1694</v>
      </c>
      <c r="AT71" t="s">
        <v>1694</v>
      </c>
      <c r="AU71" t="s">
        <v>1695</v>
      </c>
      <c r="AV71" t="s">
        <v>1694</v>
      </c>
      <c r="AW71" t="s">
        <v>1694</v>
      </c>
      <c r="AX71" t="s">
        <v>1695</v>
      </c>
      <c r="AY71" t="s">
        <v>1694</v>
      </c>
      <c r="AZ71" t="s">
        <v>1694</v>
      </c>
      <c r="BA71" t="s">
        <v>1694</v>
      </c>
      <c r="BB71" t="s">
        <v>1695</v>
      </c>
      <c r="BC71" t="s">
        <v>1694</v>
      </c>
      <c r="BD71" t="s">
        <v>1694</v>
      </c>
      <c r="BE71" t="s">
        <v>1695</v>
      </c>
      <c r="BF71" t="s">
        <v>1694</v>
      </c>
      <c r="BG71" s="6" t="s">
        <v>1697</v>
      </c>
      <c r="BH71" s="6" t="s">
        <v>1697</v>
      </c>
      <c r="BI71" t="b">
        <v>1</v>
      </c>
      <c r="BJ71">
        <f t="shared" si="1"/>
        <v>1</v>
      </c>
    </row>
    <row r="72" spans="1:62" x14ac:dyDescent="0.2">
      <c r="A72" s="5" t="s">
        <v>852</v>
      </c>
      <c r="B72" s="6">
        <v>38441</v>
      </c>
      <c r="C72" s="7">
        <v>33.744582999999999</v>
      </c>
      <c r="D72" s="7">
        <v>-111.725683</v>
      </c>
      <c r="E72" s="17">
        <v>616</v>
      </c>
      <c r="F72" t="s">
        <v>1694</v>
      </c>
      <c r="G72" t="s">
        <v>1694</v>
      </c>
      <c r="H72" t="s">
        <v>1694</v>
      </c>
      <c r="I72">
        <v>0</v>
      </c>
      <c r="J72" s="8">
        <v>7.7079557944454447</v>
      </c>
      <c r="K72" s="8">
        <v>76.878500994673971</v>
      </c>
      <c r="L72" s="8">
        <v>15.41354321088059</v>
      </c>
      <c r="M72" s="8">
        <v>3.17636598244993</v>
      </c>
      <c r="N72" s="8">
        <v>1.02379918354059</v>
      </c>
      <c r="O72" s="8">
        <v>1.2318102224622898</v>
      </c>
      <c r="P72" s="8">
        <v>7.875378334927613E-2</v>
      </c>
      <c r="Q72" s="8">
        <v>46.369365335214418</v>
      </c>
      <c r="R72" s="8">
        <v>21.982431040878659</v>
      </c>
      <c r="S72" s="8">
        <v>0.54100000000000004</v>
      </c>
      <c r="T72" s="8">
        <v>0.22800000000000001</v>
      </c>
      <c r="U72" s="8">
        <v>8.7999999999999995E-2</v>
      </c>
      <c r="V72" s="8">
        <v>0.03</v>
      </c>
      <c r="W72" s="8">
        <v>0.45300000000000007</v>
      </c>
      <c r="X72" s="8">
        <v>0.19800000000000001</v>
      </c>
      <c r="Y72" s="8">
        <v>2.3709902370990226</v>
      </c>
      <c r="Z72" s="8">
        <v>1.708074534161482</v>
      </c>
      <c r="AA72" s="8">
        <v>7.45</v>
      </c>
      <c r="AB72">
        <v>0.14599999999999999</v>
      </c>
      <c r="AC72" s="8">
        <v>2.6499302649930194</v>
      </c>
      <c r="AD72" s="8">
        <v>4.3478260869565393</v>
      </c>
      <c r="AE72" s="8">
        <v>5.8000000000000003E-2</v>
      </c>
      <c r="AF72" s="8">
        <v>3.4000000000000002E-2</v>
      </c>
      <c r="AG72" s="8">
        <v>1.5116996532103082</v>
      </c>
      <c r="AH72" s="8">
        <v>9.3275862068965516</v>
      </c>
      <c r="AI72" s="8">
        <v>3.9310344827586206</v>
      </c>
      <c r="AJ72" t="s">
        <v>1694</v>
      </c>
      <c r="AK72" t="s">
        <v>1694</v>
      </c>
      <c r="AL72" t="s">
        <v>1694</v>
      </c>
      <c r="AM72" t="s">
        <v>1694</v>
      </c>
      <c r="AN72" t="s">
        <v>1694</v>
      </c>
      <c r="AO72" t="s">
        <v>1694</v>
      </c>
      <c r="AP72" t="s">
        <v>1695</v>
      </c>
      <c r="AQ72" t="s">
        <v>1694</v>
      </c>
      <c r="AR72" t="s">
        <v>1694</v>
      </c>
      <c r="AS72" t="s">
        <v>1694</v>
      </c>
      <c r="AT72" t="s">
        <v>1694</v>
      </c>
      <c r="AU72" t="s">
        <v>1695</v>
      </c>
      <c r="AV72" t="s">
        <v>1694</v>
      </c>
      <c r="AW72" t="s">
        <v>1694</v>
      </c>
      <c r="AX72" t="s">
        <v>1695</v>
      </c>
      <c r="AY72" t="s">
        <v>1694</v>
      </c>
      <c r="AZ72" t="s">
        <v>1694</v>
      </c>
      <c r="BA72" t="s">
        <v>1694</v>
      </c>
      <c r="BB72" t="s">
        <v>1695</v>
      </c>
      <c r="BC72" t="s">
        <v>1694</v>
      </c>
      <c r="BD72" t="s">
        <v>1694</v>
      </c>
      <c r="BE72" t="s">
        <v>1695</v>
      </c>
      <c r="BF72" t="s">
        <v>1694</v>
      </c>
      <c r="BG72" t="s">
        <v>1697</v>
      </c>
      <c r="BH72" t="s">
        <v>1698</v>
      </c>
      <c r="BI72" t="b">
        <v>0</v>
      </c>
      <c r="BJ72">
        <f t="shared" si="1"/>
        <v>0</v>
      </c>
    </row>
    <row r="73" spans="1:62" x14ac:dyDescent="0.2">
      <c r="A73" s="5" t="s">
        <v>852</v>
      </c>
      <c r="B73" s="6">
        <v>40289</v>
      </c>
      <c r="C73" s="7">
        <v>33.744582999999999</v>
      </c>
      <c r="D73" s="7">
        <v>-111.725683</v>
      </c>
      <c r="E73" s="17">
        <v>616</v>
      </c>
      <c r="F73" t="s">
        <v>1694</v>
      </c>
      <c r="G73" t="s">
        <v>1694</v>
      </c>
      <c r="H73" t="s">
        <v>1694</v>
      </c>
      <c r="I73">
        <v>0</v>
      </c>
      <c r="J73" s="8">
        <v>4.6084371509363811</v>
      </c>
      <c r="K73" s="8">
        <v>79.522959242496896</v>
      </c>
      <c r="L73" s="8">
        <v>15.868603606566722</v>
      </c>
      <c r="M73" s="8">
        <v>1.6869546182261792</v>
      </c>
      <c r="N73" s="8">
        <v>0.36548509764783799</v>
      </c>
      <c r="O73" s="8">
        <v>0.71246002150466037</v>
      </c>
      <c r="P73" s="8">
        <v>0.39722910847640613</v>
      </c>
      <c r="Q73" s="8">
        <v>33.466872062784709</v>
      </c>
      <c r="R73" s="8">
        <v>19.125961511993783</v>
      </c>
      <c r="S73" s="8">
        <v>0.73399999999999999</v>
      </c>
      <c r="T73" s="8">
        <v>0.161</v>
      </c>
      <c r="U73" s="8">
        <v>8.0000000000000002E-3</v>
      </c>
      <c r="V73" s="8">
        <v>1.2E-2</v>
      </c>
      <c r="W73" s="8">
        <v>0.72599999999999998</v>
      </c>
      <c r="X73" s="8">
        <v>0.14899999999999999</v>
      </c>
      <c r="Y73" s="8">
        <v>2.1256038647343054</v>
      </c>
      <c r="Z73" s="8">
        <v>1.3315579227696357</v>
      </c>
      <c r="AA73" s="8">
        <v>7.39</v>
      </c>
      <c r="AB73">
        <v>0.106</v>
      </c>
      <c r="AC73" s="8">
        <v>0.86956521739130277</v>
      </c>
      <c r="AD73" s="8">
        <v>1.4647137150466207</v>
      </c>
      <c r="AE73" s="8">
        <v>7.0999999999999994E-2</v>
      </c>
      <c r="AF73" s="8">
        <v>2.1000000000000001E-2</v>
      </c>
      <c r="AG73" s="8">
        <v>1.694917946421582</v>
      </c>
      <c r="AH73" s="8">
        <v>10.338028169014086</v>
      </c>
      <c r="AI73" s="8">
        <v>2.267605633802817</v>
      </c>
      <c r="AJ73" t="s">
        <v>1694</v>
      </c>
      <c r="AK73" t="s">
        <v>1694</v>
      </c>
      <c r="AL73" t="s">
        <v>1694</v>
      </c>
      <c r="AM73" t="s">
        <v>1694</v>
      </c>
      <c r="AN73" t="s">
        <v>1694</v>
      </c>
      <c r="AO73" t="s">
        <v>1694</v>
      </c>
      <c r="AP73" t="s">
        <v>1695</v>
      </c>
      <c r="AQ73" t="s">
        <v>1694</v>
      </c>
      <c r="AR73" t="s">
        <v>1694</v>
      </c>
      <c r="AS73" t="s">
        <v>1694</v>
      </c>
      <c r="AT73" t="s">
        <v>1694</v>
      </c>
      <c r="AU73" t="s">
        <v>1695</v>
      </c>
      <c r="AV73" t="s">
        <v>1694</v>
      </c>
      <c r="AW73" t="s">
        <v>1694</v>
      </c>
      <c r="AX73" t="s">
        <v>1695</v>
      </c>
      <c r="AY73" t="s">
        <v>1694</v>
      </c>
      <c r="AZ73" t="s">
        <v>1694</v>
      </c>
      <c r="BA73" t="s">
        <v>1694</v>
      </c>
      <c r="BB73" t="s">
        <v>1695</v>
      </c>
      <c r="BC73" t="s">
        <v>1694</v>
      </c>
      <c r="BD73" t="s">
        <v>1694</v>
      </c>
      <c r="BE73" t="s">
        <v>1695</v>
      </c>
      <c r="BF73" t="s">
        <v>1694</v>
      </c>
      <c r="BG73" t="s">
        <v>1697</v>
      </c>
      <c r="BH73" t="s">
        <v>1698</v>
      </c>
      <c r="BI73" t="b">
        <v>0</v>
      </c>
      <c r="BJ73">
        <f t="shared" si="1"/>
        <v>0</v>
      </c>
    </row>
    <row r="74" spans="1:62" x14ac:dyDescent="0.2">
      <c r="A74" s="5" t="s">
        <v>852</v>
      </c>
      <c r="B74" s="6">
        <v>45033</v>
      </c>
      <c r="C74" s="7">
        <v>33.744582999999999</v>
      </c>
      <c r="D74" s="7">
        <v>-111.725683</v>
      </c>
      <c r="E74" s="17">
        <v>616</v>
      </c>
      <c r="F74" t="s">
        <v>1711</v>
      </c>
      <c r="G74" t="s">
        <v>1711</v>
      </c>
      <c r="H74" t="s">
        <v>1711</v>
      </c>
      <c r="I74">
        <v>1</v>
      </c>
      <c r="J74" s="6" t="s">
        <v>1697</v>
      </c>
      <c r="K74" s="6" t="s">
        <v>1697</v>
      </c>
      <c r="L74" s="6" t="s">
        <v>1697</v>
      </c>
      <c r="M74" s="6" t="s">
        <v>1697</v>
      </c>
      <c r="N74" s="6" t="s">
        <v>1697</v>
      </c>
      <c r="O74" s="6" t="s">
        <v>1697</v>
      </c>
      <c r="P74" s="6" t="s">
        <v>1697</v>
      </c>
      <c r="Q74" s="6" t="s">
        <v>1697</v>
      </c>
      <c r="R74" s="6" t="s">
        <v>1697</v>
      </c>
      <c r="S74" s="6" t="s">
        <v>1697</v>
      </c>
      <c r="T74" s="6" t="s">
        <v>1697</v>
      </c>
      <c r="U74" s="6" t="s">
        <v>1697</v>
      </c>
      <c r="V74" s="6" t="s">
        <v>1697</v>
      </c>
      <c r="W74" s="6" t="s">
        <v>1697</v>
      </c>
      <c r="X74" s="6" t="s">
        <v>1697</v>
      </c>
      <c r="Y74" s="6" t="s">
        <v>1697</v>
      </c>
      <c r="Z74" s="6" t="s">
        <v>1697</v>
      </c>
      <c r="AA74" s="6" t="s">
        <v>1697</v>
      </c>
      <c r="AB74" s="6" t="s">
        <v>1697</v>
      </c>
      <c r="AC74" s="6" t="s">
        <v>1697</v>
      </c>
      <c r="AD74" s="6" t="s">
        <v>1697</v>
      </c>
      <c r="AE74" s="6" t="s">
        <v>1697</v>
      </c>
      <c r="AF74" s="6" t="s">
        <v>1697</v>
      </c>
      <c r="AG74" s="6" t="s">
        <v>1697</v>
      </c>
      <c r="AH74" s="6" t="s">
        <v>1697</v>
      </c>
      <c r="AI74" s="6" t="s">
        <v>1697</v>
      </c>
      <c r="AJ74" t="s">
        <v>1694</v>
      </c>
      <c r="AK74" t="s">
        <v>1694</v>
      </c>
      <c r="AL74" t="s">
        <v>1694</v>
      </c>
      <c r="AM74" t="s">
        <v>1694</v>
      </c>
      <c r="AN74" t="s">
        <v>1694</v>
      </c>
      <c r="AO74" t="s">
        <v>1694</v>
      </c>
      <c r="AP74" t="s">
        <v>1695</v>
      </c>
      <c r="AQ74" t="s">
        <v>1694</v>
      </c>
      <c r="AR74" t="s">
        <v>1694</v>
      </c>
      <c r="AS74" t="s">
        <v>1694</v>
      </c>
      <c r="AT74" t="s">
        <v>1694</v>
      </c>
      <c r="AU74" t="s">
        <v>1695</v>
      </c>
      <c r="AV74" t="s">
        <v>1694</v>
      </c>
      <c r="AW74" t="s">
        <v>1694</v>
      </c>
      <c r="AX74" t="s">
        <v>1695</v>
      </c>
      <c r="AY74" t="s">
        <v>1694</v>
      </c>
      <c r="AZ74" t="s">
        <v>1694</v>
      </c>
      <c r="BA74" t="s">
        <v>1694</v>
      </c>
      <c r="BB74" t="s">
        <v>1695</v>
      </c>
      <c r="BC74" t="s">
        <v>1694</v>
      </c>
      <c r="BD74" t="s">
        <v>1694</v>
      </c>
      <c r="BE74" t="s">
        <v>1695</v>
      </c>
      <c r="BF74" t="s">
        <v>1694</v>
      </c>
      <c r="BG74" s="6" t="s">
        <v>1697</v>
      </c>
      <c r="BH74" s="6" t="s">
        <v>1697</v>
      </c>
      <c r="BI74" t="b">
        <v>1</v>
      </c>
      <c r="BJ74">
        <f t="shared" si="1"/>
        <v>1</v>
      </c>
    </row>
    <row r="75" spans="1:62" x14ac:dyDescent="0.2">
      <c r="A75" s="5" t="s">
        <v>17</v>
      </c>
      <c r="B75" s="6">
        <v>36633</v>
      </c>
      <c r="C75" s="7">
        <v>33.652433000000002</v>
      </c>
      <c r="D75" s="7">
        <v>-111.74951900000001</v>
      </c>
      <c r="E75" s="17">
        <v>601</v>
      </c>
      <c r="F75" t="s">
        <v>1694</v>
      </c>
      <c r="G75" t="s">
        <v>1694</v>
      </c>
      <c r="H75" t="s">
        <v>1694</v>
      </c>
      <c r="I75">
        <v>0</v>
      </c>
      <c r="J75" s="8">
        <v>13.336703669777727</v>
      </c>
      <c r="K75" s="8">
        <v>57.788043508595301</v>
      </c>
      <c r="L75" s="8">
        <v>28.875252821626972</v>
      </c>
      <c r="M75" s="8">
        <v>3.5212520822811384</v>
      </c>
      <c r="N75" s="8">
        <v>4.0478520861529566</v>
      </c>
      <c r="O75" s="8">
        <v>1.2956897081445107</v>
      </c>
      <c r="P75" s="8">
        <v>0.20794226161658727</v>
      </c>
      <c r="Q75" s="8">
        <v>29.688277217783078</v>
      </c>
      <c r="R75" s="8">
        <v>9.7151957421862267</v>
      </c>
      <c r="S75" s="8">
        <v>0.82799999999999996</v>
      </c>
      <c r="T75" s="8">
        <v>0.44400000000000001</v>
      </c>
      <c r="U75" s="8">
        <v>5.3999999999999999E-2</v>
      </c>
      <c r="V75" s="8">
        <v>0.02</v>
      </c>
      <c r="W75" s="8">
        <v>0.77400000000000002</v>
      </c>
      <c r="X75" s="8">
        <v>0.42399999999999999</v>
      </c>
      <c r="Y75" s="8">
        <v>2.52874</v>
      </c>
      <c r="Z75" s="8">
        <v>1.8960699999999999</v>
      </c>
      <c r="AA75" s="9">
        <v>6.61</v>
      </c>
      <c r="AB75" s="10">
        <v>0.1575</v>
      </c>
      <c r="AC75" s="8">
        <v>1.28271</v>
      </c>
      <c r="AD75" s="8">
        <v>2.2567699999999999</v>
      </c>
      <c r="AE75" s="8">
        <v>8.4000000000000005E-2</v>
      </c>
      <c r="AF75" s="8">
        <v>3.3000000000000002E-2</v>
      </c>
      <c r="AG75" s="8">
        <v>1.4530390258257808</v>
      </c>
      <c r="AH75" s="8">
        <v>9.8571428571428559</v>
      </c>
      <c r="AI75" s="8">
        <v>5.2857142857142856</v>
      </c>
      <c r="AJ75" t="s">
        <v>1694</v>
      </c>
      <c r="AK75" t="s">
        <v>1694</v>
      </c>
      <c r="AL75" t="s">
        <v>1694</v>
      </c>
      <c r="AM75" t="s">
        <v>1694</v>
      </c>
      <c r="AN75" t="s">
        <v>1694</v>
      </c>
      <c r="AO75" t="s">
        <v>1694</v>
      </c>
      <c r="AP75" t="s">
        <v>1695</v>
      </c>
      <c r="AQ75" t="s">
        <v>1694</v>
      </c>
      <c r="AR75" t="s">
        <v>1694</v>
      </c>
      <c r="AS75" t="s">
        <v>1726</v>
      </c>
      <c r="AT75" t="s">
        <v>1694</v>
      </c>
      <c r="AU75" t="s">
        <v>1695</v>
      </c>
      <c r="AV75" t="s">
        <v>1694</v>
      </c>
      <c r="AW75" t="s">
        <v>1694</v>
      </c>
      <c r="AX75" t="s">
        <v>1695</v>
      </c>
      <c r="AY75" t="s">
        <v>1694</v>
      </c>
      <c r="AZ75" t="s">
        <v>1694</v>
      </c>
      <c r="BA75" t="s">
        <v>1726</v>
      </c>
      <c r="BB75" t="s">
        <v>1695</v>
      </c>
      <c r="BC75" t="s">
        <v>1694</v>
      </c>
      <c r="BD75" t="s">
        <v>1694</v>
      </c>
      <c r="BE75" t="s">
        <v>1695</v>
      </c>
      <c r="BF75" t="s">
        <v>1694</v>
      </c>
      <c r="BG75" t="s">
        <v>1697</v>
      </c>
      <c r="BH75" t="s">
        <v>1698</v>
      </c>
      <c r="BI75" t="b">
        <v>0</v>
      </c>
      <c r="BJ75">
        <f t="shared" si="1"/>
        <v>0</v>
      </c>
    </row>
    <row r="76" spans="1:62" x14ac:dyDescent="0.2">
      <c r="A76" s="5" t="s">
        <v>17</v>
      </c>
      <c r="B76" s="6">
        <v>38433</v>
      </c>
      <c r="C76" s="7">
        <v>33.652433000000002</v>
      </c>
      <c r="D76" s="7">
        <v>-111.74951900000001</v>
      </c>
      <c r="E76" s="17">
        <v>601</v>
      </c>
      <c r="F76" t="s">
        <v>1694</v>
      </c>
      <c r="G76" t="s">
        <v>1694</v>
      </c>
      <c r="H76" t="s">
        <v>1694</v>
      </c>
      <c r="I76">
        <v>0</v>
      </c>
      <c r="J76" s="8">
        <v>10.518846827158223</v>
      </c>
      <c r="K76" s="8">
        <v>66.018783820864599</v>
      </c>
      <c r="L76" s="8">
        <v>23.462369351977173</v>
      </c>
      <c r="M76" s="8">
        <v>2.8771418603716588</v>
      </c>
      <c r="N76" s="8">
        <v>3.055353887674106</v>
      </c>
      <c r="O76" s="8">
        <v>0.83698672301720978</v>
      </c>
      <c r="P76" s="8">
        <v>0.66538817998236088</v>
      </c>
      <c r="Q76" s="8">
        <v>21.21611880933802</v>
      </c>
      <c r="R76" s="8">
        <v>4.3687076845896158</v>
      </c>
      <c r="S76" s="8">
        <v>1.663</v>
      </c>
      <c r="T76" s="8">
        <v>0.27400000000000002</v>
      </c>
      <c r="U76" s="8">
        <v>0.23400000000000001</v>
      </c>
      <c r="V76" s="8">
        <v>0.03</v>
      </c>
      <c r="W76" s="8">
        <v>1.429</v>
      </c>
      <c r="X76" s="8">
        <v>0.24400000000000002</v>
      </c>
      <c r="Y76" s="8">
        <v>3.5256410256410362</v>
      </c>
      <c r="Z76" s="8">
        <v>2.2964509394571908</v>
      </c>
      <c r="AA76" s="8">
        <v>7.72</v>
      </c>
      <c r="AB76">
        <v>0.158</v>
      </c>
      <c r="AC76" s="8">
        <v>4.6474358974358836</v>
      </c>
      <c r="AD76" s="8">
        <v>8.7682672233820433</v>
      </c>
      <c r="AE76" s="8">
        <v>0.14399999999999999</v>
      </c>
      <c r="AF76" s="8">
        <v>2.1000000000000001E-2</v>
      </c>
      <c r="AG76" s="8">
        <v>1.2482948167907928</v>
      </c>
      <c r="AH76" s="8">
        <v>11.548611111111112</v>
      </c>
      <c r="AI76" s="8">
        <v>1.9027777777777781</v>
      </c>
      <c r="AJ76" t="s">
        <v>1694</v>
      </c>
      <c r="AK76" t="s">
        <v>1694</v>
      </c>
      <c r="AL76" t="s">
        <v>1694</v>
      </c>
      <c r="AM76" t="s">
        <v>1694</v>
      </c>
      <c r="AN76" t="s">
        <v>1694</v>
      </c>
      <c r="AO76" t="s">
        <v>1694</v>
      </c>
      <c r="AP76" t="s">
        <v>1695</v>
      </c>
      <c r="AQ76" t="s">
        <v>1694</v>
      </c>
      <c r="AR76" t="s">
        <v>1694</v>
      </c>
      <c r="AS76" t="s">
        <v>1726</v>
      </c>
      <c r="AT76" t="s">
        <v>1694</v>
      </c>
      <c r="AU76" t="s">
        <v>1695</v>
      </c>
      <c r="AV76" t="s">
        <v>1694</v>
      </c>
      <c r="AW76" t="s">
        <v>1694</v>
      </c>
      <c r="AX76" t="s">
        <v>1695</v>
      </c>
      <c r="AY76" t="s">
        <v>1694</v>
      </c>
      <c r="AZ76" t="s">
        <v>1694</v>
      </c>
      <c r="BA76" t="s">
        <v>1726</v>
      </c>
      <c r="BB76" t="s">
        <v>1695</v>
      </c>
      <c r="BC76" t="s">
        <v>1694</v>
      </c>
      <c r="BD76" t="s">
        <v>1694</v>
      </c>
      <c r="BE76" t="s">
        <v>1695</v>
      </c>
      <c r="BF76" t="s">
        <v>1694</v>
      </c>
      <c r="BG76" t="s">
        <v>1697</v>
      </c>
      <c r="BH76" t="s">
        <v>1698</v>
      </c>
      <c r="BI76" t="b">
        <v>0</v>
      </c>
      <c r="BJ76">
        <f t="shared" si="1"/>
        <v>0</v>
      </c>
    </row>
    <row r="77" spans="1:62" x14ac:dyDescent="0.2">
      <c r="A77" s="5" t="s">
        <v>17</v>
      </c>
      <c r="B77" s="6">
        <v>40275</v>
      </c>
      <c r="C77" s="7">
        <v>33.652433000000002</v>
      </c>
      <c r="D77" s="7">
        <v>-111.74951900000001</v>
      </c>
      <c r="E77" s="17">
        <v>601</v>
      </c>
      <c r="F77" t="s">
        <v>1694</v>
      </c>
      <c r="G77" t="s">
        <v>1694</v>
      </c>
      <c r="H77" t="s">
        <v>1694</v>
      </c>
      <c r="I77">
        <v>0</v>
      </c>
      <c r="J77" s="8">
        <v>21.190203691748028</v>
      </c>
      <c r="K77" s="8">
        <v>54.220983181556846</v>
      </c>
      <c r="L77" s="8">
        <v>24.588813126695129</v>
      </c>
      <c r="M77" s="8">
        <v>0.7934108202892316</v>
      </c>
      <c r="N77" s="8">
        <v>2.6401014173643735E-2</v>
      </c>
      <c r="O77" s="8">
        <v>0.194176858649733</v>
      </c>
      <c r="P77" s="8">
        <v>2.5000000000000001E-3</v>
      </c>
      <c r="Q77" s="8">
        <v>21.897531723915051</v>
      </c>
      <c r="R77" s="8">
        <v>8.5716207552973671</v>
      </c>
      <c r="S77" s="8">
        <v>0.42</v>
      </c>
      <c r="T77" s="8">
        <v>0.17799999999999999</v>
      </c>
      <c r="U77" s="8">
        <v>3.5000000000000003E-2</v>
      </c>
      <c r="V77" s="8">
        <v>2.7E-2</v>
      </c>
      <c r="W77" s="8">
        <v>0.38500000000000001</v>
      </c>
      <c r="X77" s="8">
        <v>0.151</v>
      </c>
      <c r="Y77" s="8">
        <v>2.5485436893203985</v>
      </c>
      <c r="Z77" s="8">
        <v>3.1766200762388812</v>
      </c>
      <c r="AA77" s="8">
        <v>6.59</v>
      </c>
      <c r="AB77">
        <v>0.186</v>
      </c>
      <c r="AC77" s="8">
        <v>1.699029126213599</v>
      </c>
      <c r="AD77" s="8">
        <v>5.7179161372299774</v>
      </c>
      <c r="AE77" s="8">
        <v>3.5999999999999997E-2</v>
      </c>
      <c r="AF77" s="8">
        <v>1.9E-2</v>
      </c>
      <c r="AG77" s="8">
        <v>1.3728884414268843</v>
      </c>
      <c r="AH77" s="8">
        <v>11.666666666666668</v>
      </c>
      <c r="AI77" s="8">
        <v>4.9444444444444446</v>
      </c>
      <c r="AJ77" t="s">
        <v>1694</v>
      </c>
      <c r="AK77" t="s">
        <v>1694</v>
      </c>
      <c r="AL77" t="s">
        <v>1694</v>
      </c>
      <c r="AM77" t="s">
        <v>1694</v>
      </c>
      <c r="AN77" t="s">
        <v>1694</v>
      </c>
      <c r="AO77" t="s">
        <v>1694</v>
      </c>
      <c r="AP77" t="s">
        <v>1695</v>
      </c>
      <c r="AQ77" t="s">
        <v>1694</v>
      </c>
      <c r="AR77" t="s">
        <v>1694</v>
      </c>
      <c r="AS77" t="s">
        <v>1726</v>
      </c>
      <c r="AT77" t="s">
        <v>1694</v>
      </c>
      <c r="AU77" t="s">
        <v>1695</v>
      </c>
      <c r="AV77" t="s">
        <v>1694</v>
      </c>
      <c r="AW77" t="s">
        <v>1694</v>
      </c>
      <c r="AX77" t="s">
        <v>1695</v>
      </c>
      <c r="AY77" t="s">
        <v>1694</v>
      </c>
      <c r="AZ77" t="s">
        <v>1694</v>
      </c>
      <c r="BA77" t="s">
        <v>1726</v>
      </c>
      <c r="BB77" t="s">
        <v>1695</v>
      </c>
      <c r="BC77" t="s">
        <v>1694</v>
      </c>
      <c r="BD77" t="s">
        <v>1694</v>
      </c>
      <c r="BE77" t="s">
        <v>1695</v>
      </c>
      <c r="BF77" t="s">
        <v>1694</v>
      </c>
      <c r="BG77" t="s">
        <v>1697</v>
      </c>
      <c r="BH77" t="s">
        <v>1698</v>
      </c>
      <c r="BI77" t="b">
        <v>0</v>
      </c>
      <c r="BJ77">
        <f t="shared" si="1"/>
        <v>0</v>
      </c>
    </row>
    <row r="78" spans="1:62" x14ac:dyDescent="0.2">
      <c r="A78" s="5" t="s">
        <v>17</v>
      </c>
      <c r="B78" s="6">
        <v>42109</v>
      </c>
      <c r="C78" s="7">
        <v>33.652433000000002</v>
      </c>
      <c r="D78" s="7">
        <v>-111.74951900000001</v>
      </c>
      <c r="E78" s="17">
        <v>601</v>
      </c>
      <c r="F78" t="s">
        <v>1694</v>
      </c>
      <c r="G78" t="s">
        <v>1694</v>
      </c>
      <c r="H78" t="s">
        <v>1694</v>
      </c>
      <c r="I78">
        <v>0</v>
      </c>
      <c r="J78">
        <v>7.6708783333351498</v>
      </c>
      <c r="K78">
        <v>73.154231338711</v>
      </c>
      <c r="L78">
        <v>19.1748903279539</v>
      </c>
      <c r="M78">
        <v>3.9874843060065901</v>
      </c>
      <c r="N78">
        <v>2.96031504965151</v>
      </c>
      <c r="O78">
        <v>2.0414393336971499</v>
      </c>
      <c r="P78">
        <v>0.88620896390841297</v>
      </c>
      <c r="Q78">
        <v>12.0445423920871</v>
      </c>
      <c r="R78">
        <v>7.1396399864904598</v>
      </c>
      <c r="S78">
        <v>0.72099999999999997</v>
      </c>
      <c r="T78">
        <v>0.35899999999999999</v>
      </c>
      <c r="U78">
        <v>1.2999999999999999E-2</v>
      </c>
      <c r="V78">
        <v>1.2999999999999999E-2</v>
      </c>
      <c r="W78">
        <v>0.70799999999999996</v>
      </c>
      <c r="X78">
        <v>0.34599999999999997</v>
      </c>
      <c r="Y78">
        <v>1.60583941605839</v>
      </c>
      <c r="Z78">
        <v>1.33531157270029</v>
      </c>
      <c r="AA78">
        <v>6.8</v>
      </c>
      <c r="AB78">
        <v>0.14799999999999999</v>
      </c>
      <c r="AC78">
        <v>1.72786177105832</v>
      </c>
      <c r="AD78">
        <v>2.43902439024389</v>
      </c>
      <c r="AE78">
        <v>6.3E-2</v>
      </c>
      <c r="AF78">
        <v>3.4000000000000002E-2</v>
      </c>
      <c r="AG78">
        <v>1.5663861861721695</v>
      </c>
      <c r="AH78">
        <v>11.4444444444444</v>
      </c>
      <c r="AI78">
        <v>10.5588235294118</v>
      </c>
      <c r="AJ78" t="s">
        <v>1694</v>
      </c>
      <c r="AK78" t="s">
        <v>1694</v>
      </c>
      <c r="AL78" t="s">
        <v>1694</v>
      </c>
      <c r="AM78" t="s">
        <v>1694</v>
      </c>
      <c r="AN78" t="s">
        <v>1694</v>
      </c>
      <c r="AO78" t="s">
        <v>1694</v>
      </c>
      <c r="AP78" t="s">
        <v>1695</v>
      </c>
      <c r="AQ78" t="s">
        <v>1694</v>
      </c>
      <c r="AR78" t="s">
        <v>1694</v>
      </c>
      <c r="AS78" t="s">
        <v>1726</v>
      </c>
      <c r="AT78" t="s">
        <v>1694</v>
      </c>
      <c r="AU78" t="s">
        <v>1695</v>
      </c>
      <c r="AV78" t="s">
        <v>1694</v>
      </c>
      <c r="AW78" t="s">
        <v>1694</v>
      </c>
      <c r="AX78" t="s">
        <v>1695</v>
      </c>
      <c r="AY78" t="s">
        <v>1694</v>
      </c>
      <c r="AZ78" t="s">
        <v>1694</v>
      </c>
      <c r="BA78" t="s">
        <v>1726</v>
      </c>
      <c r="BB78" t="s">
        <v>1695</v>
      </c>
      <c r="BC78" t="s">
        <v>1694</v>
      </c>
      <c r="BD78" t="s">
        <v>1694</v>
      </c>
      <c r="BE78" t="s">
        <v>1695</v>
      </c>
      <c r="BF78" t="s">
        <v>1694</v>
      </c>
      <c r="BG78" t="s">
        <v>1697</v>
      </c>
      <c r="BH78" t="s">
        <v>1698</v>
      </c>
      <c r="BI78" t="b">
        <v>0</v>
      </c>
      <c r="BJ78">
        <f t="shared" si="1"/>
        <v>0</v>
      </c>
    </row>
    <row r="79" spans="1:62" x14ac:dyDescent="0.2">
      <c r="A79" s="5" t="s">
        <v>17</v>
      </c>
      <c r="B79" s="6">
        <v>45050</v>
      </c>
      <c r="C79" s="7">
        <v>33.652433000000002</v>
      </c>
      <c r="D79" s="7">
        <v>-111.74951900000001</v>
      </c>
      <c r="E79" s="17">
        <v>601</v>
      </c>
      <c r="F79" t="s">
        <v>1694</v>
      </c>
      <c r="G79" t="s">
        <v>1694</v>
      </c>
      <c r="H79" t="s">
        <v>1694</v>
      </c>
      <c r="I79">
        <v>0</v>
      </c>
      <c r="J79" s="6" t="s">
        <v>1697</v>
      </c>
      <c r="K79" s="6" t="s">
        <v>1697</v>
      </c>
      <c r="L79" s="6" t="s">
        <v>1697</v>
      </c>
      <c r="M79" s="6" t="s">
        <v>1697</v>
      </c>
      <c r="N79" s="6" t="s">
        <v>1697</v>
      </c>
      <c r="O79" s="6" t="s">
        <v>1697</v>
      </c>
      <c r="P79" s="6" t="s">
        <v>1697</v>
      </c>
      <c r="Q79" s="6" t="s">
        <v>1697</v>
      </c>
      <c r="R79" s="6" t="s">
        <v>1697</v>
      </c>
      <c r="S79" s="6" t="s">
        <v>1697</v>
      </c>
      <c r="T79" s="6" t="s">
        <v>1697</v>
      </c>
      <c r="U79" s="6" t="s">
        <v>1697</v>
      </c>
      <c r="V79" s="6" t="s">
        <v>1697</v>
      </c>
      <c r="W79" s="6" t="s">
        <v>1697</v>
      </c>
      <c r="X79" s="6" t="s">
        <v>1697</v>
      </c>
      <c r="Y79" s="6" t="s">
        <v>1697</v>
      </c>
      <c r="Z79" s="6" t="s">
        <v>1697</v>
      </c>
      <c r="AA79" s="6" t="s">
        <v>1697</v>
      </c>
      <c r="AB79" s="6" t="s">
        <v>1697</v>
      </c>
      <c r="AC79" s="6" t="s">
        <v>1697</v>
      </c>
      <c r="AD79" s="6" t="s">
        <v>1697</v>
      </c>
      <c r="AE79" s="6" t="s">
        <v>1697</v>
      </c>
      <c r="AF79" s="6" t="s">
        <v>1697</v>
      </c>
      <c r="AG79" s="6" t="s">
        <v>1697</v>
      </c>
      <c r="AH79" s="6" t="s">
        <v>1697</v>
      </c>
      <c r="AI79" s="6" t="s">
        <v>1697</v>
      </c>
      <c r="AJ79" t="s">
        <v>1694</v>
      </c>
      <c r="AK79" t="s">
        <v>1694</v>
      </c>
      <c r="AL79" t="s">
        <v>1694</v>
      </c>
      <c r="AM79" t="s">
        <v>1694</v>
      </c>
      <c r="AN79" t="s">
        <v>1694</v>
      </c>
      <c r="AO79" t="s">
        <v>1694</v>
      </c>
      <c r="AP79" t="s">
        <v>1695</v>
      </c>
      <c r="AQ79" t="s">
        <v>1694</v>
      </c>
      <c r="AR79" t="s">
        <v>1694</v>
      </c>
      <c r="AS79" t="s">
        <v>1726</v>
      </c>
      <c r="AT79" t="s">
        <v>1694</v>
      </c>
      <c r="AU79" t="s">
        <v>1695</v>
      </c>
      <c r="AV79" t="s">
        <v>1694</v>
      </c>
      <c r="AW79" t="s">
        <v>1694</v>
      </c>
      <c r="AX79" t="s">
        <v>1695</v>
      </c>
      <c r="AY79" t="s">
        <v>1694</v>
      </c>
      <c r="AZ79" t="s">
        <v>1694</v>
      </c>
      <c r="BA79" t="s">
        <v>1726</v>
      </c>
      <c r="BB79" t="s">
        <v>1695</v>
      </c>
      <c r="BC79" t="s">
        <v>1694</v>
      </c>
      <c r="BD79" t="s">
        <v>1694</v>
      </c>
      <c r="BE79" t="s">
        <v>1695</v>
      </c>
      <c r="BF79" t="s">
        <v>1694</v>
      </c>
      <c r="BG79" s="6" t="s">
        <v>1697</v>
      </c>
      <c r="BH79" s="6" t="s">
        <v>1697</v>
      </c>
      <c r="BI79" t="b">
        <v>0</v>
      </c>
      <c r="BJ79">
        <f t="shared" si="1"/>
        <v>0</v>
      </c>
    </row>
    <row r="80" spans="1:62" x14ac:dyDescent="0.2">
      <c r="A80" s="5" t="s">
        <v>18</v>
      </c>
      <c r="B80" s="6">
        <v>38490</v>
      </c>
      <c r="C80" s="7">
        <v>33.478844000000002</v>
      </c>
      <c r="D80" s="7">
        <v>-111.7195</v>
      </c>
      <c r="E80" s="17">
        <v>422</v>
      </c>
      <c r="F80" t="s">
        <v>1700</v>
      </c>
      <c r="G80" t="s">
        <v>1699</v>
      </c>
      <c r="H80" t="s">
        <v>1732</v>
      </c>
      <c r="I80">
        <v>1</v>
      </c>
      <c r="J80" s="8">
        <v>22.891288924298571</v>
      </c>
      <c r="K80" s="8">
        <v>57.366170345473108</v>
      </c>
      <c r="L80" s="8">
        <v>19.742540730228313</v>
      </c>
      <c r="M80" s="8">
        <v>1.176220732804897</v>
      </c>
      <c r="N80" s="8">
        <v>1.2600944543018882</v>
      </c>
      <c r="O80" s="8">
        <v>7.3807850983507279</v>
      </c>
      <c r="P80" s="8">
        <v>3.7214789550382439</v>
      </c>
      <c r="Q80" s="8">
        <v>8.9497587441639919</v>
      </c>
      <c r="R80" s="8">
        <v>2.8147436707996123</v>
      </c>
      <c r="S80" s="8">
        <v>0.91400000000000003</v>
      </c>
      <c r="T80" s="8">
        <v>0.96599999999999997</v>
      </c>
      <c r="U80" s="8">
        <v>0.50700000000000001</v>
      </c>
      <c r="V80" s="8">
        <v>0.72</v>
      </c>
      <c r="W80" s="8">
        <v>0.40700000000000003</v>
      </c>
      <c r="X80" s="8">
        <v>0.246</v>
      </c>
      <c r="Y80" s="8">
        <v>2.6574803149606256</v>
      </c>
      <c r="Z80" s="8">
        <v>2.693602693602696</v>
      </c>
      <c r="AA80" s="8">
        <v>8.1199999999999992</v>
      </c>
      <c r="AB80">
        <v>0.34699999999999998</v>
      </c>
      <c r="AC80" s="8">
        <v>2.3622047244094508</v>
      </c>
      <c r="AD80" s="8">
        <v>5.2749719416386158</v>
      </c>
      <c r="AE80" s="8">
        <v>2.8000000000000001E-2</v>
      </c>
      <c r="AF80" s="8">
        <v>1.7999999999999999E-2</v>
      </c>
      <c r="AG80" s="8">
        <v>1.5060838270587367</v>
      </c>
      <c r="AH80" s="8">
        <v>32.642857142857146</v>
      </c>
      <c r="AI80" s="8">
        <v>34.5</v>
      </c>
      <c r="AJ80" t="s">
        <v>1694</v>
      </c>
      <c r="AK80" t="s">
        <v>1694</v>
      </c>
      <c r="AL80" t="s">
        <v>1694</v>
      </c>
      <c r="AM80" t="s">
        <v>1694</v>
      </c>
      <c r="AN80" t="s">
        <v>1694</v>
      </c>
      <c r="AO80" t="s">
        <v>1694</v>
      </c>
      <c r="AP80" t="s">
        <v>1695</v>
      </c>
      <c r="AQ80" t="s">
        <v>1694</v>
      </c>
      <c r="AR80" t="s">
        <v>1694</v>
      </c>
      <c r="AS80" t="s">
        <v>1694</v>
      </c>
      <c r="AT80" t="s">
        <v>1694</v>
      </c>
      <c r="AU80" t="s">
        <v>1732</v>
      </c>
      <c r="AV80" t="s">
        <v>1733</v>
      </c>
      <c r="AW80" t="s">
        <v>1732</v>
      </c>
      <c r="AX80" t="s">
        <v>1732</v>
      </c>
      <c r="AY80" t="s">
        <v>1733</v>
      </c>
      <c r="AZ80" t="s">
        <v>1700</v>
      </c>
      <c r="BA80" t="s">
        <v>1700</v>
      </c>
      <c r="BB80" t="s">
        <v>1732</v>
      </c>
      <c r="BC80" t="s">
        <v>1733</v>
      </c>
      <c r="BD80" t="s">
        <v>1700</v>
      </c>
      <c r="BE80" t="s">
        <v>1732</v>
      </c>
      <c r="BF80" t="s">
        <v>1733</v>
      </c>
      <c r="BG80">
        <v>30</v>
      </c>
      <c r="BH80" s="12" t="s">
        <v>1709</v>
      </c>
      <c r="BI80" t="b">
        <v>0</v>
      </c>
      <c r="BJ80">
        <f t="shared" si="1"/>
        <v>0</v>
      </c>
    </row>
    <row r="81" spans="1:62" x14ac:dyDescent="0.2">
      <c r="A81" s="5" t="s">
        <v>18</v>
      </c>
      <c r="B81" s="6">
        <v>40239</v>
      </c>
      <c r="C81" s="7">
        <v>33.478844000000002</v>
      </c>
      <c r="D81" s="7">
        <v>-111.7195</v>
      </c>
      <c r="E81" s="17">
        <v>422</v>
      </c>
      <c r="F81" t="s">
        <v>1700</v>
      </c>
      <c r="G81" t="s">
        <v>1699</v>
      </c>
      <c r="H81" t="s">
        <v>1732</v>
      </c>
      <c r="I81">
        <v>1</v>
      </c>
      <c r="J81" s="8">
        <v>25.837212183151113</v>
      </c>
      <c r="K81" s="8">
        <v>49.553809474817811</v>
      </c>
      <c r="L81" s="8">
        <v>24.608978342031079</v>
      </c>
      <c r="M81" s="8">
        <v>5.0000000000000001E-3</v>
      </c>
      <c r="N81" s="8">
        <v>0.62359625365875282</v>
      </c>
      <c r="O81" s="8">
        <v>8.0483889797267789</v>
      </c>
      <c r="P81" s="8">
        <v>18.202643142314319</v>
      </c>
      <c r="Q81" s="8">
        <v>13.463787755299807</v>
      </c>
      <c r="R81" s="8">
        <v>9.0999237019915373</v>
      </c>
      <c r="S81" s="8">
        <v>0.57999999999999996</v>
      </c>
      <c r="T81" s="8">
        <v>0.253</v>
      </c>
      <c r="U81" s="8">
        <v>0.37</v>
      </c>
      <c r="V81" s="8">
        <v>8.7999999999999995E-2</v>
      </c>
      <c r="W81" s="8">
        <v>0.20999999999999996</v>
      </c>
      <c r="X81" s="8">
        <v>0.16500000000000001</v>
      </c>
      <c r="Y81" s="8">
        <v>3.329223181257702</v>
      </c>
      <c r="Z81" s="8">
        <v>3.0434782608695774</v>
      </c>
      <c r="AA81" s="8">
        <v>8.4600000000000009</v>
      </c>
      <c r="AB81">
        <v>0.27800000000000002</v>
      </c>
      <c r="AC81" s="8">
        <v>13.070283600493227</v>
      </c>
      <c r="AD81" s="8">
        <v>11.159420289855065</v>
      </c>
      <c r="AE81" s="8">
        <v>3.5000000000000003E-2</v>
      </c>
      <c r="AF81" s="8">
        <v>2.5000000000000001E-2</v>
      </c>
      <c r="AG81" s="8">
        <v>1.2274243141930552</v>
      </c>
      <c r="AH81" s="8">
        <v>16.571428571428569</v>
      </c>
      <c r="AI81" s="8">
        <v>7.2285714285714278</v>
      </c>
      <c r="AJ81" t="s">
        <v>1694</v>
      </c>
      <c r="AK81" t="s">
        <v>1694</v>
      </c>
      <c r="AL81" t="s">
        <v>1694</v>
      </c>
      <c r="AM81" t="s">
        <v>1694</v>
      </c>
      <c r="AN81" t="s">
        <v>1694</v>
      </c>
      <c r="AO81" t="s">
        <v>1694</v>
      </c>
      <c r="AP81" t="s">
        <v>1695</v>
      </c>
      <c r="AQ81" t="s">
        <v>1694</v>
      </c>
      <c r="AR81" t="s">
        <v>1694</v>
      </c>
      <c r="AS81" t="s">
        <v>1694</v>
      </c>
      <c r="AT81" t="s">
        <v>1694</v>
      </c>
      <c r="AU81" t="s">
        <v>1732</v>
      </c>
      <c r="AV81" t="s">
        <v>1733</v>
      </c>
      <c r="AW81" t="s">
        <v>1732</v>
      </c>
      <c r="AX81" t="s">
        <v>1732</v>
      </c>
      <c r="AY81" t="s">
        <v>1733</v>
      </c>
      <c r="AZ81" t="s">
        <v>1700</v>
      </c>
      <c r="BA81" t="s">
        <v>1700</v>
      </c>
      <c r="BB81" t="s">
        <v>1732</v>
      </c>
      <c r="BC81" t="s">
        <v>1733</v>
      </c>
      <c r="BD81" t="s">
        <v>1700</v>
      </c>
      <c r="BE81" t="s">
        <v>1732</v>
      </c>
      <c r="BF81" t="s">
        <v>1733</v>
      </c>
      <c r="BG81">
        <v>35</v>
      </c>
      <c r="BH81" s="12" t="s">
        <v>1709</v>
      </c>
      <c r="BI81" t="b">
        <v>0</v>
      </c>
      <c r="BJ81">
        <f t="shared" si="1"/>
        <v>0</v>
      </c>
    </row>
    <row r="82" spans="1:62" x14ac:dyDescent="0.2">
      <c r="A82" s="5" t="s">
        <v>18</v>
      </c>
      <c r="B82" s="6">
        <v>42180</v>
      </c>
      <c r="C82" s="7">
        <v>33.478844000000002</v>
      </c>
      <c r="D82" s="7">
        <v>-111.7195</v>
      </c>
      <c r="E82" s="17">
        <v>422</v>
      </c>
      <c r="F82" t="s">
        <v>1700</v>
      </c>
      <c r="G82" t="s">
        <v>1699</v>
      </c>
      <c r="H82" t="s">
        <v>1732</v>
      </c>
      <c r="I82">
        <v>1</v>
      </c>
      <c r="J82">
        <v>13.849559949049199</v>
      </c>
      <c r="K82">
        <v>64.5395413259847</v>
      </c>
      <c r="L82">
        <v>21.610898724966098</v>
      </c>
      <c r="M82">
        <v>1.39092339367952</v>
      </c>
      <c r="N82">
        <v>2.16250375536021</v>
      </c>
      <c r="O82">
        <v>4.6141208732637997</v>
      </c>
      <c r="P82">
        <v>10.0249402486143</v>
      </c>
      <c r="Q82">
        <v>11.2819919136302</v>
      </c>
      <c r="R82">
        <v>6.8617224383359403</v>
      </c>
      <c r="S82">
        <v>0.40600000000000003</v>
      </c>
      <c r="T82">
        <v>0.72499999999999998</v>
      </c>
      <c r="U82">
        <v>0.13700000000000001</v>
      </c>
      <c r="V82">
        <v>0.26800000000000002</v>
      </c>
      <c r="W82">
        <v>0.26900000000000002</v>
      </c>
      <c r="X82">
        <v>0.45700000000000002</v>
      </c>
      <c r="Y82">
        <v>2.0782396088019599</v>
      </c>
      <c r="Z82">
        <v>2.0437956204379502</v>
      </c>
      <c r="AA82">
        <v>8.15</v>
      </c>
      <c r="AB82">
        <v>1.577</v>
      </c>
      <c r="AC82">
        <v>3.3783783783783998</v>
      </c>
      <c r="AD82">
        <v>3.26797385620916</v>
      </c>
      <c r="AE82">
        <v>2.3E-2</v>
      </c>
      <c r="AF82">
        <v>7.4999999999999997E-2</v>
      </c>
      <c r="AG82">
        <v>1.1396111126656534</v>
      </c>
      <c r="AH82">
        <v>17.652173913043502</v>
      </c>
      <c r="AI82">
        <v>9.6666666666666696</v>
      </c>
      <c r="AJ82" t="s">
        <v>1694</v>
      </c>
      <c r="AK82" t="s">
        <v>1694</v>
      </c>
      <c r="AL82" t="s">
        <v>1694</v>
      </c>
      <c r="AM82" t="s">
        <v>1694</v>
      </c>
      <c r="AN82" t="s">
        <v>1694</v>
      </c>
      <c r="AO82" t="s">
        <v>1694</v>
      </c>
      <c r="AP82" t="s">
        <v>1695</v>
      </c>
      <c r="AQ82" t="s">
        <v>1694</v>
      </c>
      <c r="AR82" t="s">
        <v>1694</v>
      </c>
      <c r="AS82" t="s">
        <v>1694</v>
      </c>
      <c r="AT82" t="s">
        <v>1694</v>
      </c>
      <c r="AU82" t="s">
        <v>1732</v>
      </c>
      <c r="AV82" t="s">
        <v>1733</v>
      </c>
      <c r="AW82" t="s">
        <v>1732</v>
      </c>
      <c r="AX82" t="s">
        <v>1732</v>
      </c>
      <c r="AY82" t="s">
        <v>1733</v>
      </c>
      <c r="AZ82" t="s">
        <v>1700</v>
      </c>
      <c r="BA82" t="s">
        <v>1700</v>
      </c>
      <c r="BB82" t="s">
        <v>1732</v>
      </c>
      <c r="BC82" t="s">
        <v>1733</v>
      </c>
      <c r="BD82" t="s">
        <v>1700</v>
      </c>
      <c r="BE82" t="s">
        <v>1732</v>
      </c>
      <c r="BF82" t="s">
        <v>1733</v>
      </c>
      <c r="BG82">
        <v>40</v>
      </c>
      <c r="BH82" s="12" t="s">
        <v>1709</v>
      </c>
      <c r="BI82" t="b">
        <v>1</v>
      </c>
      <c r="BJ82">
        <f t="shared" si="1"/>
        <v>1</v>
      </c>
    </row>
    <row r="83" spans="1:62" x14ac:dyDescent="0.2">
      <c r="A83" s="5" t="s">
        <v>18</v>
      </c>
      <c r="B83" s="6">
        <v>45082</v>
      </c>
      <c r="C83" s="7">
        <v>33.478844000000002</v>
      </c>
      <c r="D83" s="7">
        <v>-111.7195</v>
      </c>
      <c r="E83" s="17">
        <v>422</v>
      </c>
      <c r="F83" t="s">
        <v>1700</v>
      </c>
      <c r="G83" t="s">
        <v>1699</v>
      </c>
      <c r="H83" t="s">
        <v>1732</v>
      </c>
      <c r="I83">
        <v>1</v>
      </c>
      <c r="J83" t="s">
        <v>1697</v>
      </c>
      <c r="K83" t="s">
        <v>1697</v>
      </c>
      <c r="L83" t="s">
        <v>1697</v>
      </c>
      <c r="M83" t="s">
        <v>1697</v>
      </c>
      <c r="N83" t="s">
        <v>1697</v>
      </c>
      <c r="O83" t="s">
        <v>1697</v>
      </c>
      <c r="P83" t="s">
        <v>1697</v>
      </c>
      <c r="Q83" t="s">
        <v>1697</v>
      </c>
      <c r="R83" t="s">
        <v>1697</v>
      </c>
      <c r="S83" t="s">
        <v>1697</v>
      </c>
      <c r="T83" t="s">
        <v>1697</v>
      </c>
      <c r="U83" t="s">
        <v>1697</v>
      </c>
      <c r="V83" t="s">
        <v>1697</v>
      </c>
      <c r="W83" t="s">
        <v>1697</v>
      </c>
      <c r="X83" t="s">
        <v>1697</v>
      </c>
      <c r="Y83" t="s">
        <v>1697</v>
      </c>
      <c r="Z83" t="s">
        <v>1697</v>
      </c>
      <c r="AA83" t="s">
        <v>1697</v>
      </c>
      <c r="AB83" t="s">
        <v>1697</v>
      </c>
      <c r="AC83" t="s">
        <v>1697</v>
      </c>
      <c r="AD83" t="s">
        <v>1697</v>
      </c>
      <c r="AE83" t="s">
        <v>1697</v>
      </c>
      <c r="AF83" t="s">
        <v>1697</v>
      </c>
      <c r="AG83" t="s">
        <v>1697</v>
      </c>
      <c r="AH83" t="s">
        <v>1697</v>
      </c>
      <c r="AI83" t="s">
        <v>1697</v>
      </c>
      <c r="AJ83" t="s">
        <v>1694</v>
      </c>
      <c r="AK83" t="s">
        <v>1694</v>
      </c>
      <c r="AL83" t="s">
        <v>1694</v>
      </c>
      <c r="AM83" t="s">
        <v>1694</v>
      </c>
      <c r="AN83" t="s">
        <v>1694</v>
      </c>
      <c r="AO83" t="s">
        <v>1694</v>
      </c>
      <c r="AP83" t="s">
        <v>1695</v>
      </c>
      <c r="AQ83" t="s">
        <v>1694</v>
      </c>
      <c r="AR83" t="s">
        <v>1694</v>
      </c>
      <c r="AS83" t="s">
        <v>1694</v>
      </c>
      <c r="AT83" t="s">
        <v>1694</v>
      </c>
      <c r="AU83" t="s">
        <v>1732</v>
      </c>
      <c r="AV83" t="s">
        <v>1733</v>
      </c>
      <c r="AW83" t="s">
        <v>1732</v>
      </c>
      <c r="AX83" t="s">
        <v>1732</v>
      </c>
      <c r="AY83" t="s">
        <v>1733</v>
      </c>
      <c r="AZ83" t="s">
        <v>1700</v>
      </c>
      <c r="BA83" t="s">
        <v>1700</v>
      </c>
      <c r="BB83" t="s">
        <v>1732</v>
      </c>
      <c r="BC83" t="s">
        <v>1733</v>
      </c>
      <c r="BD83" t="s">
        <v>1700</v>
      </c>
      <c r="BE83" t="s">
        <v>1732</v>
      </c>
      <c r="BF83" t="s">
        <v>1733</v>
      </c>
      <c r="BG83" s="6" t="s">
        <v>1697</v>
      </c>
      <c r="BH83" s="6" t="s">
        <v>1697</v>
      </c>
      <c r="BI83" t="b">
        <v>1</v>
      </c>
      <c r="BJ83">
        <f t="shared" si="1"/>
        <v>1</v>
      </c>
    </row>
    <row r="84" spans="1:62" x14ac:dyDescent="0.2">
      <c r="A84" s="5" t="s">
        <v>19</v>
      </c>
      <c r="B84" s="6">
        <v>40336</v>
      </c>
      <c r="C84" s="7">
        <v>33.429189000000001</v>
      </c>
      <c r="D84" s="7">
        <v>-111.74585</v>
      </c>
      <c r="E84" s="17">
        <v>396</v>
      </c>
      <c r="F84" t="s">
        <v>1697</v>
      </c>
      <c r="G84" t="s">
        <v>1697</v>
      </c>
      <c r="H84" t="s">
        <v>1697</v>
      </c>
      <c r="I84" t="s">
        <v>1697</v>
      </c>
      <c r="J84" t="s">
        <v>1697</v>
      </c>
      <c r="K84" t="s">
        <v>1697</v>
      </c>
      <c r="L84" t="s">
        <v>1697</v>
      </c>
      <c r="M84" t="s">
        <v>1697</v>
      </c>
      <c r="N84" t="s">
        <v>1697</v>
      </c>
      <c r="O84" t="s">
        <v>1697</v>
      </c>
      <c r="P84" t="s">
        <v>1697</v>
      </c>
      <c r="Q84" t="s">
        <v>1697</v>
      </c>
      <c r="R84" t="s">
        <v>1697</v>
      </c>
      <c r="S84" t="s">
        <v>1697</v>
      </c>
      <c r="T84" t="s">
        <v>1697</v>
      </c>
      <c r="U84" t="s">
        <v>1697</v>
      </c>
      <c r="V84" t="s">
        <v>1697</v>
      </c>
      <c r="W84" t="s">
        <v>1697</v>
      </c>
      <c r="X84" t="s">
        <v>1697</v>
      </c>
      <c r="Y84" t="s">
        <v>1697</v>
      </c>
      <c r="Z84" t="s">
        <v>1697</v>
      </c>
      <c r="AA84" t="s">
        <v>1697</v>
      </c>
      <c r="AB84" t="s">
        <v>1697</v>
      </c>
      <c r="AC84" t="s">
        <v>1697</v>
      </c>
      <c r="AD84" t="s">
        <v>1697</v>
      </c>
      <c r="AE84" t="s">
        <v>1697</v>
      </c>
      <c r="AF84" t="s">
        <v>1697</v>
      </c>
      <c r="AG84" t="s">
        <v>1697</v>
      </c>
      <c r="AH84" t="s">
        <v>1697</v>
      </c>
      <c r="AI84" t="s">
        <v>1697</v>
      </c>
      <c r="AJ84" t="s">
        <v>1694</v>
      </c>
      <c r="AK84" t="s">
        <v>1694</v>
      </c>
      <c r="AL84" t="s">
        <v>1702</v>
      </c>
      <c r="AM84" t="s">
        <v>1703</v>
      </c>
      <c r="AN84" t="s">
        <v>1702</v>
      </c>
      <c r="AO84" t="s">
        <v>1703</v>
      </c>
      <c r="AP84" t="s">
        <v>1697</v>
      </c>
      <c r="AQ84" t="s">
        <v>1697</v>
      </c>
      <c r="AR84" t="s">
        <v>1703</v>
      </c>
      <c r="AS84" t="s">
        <v>1702</v>
      </c>
      <c r="AT84" t="s">
        <v>1703</v>
      </c>
      <c r="AU84" t="s">
        <v>1704</v>
      </c>
      <c r="AV84" t="s">
        <v>1725</v>
      </c>
      <c r="AW84" t="s">
        <v>1703</v>
      </c>
      <c r="AX84" t="s">
        <v>1706</v>
      </c>
      <c r="AY84" t="s">
        <v>1723</v>
      </c>
      <c r="AZ84" t="s">
        <v>1706</v>
      </c>
      <c r="BA84" t="s">
        <v>1700</v>
      </c>
      <c r="BB84" t="s">
        <v>1706</v>
      </c>
      <c r="BC84" t="s">
        <v>1723</v>
      </c>
      <c r="BD84" t="s">
        <v>1706</v>
      </c>
      <c r="BE84" t="s">
        <v>1706</v>
      </c>
      <c r="BF84" t="s">
        <v>1723</v>
      </c>
      <c r="BG84" s="6" t="s">
        <v>1697</v>
      </c>
      <c r="BH84" s="6" t="s">
        <v>1697</v>
      </c>
      <c r="BI84" t="b">
        <v>0</v>
      </c>
      <c r="BJ84">
        <f t="shared" si="1"/>
        <v>0</v>
      </c>
    </row>
    <row r="85" spans="1:62" x14ac:dyDescent="0.2">
      <c r="A85" s="5" t="s">
        <v>19</v>
      </c>
      <c r="B85" s="6">
        <v>42167</v>
      </c>
      <c r="C85" s="7">
        <v>33.429189000000001</v>
      </c>
      <c r="D85" s="7">
        <v>-111.74585</v>
      </c>
      <c r="E85" s="17">
        <v>396</v>
      </c>
      <c r="F85" t="s">
        <v>1706</v>
      </c>
      <c r="G85" t="s">
        <v>1728</v>
      </c>
      <c r="H85" t="s">
        <v>1728</v>
      </c>
      <c r="I85">
        <v>1</v>
      </c>
      <c r="J85">
        <v>13.5051545190952</v>
      </c>
      <c r="K85">
        <v>62.8940740689264</v>
      </c>
      <c r="L85">
        <v>23.6007714119784</v>
      </c>
      <c r="M85">
        <v>3.9205199414489198</v>
      </c>
      <c r="N85" t="s">
        <v>1697</v>
      </c>
      <c r="O85">
        <v>33.050894855237999</v>
      </c>
      <c r="P85" t="s">
        <v>1697</v>
      </c>
      <c r="Q85">
        <v>5.9322164510473501</v>
      </c>
      <c r="R85" t="s">
        <v>1697</v>
      </c>
      <c r="S85">
        <v>2.14</v>
      </c>
      <c r="T85" t="s">
        <v>1697</v>
      </c>
      <c r="U85">
        <v>0.27400000000000002</v>
      </c>
      <c r="V85" t="s">
        <v>1697</v>
      </c>
      <c r="W85">
        <v>1.8660000000000001</v>
      </c>
      <c r="X85" t="s">
        <v>1697</v>
      </c>
      <c r="Y85">
        <v>2.9304029304029302</v>
      </c>
      <c r="Z85" t="s">
        <v>1697</v>
      </c>
      <c r="AA85">
        <v>8.1300000000000008</v>
      </c>
      <c r="AB85">
        <v>0.78600000000000003</v>
      </c>
      <c r="AC85">
        <v>7.4766355140187004</v>
      </c>
      <c r="AD85" t="s">
        <v>1697</v>
      </c>
      <c r="AE85">
        <v>0.21099999999999999</v>
      </c>
      <c r="AF85" t="s">
        <v>1697</v>
      </c>
      <c r="AG85">
        <v>0.8655187530748446</v>
      </c>
      <c r="AH85">
        <v>10.142180094786699</v>
      </c>
      <c r="AI85" t="s">
        <v>1697</v>
      </c>
      <c r="AJ85" t="s">
        <v>1694</v>
      </c>
      <c r="AK85" t="s">
        <v>1694</v>
      </c>
      <c r="AL85" t="s">
        <v>1702</v>
      </c>
      <c r="AM85" t="s">
        <v>1703</v>
      </c>
      <c r="AN85" t="s">
        <v>1702</v>
      </c>
      <c r="AO85" t="s">
        <v>1703</v>
      </c>
      <c r="AP85" t="s">
        <v>1697</v>
      </c>
      <c r="AQ85" t="s">
        <v>1697</v>
      </c>
      <c r="AR85" t="s">
        <v>1703</v>
      </c>
      <c r="AS85" t="s">
        <v>1702</v>
      </c>
      <c r="AT85" t="s">
        <v>1703</v>
      </c>
      <c r="AU85" t="s">
        <v>1704</v>
      </c>
      <c r="AV85" t="s">
        <v>1725</v>
      </c>
      <c r="AW85" t="s">
        <v>1703</v>
      </c>
      <c r="AX85" t="s">
        <v>1706</v>
      </c>
      <c r="AY85" t="s">
        <v>1723</v>
      </c>
      <c r="AZ85" t="s">
        <v>1706</v>
      </c>
      <c r="BA85" t="s">
        <v>1700</v>
      </c>
      <c r="BB85" t="s">
        <v>1706</v>
      </c>
      <c r="BC85" t="s">
        <v>1723</v>
      </c>
      <c r="BD85" t="s">
        <v>1706</v>
      </c>
      <c r="BE85" t="s">
        <v>1706</v>
      </c>
      <c r="BF85" t="s">
        <v>1723</v>
      </c>
      <c r="BG85">
        <v>35</v>
      </c>
      <c r="BH85" s="12" t="s">
        <v>1709</v>
      </c>
      <c r="BI85" t="b">
        <v>0</v>
      </c>
      <c r="BJ85">
        <f t="shared" si="1"/>
        <v>0</v>
      </c>
    </row>
    <row r="86" spans="1:62" x14ac:dyDescent="0.2">
      <c r="A86" s="5" t="s">
        <v>20</v>
      </c>
      <c r="B86" s="6">
        <v>36599</v>
      </c>
      <c r="C86" s="7">
        <v>33.396878000000001</v>
      </c>
      <c r="D86" s="7">
        <v>-111.741908</v>
      </c>
      <c r="E86" s="17">
        <v>387</v>
      </c>
      <c r="F86" t="s">
        <v>1706</v>
      </c>
      <c r="G86" t="s">
        <v>1710</v>
      </c>
      <c r="H86" t="s">
        <v>1710</v>
      </c>
      <c r="I86">
        <v>1</v>
      </c>
      <c r="J86" s="8">
        <v>17.7454575409655</v>
      </c>
      <c r="K86" s="8">
        <v>58.195135920284557</v>
      </c>
      <c r="L86" s="8">
        <v>24.05940653874994</v>
      </c>
      <c r="M86" s="8">
        <v>4.7962094481344568</v>
      </c>
      <c r="N86" s="8">
        <v>2.2690695479175926</v>
      </c>
      <c r="O86" s="8">
        <v>1.88205397364434</v>
      </c>
      <c r="P86" s="8">
        <v>0.74410094101068791</v>
      </c>
      <c r="Q86" s="8">
        <v>16.298339138235178</v>
      </c>
      <c r="R86" s="8">
        <v>2.2470389525346715</v>
      </c>
      <c r="S86" s="8">
        <v>0.59099999999999997</v>
      </c>
      <c r="T86" s="8">
        <v>0.24399999999999999</v>
      </c>
      <c r="U86" s="8">
        <v>6.4000000000000001E-2</v>
      </c>
      <c r="V86" s="8">
        <v>2.5999999999999999E-2</v>
      </c>
      <c r="W86" s="8">
        <v>0.52700000000000002</v>
      </c>
      <c r="X86" s="8">
        <v>0.218</v>
      </c>
      <c r="Y86" s="8">
        <v>3.1194799999999998</v>
      </c>
      <c r="Z86" s="8">
        <v>2.6625700000000001</v>
      </c>
      <c r="AA86" s="9">
        <v>8.2200000000000006</v>
      </c>
      <c r="AB86" s="10">
        <v>0.49</v>
      </c>
      <c r="AC86" s="8">
        <v>15.92179</v>
      </c>
      <c r="AD86" s="8">
        <v>15.03295</v>
      </c>
      <c r="AE86" s="8">
        <v>8.1000000000000003E-2</v>
      </c>
      <c r="AF86" s="8">
        <v>4.8000000000000001E-2</v>
      </c>
      <c r="AG86" s="8">
        <v>1.6125390606732621</v>
      </c>
      <c r="AH86" s="8">
        <v>7.2962962962962958</v>
      </c>
      <c r="AI86" s="8">
        <v>3.0123456790123457</v>
      </c>
      <c r="AJ86" t="s">
        <v>1694</v>
      </c>
      <c r="AK86" t="s">
        <v>1694</v>
      </c>
      <c r="AL86" t="s">
        <v>1702</v>
      </c>
      <c r="AM86" t="s">
        <v>1703</v>
      </c>
      <c r="AN86" t="s">
        <v>1702</v>
      </c>
      <c r="AO86" t="s">
        <v>1703</v>
      </c>
      <c r="AP86" t="s">
        <v>1702</v>
      </c>
      <c r="AQ86" t="s">
        <v>1697</v>
      </c>
      <c r="AR86" t="s">
        <v>1703</v>
      </c>
      <c r="AS86" t="s">
        <v>1702</v>
      </c>
      <c r="AT86" t="s">
        <v>1703</v>
      </c>
      <c r="AU86" t="s">
        <v>1734</v>
      </c>
      <c r="AV86" t="s">
        <v>1734</v>
      </c>
      <c r="AW86" t="s">
        <v>1706</v>
      </c>
      <c r="AX86" t="s">
        <v>1706</v>
      </c>
      <c r="AY86" t="s">
        <v>1735</v>
      </c>
      <c r="AZ86" t="s">
        <v>1706</v>
      </c>
      <c r="BA86" t="s">
        <v>1700</v>
      </c>
      <c r="BB86" t="s">
        <v>1706</v>
      </c>
      <c r="BC86" t="s">
        <v>1735</v>
      </c>
      <c r="BD86" t="s">
        <v>1706</v>
      </c>
      <c r="BE86" t="s">
        <v>1706</v>
      </c>
      <c r="BF86" t="s">
        <v>1735</v>
      </c>
      <c r="BG86">
        <v>25</v>
      </c>
      <c r="BH86" s="12" t="s">
        <v>1709</v>
      </c>
      <c r="BI86" t="b">
        <v>0</v>
      </c>
      <c r="BJ86">
        <f t="shared" si="1"/>
        <v>0</v>
      </c>
    </row>
    <row r="87" spans="1:62" x14ac:dyDescent="0.2">
      <c r="A87" s="5" t="s">
        <v>20</v>
      </c>
      <c r="B87" s="6">
        <v>38420</v>
      </c>
      <c r="C87" s="7">
        <v>33.396878000000001</v>
      </c>
      <c r="D87" s="7">
        <v>-111.741908</v>
      </c>
      <c r="E87" s="17">
        <v>387</v>
      </c>
      <c r="F87" t="s">
        <v>1706</v>
      </c>
      <c r="G87" t="s">
        <v>1710</v>
      </c>
      <c r="H87" t="s">
        <v>1710</v>
      </c>
      <c r="I87">
        <v>1</v>
      </c>
      <c r="J87" s="8">
        <v>23.268884429118252</v>
      </c>
      <c r="K87" s="8">
        <v>56.751526482900992</v>
      </c>
      <c r="L87" s="8">
        <v>19.979589087980756</v>
      </c>
      <c r="M87" s="8">
        <v>3.1618610572050132</v>
      </c>
      <c r="N87" s="8">
        <v>1.1441238803733209</v>
      </c>
      <c r="O87" s="8">
        <v>4.4420291925611899</v>
      </c>
      <c r="P87" s="8">
        <v>0.36611964171946276</v>
      </c>
      <c r="Q87" s="8">
        <v>10.821334874566814</v>
      </c>
      <c r="R87" s="8">
        <v>2.02840692497655</v>
      </c>
      <c r="S87" s="8">
        <v>0.63500000000000001</v>
      </c>
      <c r="T87" s="8">
        <v>0.193</v>
      </c>
      <c r="U87" s="8">
        <v>0.124</v>
      </c>
      <c r="V87" s="8">
        <v>3.6999999999999998E-2</v>
      </c>
      <c r="W87" s="8">
        <v>0.51100000000000001</v>
      </c>
      <c r="X87" s="8">
        <v>0.156</v>
      </c>
      <c r="Y87" s="8">
        <v>2.8767123287671112</v>
      </c>
      <c r="Z87" s="8">
        <v>2.2380467955239127</v>
      </c>
      <c r="AA87" s="8">
        <v>8.52</v>
      </c>
      <c r="AB87">
        <v>0.66600000000000004</v>
      </c>
      <c r="AC87" s="8">
        <v>16.986301369863018</v>
      </c>
      <c r="AD87" s="8">
        <v>15.361139369277717</v>
      </c>
      <c r="AE87" s="8">
        <v>7.4999999999999997E-2</v>
      </c>
      <c r="AF87" s="8">
        <v>2.9000000000000001E-2</v>
      </c>
      <c r="AG87" s="8">
        <v>1.3243407642082956</v>
      </c>
      <c r="AH87" s="8">
        <v>8.4666666666666668</v>
      </c>
      <c r="AI87" s="8">
        <v>2.5733333333333337</v>
      </c>
      <c r="AJ87" t="s">
        <v>1694</v>
      </c>
      <c r="AK87" t="s">
        <v>1694</v>
      </c>
      <c r="AL87" t="s">
        <v>1702</v>
      </c>
      <c r="AM87" t="s">
        <v>1703</v>
      </c>
      <c r="AN87" t="s">
        <v>1702</v>
      </c>
      <c r="AO87" t="s">
        <v>1703</v>
      </c>
      <c r="AP87" t="s">
        <v>1702</v>
      </c>
      <c r="AQ87" t="s">
        <v>1697</v>
      </c>
      <c r="AR87" t="s">
        <v>1703</v>
      </c>
      <c r="AS87" t="s">
        <v>1702</v>
      </c>
      <c r="AT87" t="s">
        <v>1703</v>
      </c>
      <c r="AU87" t="s">
        <v>1734</v>
      </c>
      <c r="AV87" t="s">
        <v>1734</v>
      </c>
      <c r="AW87" t="s">
        <v>1706</v>
      </c>
      <c r="AX87" t="s">
        <v>1706</v>
      </c>
      <c r="AY87" t="s">
        <v>1735</v>
      </c>
      <c r="AZ87" t="s">
        <v>1706</v>
      </c>
      <c r="BA87" t="s">
        <v>1700</v>
      </c>
      <c r="BB87" t="s">
        <v>1706</v>
      </c>
      <c r="BC87" t="s">
        <v>1735</v>
      </c>
      <c r="BD87" t="s">
        <v>1706</v>
      </c>
      <c r="BE87" t="s">
        <v>1706</v>
      </c>
      <c r="BF87" t="s">
        <v>1735</v>
      </c>
      <c r="BG87">
        <v>30</v>
      </c>
      <c r="BH87" s="12" t="s">
        <v>1709</v>
      </c>
      <c r="BI87" t="b">
        <v>0</v>
      </c>
      <c r="BJ87">
        <f t="shared" si="1"/>
        <v>0</v>
      </c>
    </row>
    <row r="88" spans="1:62" x14ac:dyDescent="0.2">
      <c r="A88" s="5" t="s">
        <v>20</v>
      </c>
      <c r="B88" s="6">
        <v>40249</v>
      </c>
      <c r="C88" s="7">
        <v>33.396878000000001</v>
      </c>
      <c r="D88" s="7">
        <v>-111.741908</v>
      </c>
      <c r="E88" s="17">
        <v>387</v>
      </c>
      <c r="F88" t="s">
        <v>1706</v>
      </c>
      <c r="G88" t="s">
        <v>1710</v>
      </c>
      <c r="H88" t="s">
        <v>1710</v>
      </c>
      <c r="I88">
        <v>1</v>
      </c>
      <c r="J88" s="8">
        <v>23.908266968605353</v>
      </c>
      <c r="K88" s="8">
        <v>53.729792510767155</v>
      </c>
      <c r="L88" s="8">
        <v>22.361940520627485</v>
      </c>
      <c r="M88" s="8">
        <v>0.33829343858717065</v>
      </c>
      <c r="N88" s="8">
        <v>0.46521994145378376</v>
      </c>
      <c r="O88" s="8">
        <v>13.694989068810395</v>
      </c>
      <c r="P88" s="8">
        <v>3.3778633647770042</v>
      </c>
      <c r="Q88" s="8">
        <v>18.948704563413386</v>
      </c>
      <c r="R88" s="8">
        <v>2.5000000000000001E-3</v>
      </c>
      <c r="S88" s="8">
        <v>1.3009999999999999</v>
      </c>
      <c r="T88" s="8">
        <v>0.26100000000000001</v>
      </c>
      <c r="U88" s="8">
        <v>2.7E-2</v>
      </c>
      <c r="V88" s="8">
        <v>3.9E-2</v>
      </c>
      <c r="W88" s="8">
        <v>1.274</v>
      </c>
      <c r="X88" s="8">
        <v>0.222</v>
      </c>
      <c r="Y88" s="8">
        <v>4.1775456919060083</v>
      </c>
      <c r="Z88" s="8">
        <v>3.2321253672869741</v>
      </c>
      <c r="AA88" s="8">
        <v>8.01</v>
      </c>
      <c r="AB88">
        <v>0.36</v>
      </c>
      <c r="AC88" s="8">
        <v>16.318537859007833</v>
      </c>
      <c r="AD88" s="8">
        <v>15.083251714005867</v>
      </c>
      <c r="AE88" s="8">
        <v>0.114</v>
      </c>
      <c r="AF88" s="8">
        <v>3.1E-2</v>
      </c>
      <c r="AG88" s="8">
        <v>1.5314779401150262</v>
      </c>
      <c r="AH88" s="8">
        <v>11.412280701754385</v>
      </c>
      <c r="AI88" s="8">
        <v>2.2894736842105261</v>
      </c>
      <c r="AJ88" t="s">
        <v>1694</v>
      </c>
      <c r="AK88" t="s">
        <v>1694</v>
      </c>
      <c r="AL88" t="s">
        <v>1702</v>
      </c>
      <c r="AM88" t="s">
        <v>1703</v>
      </c>
      <c r="AN88" t="s">
        <v>1702</v>
      </c>
      <c r="AO88" t="s">
        <v>1703</v>
      </c>
      <c r="AP88" t="s">
        <v>1702</v>
      </c>
      <c r="AQ88" t="s">
        <v>1697</v>
      </c>
      <c r="AR88" t="s">
        <v>1703</v>
      </c>
      <c r="AS88" t="s">
        <v>1702</v>
      </c>
      <c r="AT88" t="s">
        <v>1703</v>
      </c>
      <c r="AU88" t="s">
        <v>1734</v>
      </c>
      <c r="AV88" t="s">
        <v>1734</v>
      </c>
      <c r="AW88" t="s">
        <v>1706</v>
      </c>
      <c r="AX88" t="s">
        <v>1706</v>
      </c>
      <c r="AY88" t="s">
        <v>1735</v>
      </c>
      <c r="AZ88" t="s">
        <v>1706</v>
      </c>
      <c r="BA88" t="s">
        <v>1700</v>
      </c>
      <c r="BB88" t="s">
        <v>1706</v>
      </c>
      <c r="BC88" t="s">
        <v>1735</v>
      </c>
      <c r="BD88" t="s">
        <v>1706</v>
      </c>
      <c r="BE88" t="s">
        <v>1706</v>
      </c>
      <c r="BF88" t="s">
        <v>1735</v>
      </c>
      <c r="BG88">
        <v>35</v>
      </c>
      <c r="BH88" s="12" t="s">
        <v>1709</v>
      </c>
      <c r="BI88" t="b">
        <v>0</v>
      </c>
      <c r="BJ88">
        <f t="shared" si="1"/>
        <v>0</v>
      </c>
    </row>
    <row r="89" spans="1:62" x14ac:dyDescent="0.2">
      <c r="A89" s="5" t="s">
        <v>20</v>
      </c>
      <c r="B89" s="6">
        <v>42164</v>
      </c>
      <c r="C89" s="7">
        <v>33.396878000000001</v>
      </c>
      <c r="D89" s="7">
        <v>-111.741908</v>
      </c>
      <c r="E89" s="17">
        <v>387</v>
      </c>
      <c r="F89" t="s">
        <v>1706</v>
      </c>
      <c r="G89" t="s">
        <v>1710</v>
      </c>
      <c r="H89" t="s">
        <v>1710</v>
      </c>
      <c r="I89">
        <v>1</v>
      </c>
      <c r="J89">
        <v>21.192185103798501</v>
      </c>
      <c r="K89">
        <v>60.406966283776903</v>
      </c>
      <c r="L89">
        <v>18.4008486124246</v>
      </c>
      <c r="M89">
        <v>1.50800129489632</v>
      </c>
      <c r="N89">
        <v>10.4145296306819</v>
      </c>
      <c r="O89">
        <v>40.0815600431322</v>
      </c>
      <c r="P89">
        <v>12.548061742523</v>
      </c>
      <c r="Q89">
        <v>22.049083461210301</v>
      </c>
      <c r="R89">
        <v>3.4195567191167502</v>
      </c>
      <c r="S89">
        <v>1.1539999999999999</v>
      </c>
      <c r="T89">
        <v>0.24299999999999999</v>
      </c>
      <c r="U89">
        <v>7.0000000000000001E-3</v>
      </c>
      <c r="V89">
        <v>4.0000000000000001E-3</v>
      </c>
      <c r="W89">
        <v>1.147</v>
      </c>
      <c r="X89">
        <v>0.23899999999999999</v>
      </c>
      <c r="Y89">
        <v>2.87081339712919</v>
      </c>
      <c r="Z89">
        <v>2.3569023569023702</v>
      </c>
      <c r="AA89">
        <v>7.51</v>
      </c>
      <c r="AB89">
        <v>0.55400000000000005</v>
      </c>
      <c r="AC89">
        <v>15.359477124183</v>
      </c>
      <c r="AD89">
        <v>12.835820895522399</v>
      </c>
      <c r="AE89">
        <v>0.11</v>
      </c>
      <c r="AF89">
        <v>0.216</v>
      </c>
      <c r="AG89">
        <v>1.4484758730005813</v>
      </c>
      <c r="AH89">
        <v>10.490909090909099</v>
      </c>
      <c r="AI89">
        <v>1.125</v>
      </c>
      <c r="AJ89" t="s">
        <v>1694</v>
      </c>
      <c r="AK89" t="s">
        <v>1694</v>
      </c>
      <c r="AL89" t="s">
        <v>1702</v>
      </c>
      <c r="AM89" t="s">
        <v>1703</v>
      </c>
      <c r="AN89" t="s">
        <v>1702</v>
      </c>
      <c r="AO89" t="s">
        <v>1703</v>
      </c>
      <c r="AP89" t="s">
        <v>1697</v>
      </c>
      <c r="AQ89" t="s">
        <v>1697</v>
      </c>
      <c r="AR89" t="s">
        <v>1703</v>
      </c>
      <c r="AS89" t="s">
        <v>1702</v>
      </c>
      <c r="AT89" t="s">
        <v>1703</v>
      </c>
      <c r="AU89" t="s">
        <v>1734</v>
      </c>
      <c r="AV89" t="s">
        <v>1734</v>
      </c>
      <c r="AW89" t="s">
        <v>1706</v>
      </c>
      <c r="AX89" t="s">
        <v>1706</v>
      </c>
      <c r="AY89" t="s">
        <v>1735</v>
      </c>
      <c r="AZ89" t="s">
        <v>1706</v>
      </c>
      <c r="BA89" t="s">
        <v>1700</v>
      </c>
      <c r="BB89" t="s">
        <v>1706</v>
      </c>
      <c r="BC89" t="s">
        <v>1735</v>
      </c>
      <c r="BD89" t="s">
        <v>1706</v>
      </c>
      <c r="BE89" t="s">
        <v>1706</v>
      </c>
      <c r="BF89" t="s">
        <v>1735</v>
      </c>
      <c r="BG89">
        <v>40</v>
      </c>
      <c r="BH89" s="12" t="s">
        <v>1709</v>
      </c>
      <c r="BI89" t="b">
        <v>0</v>
      </c>
      <c r="BJ89">
        <f t="shared" si="1"/>
        <v>0</v>
      </c>
    </row>
    <row r="90" spans="1:62" x14ac:dyDescent="0.2">
      <c r="A90" s="5" t="s">
        <v>21</v>
      </c>
      <c r="B90" s="6">
        <v>38485</v>
      </c>
      <c r="C90" s="7">
        <v>33.381310999999997</v>
      </c>
      <c r="D90" s="7">
        <v>-111.726617</v>
      </c>
      <c r="E90" s="17">
        <v>387</v>
      </c>
      <c r="F90" t="s">
        <v>1700</v>
      </c>
      <c r="G90" t="s">
        <v>1736</v>
      </c>
      <c r="H90" t="s">
        <v>1737</v>
      </c>
      <c r="I90">
        <v>1</v>
      </c>
      <c r="J90" s="8">
        <v>19.30986596720825</v>
      </c>
      <c r="K90" s="8">
        <v>61.863527533918592</v>
      </c>
      <c r="L90" s="8">
        <v>18.826606498873161</v>
      </c>
      <c r="M90" s="8">
        <v>1.6995221779438463</v>
      </c>
      <c r="N90" s="8">
        <v>0.59693412972989679</v>
      </c>
      <c r="O90" s="8">
        <v>28.783107605656976</v>
      </c>
      <c r="P90" s="8">
        <v>51.336335156771121</v>
      </c>
      <c r="Q90" s="8">
        <v>7.3759262522762938</v>
      </c>
      <c r="R90" s="8">
        <v>11.924123225580134</v>
      </c>
      <c r="S90" s="8">
        <v>2.032</v>
      </c>
      <c r="T90" s="8">
        <v>0.77500000000000002</v>
      </c>
      <c r="U90" s="8">
        <v>0.33200000000000002</v>
      </c>
      <c r="V90" s="8">
        <v>0.317</v>
      </c>
      <c r="W90" s="8">
        <v>1.7</v>
      </c>
      <c r="X90" s="8">
        <v>0.45800000000000002</v>
      </c>
      <c r="Y90" s="8">
        <v>3.393939393939386</v>
      </c>
      <c r="Z90" s="8">
        <v>2.4564183835182289</v>
      </c>
      <c r="AA90" s="8">
        <v>7.63</v>
      </c>
      <c r="AB90">
        <v>0.47299999999999998</v>
      </c>
      <c r="AC90" s="8">
        <v>4.3636363636363571</v>
      </c>
      <c r="AD90" s="8">
        <v>10.855784469096665</v>
      </c>
      <c r="AE90" s="8">
        <v>4.5999999999999999E-2</v>
      </c>
      <c r="AF90" s="8">
        <v>0.04</v>
      </c>
      <c r="AG90" s="8">
        <v>1.4057456703872377</v>
      </c>
      <c r="AH90" s="8">
        <v>44.173913043478265</v>
      </c>
      <c r="AI90" s="8">
        <v>16.847826086956523</v>
      </c>
      <c r="AJ90" t="s">
        <v>1694</v>
      </c>
      <c r="AK90" t="s">
        <v>1694</v>
      </c>
      <c r="AL90" t="s">
        <v>1702</v>
      </c>
      <c r="AM90" t="s">
        <v>1703</v>
      </c>
      <c r="AN90" t="s">
        <v>1702</v>
      </c>
      <c r="AO90" t="s">
        <v>1703</v>
      </c>
      <c r="AP90" t="s">
        <v>1702</v>
      </c>
      <c r="AQ90" t="s">
        <v>1725</v>
      </c>
      <c r="AR90" t="s">
        <v>1703</v>
      </c>
      <c r="AS90" t="s">
        <v>1702</v>
      </c>
      <c r="AT90" t="s">
        <v>1703</v>
      </c>
      <c r="AU90" t="s">
        <v>1704</v>
      </c>
      <c r="AV90" t="s">
        <v>1725</v>
      </c>
      <c r="AW90" t="s">
        <v>1703</v>
      </c>
      <c r="AX90" t="s">
        <v>1704</v>
      </c>
      <c r="AY90" t="s">
        <v>1705</v>
      </c>
      <c r="AZ90" t="s">
        <v>1703</v>
      </c>
      <c r="BA90" t="s">
        <v>1702</v>
      </c>
      <c r="BB90" t="s">
        <v>1704</v>
      </c>
      <c r="BC90" t="s">
        <v>1725</v>
      </c>
      <c r="BD90" t="s">
        <v>1703</v>
      </c>
      <c r="BE90" t="s">
        <v>1704</v>
      </c>
      <c r="BF90" t="s">
        <v>1705</v>
      </c>
      <c r="BG90">
        <v>5</v>
      </c>
      <c r="BH90" s="12" t="s">
        <v>1708</v>
      </c>
      <c r="BI90" t="b">
        <v>0</v>
      </c>
      <c r="BJ90">
        <f t="shared" si="1"/>
        <v>0</v>
      </c>
    </row>
    <row r="91" spans="1:62" x14ac:dyDescent="0.2">
      <c r="A91" s="5" t="s">
        <v>21</v>
      </c>
      <c r="B91" s="6">
        <v>40249</v>
      </c>
      <c r="C91" s="7">
        <v>33.381310999999997</v>
      </c>
      <c r="D91" s="7">
        <v>-111.726617</v>
      </c>
      <c r="E91" s="17">
        <v>387</v>
      </c>
      <c r="F91" t="s">
        <v>1706</v>
      </c>
      <c r="G91" t="s">
        <v>1724</v>
      </c>
      <c r="H91" t="s">
        <v>1724</v>
      </c>
      <c r="I91">
        <v>1</v>
      </c>
      <c r="J91" s="8">
        <v>21.020670253514943</v>
      </c>
      <c r="K91" s="8">
        <v>55.398573551222277</v>
      </c>
      <c r="L91" s="8">
        <v>23.580756195262779</v>
      </c>
      <c r="M91" s="8">
        <v>5.0000000000000001E-3</v>
      </c>
      <c r="N91" s="8">
        <v>5.0000000000000001E-3</v>
      </c>
      <c r="O91" s="8">
        <v>3.4077417996490658</v>
      </c>
      <c r="P91" s="8">
        <v>0.53744678029652793</v>
      </c>
      <c r="Q91" s="8">
        <v>10.161508900182962</v>
      </c>
      <c r="R91" s="8">
        <v>13.793057561753701</v>
      </c>
      <c r="S91" s="8">
        <v>1.554</v>
      </c>
      <c r="T91" s="8">
        <v>1.1559999999999999</v>
      </c>
      <c r="U91" s="8">
        <v>0.33800000000000002</v>
      </c>
      <c r="V91" s="8">
        <v>0.46200000000000002</v>
      </c>
      <c r="W91" s="8">
        <v>1.216</v>
      </c>
      <c r="X91" s="8">
        <v>0.69399999999999995</v>
      </c>
      <c r="Y91" s="8">
        <v>3.2017075773746075</v>
      </c>
      <c r="Z91" s="8">
        <v>2.439024390243909</v>
      </c>
      <c r="AA91" s="8">
        <v>8.4499999999999993</v>
      </c>
      <c r="AB91">
        <v>0.33</v>
      </c>
      <c r="AC91" s="8">
        <v>14.941302027748138</v>
      </c>
      <c r="AD91" s="8">
        <v>12.527716186252757</v>
      </c>
      <c r="AE91" s="8">
        <v>4.3999999999999997E-2</v>
      </c>
      <c r="AF91" s="8">
        <v>3.7999999999999999E-2</v>
      </c>
      <c r="AG91" s="8">
        <v>1.6988220602364297</v>
      </c>
      <c r="AH91" s="8">
        <v>35.31818181818182</v>
      </c>
      <c r="AI91" s="8">
        <v>26.272727272727273</v>
      </c>
      <c r="AJ91" t="s">
        <v>1694</v>
      </c>
      <c r="AK91" t="s">
        <v>1694</v>
      </c>
      <c r="AL91" t="s">
        <v>1702</v>
      </c>
      <c r="AM91" t="s">
        <v>1703</v>
      </c>
      <c r="AN91" t="s">
        <v>1702</v>
      </c>
      <c r="AO91" t="s">
        <v>1703</v>
      </c>
      <c r="AP91" t="s">
        <v>1702</v>
      </c>
      <c r="AQ91" t="s">
        <v>1725</v>
      </c>
      <c r="AR91" t="s">
        <v>1703</v>
      </c>
      <c r="AS91" t="s">
        <v>1702</v>
      </c>
      <c r="AT91" t="s">
        <v>1703</v>
      </c>
      <c r="AU91" t="s">
        <v>1704</v>
      </c>
      <c r="AV91" t="s">
        <v>1725</v>
      </c>
      <c r="AW91" t="s">
        <v>1703</v>
      </c>
      <c r="AX91" t="s">
        <v>1704</v>
      </c>
      <c r="AY91" t="s">
        <v>1705</v>
      </c>
      <c r="AZ91" t="s">
        <v>1703</v>
      </c>
      <c r="BA91" t="s">
        <v>1702</v>
      </c>
      <c r="BB91" t="s">
        <v>1704</v>
      </c>
      <c r="BC91" t="s">
        <v>1725</v>
      </c>
      <c r="BD91" t="s">
        <v>1703</v>
      </c>
      <c r="BE91" t="s">
        <v>1704</v>
      </c>
      <c r="BF91" t="s">
        <v>1705</v>
      </c>
      <c r="BG91">
        <v>10</v>
      </c>
      <c r="BH91" s="12" t="s">
        <v>1708</v>
      </c>
      <c r="BI91" t="b">
        <v>0</v>
      </c>
      <c r="BJ91">
        <f t="shared" si="1"/>
        <v>0</v>
      </c>
    </row>
    <row r="92" spans="1:62" x14ac:dyDescent="0.2">
      <c r="A92" s="5" t="s">
        <v>21</v>
      </c>
      <c r="B92" s="6">
        <v>42164</v>
      </c>
      <c r="C92" s="7">
        <v>33.381310999999997</v>
      </c>
      <c r="D92" s="7">
        <v>-111.726617</v>
      </c>
      <c r="E92" s="17">
        <v>387</v>
      </c>
      <c r="F92" t="s">
        <v>1706</v>
      </c>
      <c r="G92" t="s">
        <v>1728</v>
      </c>
      <c r="H92" t="s">
        <v>1728</v>
      </c>
      <c r="I92">
        <v>1</v>
      </c>
      <c r="J92">
        <v>14.046631474437</v>
      </c>
      <c r="K92">
        <v>64.999311010059202</v>
      </c>
      <c r="L92">
        <v>20.954057515503699</v>
      </c>
      <c r="M92">
        <v>1.55069750124661</v>
      </c>
      <c r="N92" t="s">
        <v>1697</v>
      </c>
      <c r="O92">
        <v>30.261184247627899</v>
      </c>
      <c r="P92" t="s">
        <v>1697</v>
      </c>
      <c r="Q92">
        <v>2.1662201043610798</v>
      </c>
      <c r="R92" t="s">
        <v>1697</v>
      </c>
      <c r="S92">
        <v>0.90500000000000003</v>
      </c>
      <c r="T92" t="s">
        <v>1697</v>
      </c>
      <c r="U92">
        <v>0.28899999999999998</v>
      </c>
      <c r="V92" t="s">
        <v>1697</v>
      </c>
      <c r="W92">
        <v>0.61599999999999999</v>
      </c>
      <c r="X92" t="s">
        <v>1697</v>
      </c>
      <c r="Y92">
        <v>1.86170212765957</v>
      </c>
      <c r="Z92" t="s">
        <v>1697</v>
      </c>
      <c r="AA92">
        <v>8.1999999999999993</v>
      </c>
      <c r="AB92">
        <v>0.36499999999999999</v>
      </c>
      <c r="AC92">
        <v>9.9047619047618998</v>
      </c>
      <c r="AD92" t="s">
        <v>1697</v>
      </c>
      <c r="AE92">
        <v>5.2999999999999999E-2</v>
      </c>
      <c r="AF92" t="s">
        <v>1697</v>
      </c>
      <c r="AG92">
        <v>1.2110858986584259</v>
      </c>
      <c r="AH92">
        <v>17.075471698113201</v>
      </c>
      <c r="AI92" t="s">
        <v>1697</v>
      </c>
      <c r="AJ92" t="s">
        <v>1694</v>
      </c>
      <c r="AK92" t="s">
        <v>1694</v>
      </c>
      <c r="AL92" t="s">
        <v>1702</v>
      </c>
      <c r="AM92" t="s">
        <v>1703</v>
      </c>
      <c r="AN92" t="s">
        <v>1702</v>
      </c>
      <c r="AO92" t="s">
        <v>1703</v>
      </c>
      <c r="AP92" t="s">
        <v>1702</v>
      </c>
      <c r="AQ92" t="s">
        <v>1725</v>
      </c>
      <c r="AR92" t="s">
        <v>1703</v>
      </c>
      <c r="AS92" t="s">
        <v>1702</v>
      </c>
      <c r="AT92" t="s">
        <v>1703</v>
      </c>
      <c r="AU92" t="s">
        <v>1704</v>
      </c>
      <c r="AV92" t="s">
        <v>1725</v>
      </c>
      <c r="AW92" t="s">
        <v>1703</v>
      </c>
      <c r="AX92" t="s">
        <v>1704</v>
      </c>
      <c r="AY92" t="s">
        <v>1705</v>
      </c>
      <c r="AZ92" t="s">
        <v>1703</v>
      </c>
      <c r="BA92" t="s">
        <v>1702</v>
      </c>
      <c r="BB92" t="s">
        <v>1704</v>
      </c>
      <c r="BC92" t="s">
        <v>1725</v>
      </c>
      <c r="BD92" t="s">
        <v>1703</v>
      </c>
      <c r="BE92" t="s">
        <v>1704</v>
      </c>
      <c r="BF92" t="s">
        <v>1705</v>
      </c>
      <c r="BG92">
        <v>10</v>
      </c>
      <c r="BH92" s="12" t="s">
        <v>1708</v>
      </c>
      <c r="BI92" t="b">
        <v>0</v>
      </c>
      <c r="BJ92">
        <f t="shared" si="1"/>
        <v>0</v>
      </c>
    </row>
    <row r="93" spans="1:62" x14ac:dyDescent="0.2">
      <c r="A93" s="5" t="s">
        <v>21</v>
      </c>
      <c r="B93" s="6">
        <v>45078</v>
      </c>
      <c r="C93" s="7">
        <v>33.381310999999997</v>
      </c>
      <c r="D93" s="7">
        <v>-111.726617</v>
      </c>
      <c r="E93" s="17">
        <v>387</v>
      </c>
      <c r="F93" t="s">
        <v>1706</v>
      </c>
      <c r="G93" t="s">
        <v>1728</v>
      </c>
      <c r="H93" t="s">
        <v>1728</v>
      </c>
      <c r="I93">
        <v>1</v>
      </c>
      <c r="J93" t="s">
        <v>1697</v>
      </c>
      <c r="K93" t="s">
        <v>1697</v>
      </c>
      <c r="L93" t="s">
        <v>1697</v>
      </c>
      <c r="M93" t="s">
        <v>1697</v>
      </c>
      <c r="N93" t="s">
        <v>1697</v>
      </c>
      <c r="O93" t="s">
        <v>1697</v>
      </c>
      <c r="P93" t="s">
        <v>1697</v>
      </c>
      <c r="Q93" t="s">
        <v>1697</v>
      </c>
      <c r="R93" t="s">
        <v>1697</v>
      </c>
      <c r="S93" t="s">
        <v>1697</v>
      </c>
      <c r="T93" t="s">
        <v>1697</v>
      </c>
      <c r="U93" t="s">
        <v>1697</v>
      </c>
      <c r="V93" t="s">
        <v>1697</v>
      </c>
      <c r="W93" t="s">
        <v>1697</v>
      </c>
      <c r="X93" t="s">
        <v>1697</v>
      </c>
      <c r="Y93" t="s">
        <v>1697</v>
      </c>
      <c r="Z93" t="s">
        <v>1697</v>
      </c>
      <c r="AA93" t="s">
        <v>1697</v>
      </c>
      <c r="AB93" t="s">
        <v>1697</v>
      </c>
      <c r="AC93" t="s">
        <v>1697</v>
      </c>
      <c r="AD93" t="s">
        <v>1697</v>
      </c>
      <c r="AE93" t="s">
        <v>1697</v>
      </c>
      <c r="AF93" t="s">
        <v>1697</v>
      </c>
      <c r="AG93" t="s">
        <v>1697</v>
      </c>
      <c r="AH93" t="s">
        <v>1697</v>
      </c>
      <c r="AI93" t="s">
        <v>1697</v>
      </c>
      <c r="AJ93" t="s">
        <v>1694</v>
      </c>
      <c r="AK93" t="s">
        <v>1694</v>
      </c>
      <c r="AL93" t="s">
        <v>1702</v>
      </c>
      <c r="AM93" t="s">
        <v>1703</v>
      </c>
      <c r="AN93" t="s">
        <v>1702</v>
      </c>
      <c r="AO93" t="s">
        <v>1703</v>
      </c>
      <c r="AP93" t="s">
        <v>1702</v>
      </c>
      <c r="AQ93" t="s">
        <v>1725</v>
      </c>
      <c r="AR93" t="s">
        <v>1703</v>
      </c>
      <c r="AS93" t="s">
        <v>1702</v>
      </c>
      <c r="AT93" t="s">
        <v>1703</v>
      </c>
      <c r="AU93" t="s">
        <v>1704</v>
      </c>
      <c r="AV93" t="s">
        <v>1725</v>
      </c>
      <c r="AW93" t="s">
        <v>1703</v>
      </c>
      <c r="AX93" t="s">
        <v>1704</v>
      </c>
      <c r="AY93" t="s">
        <v>1705</v>
      </c>
      <c r="AZ93" t="s">
        <v>1703</v>
      </c>
      <c r="BA93" t="s">
        <v>1702</v>
      </c>
      <c r="BB93" t="s">
        <v>1704</v>
      </c>
      <c r="BC93" t="s">
        <v>1725</v>
      </c>
      <c r="BD93" t="s">
        <v>1703</v>
      </c>
      <c r="BE93" t="s">
        <v>1704</v>
      </c>
      <c r="BF93" t="s">
        <v>1705</v>
      </c>
      <c r="BG93" s="6" t="s">
        <v>1697</v>
      </c>
      <c r="BH93" s="6" t="s">
        <v>1697</v>
      </c>
      <c r="BI93" t="b">
        <v>0</v>
      </c>
      <c r="BJ93">
        <f t="shared" si="1"/>
        <v>0</v>
      </c>
    </row>
    <row r="94" spans="1:62" x14ac:dyDescent="0.2">
      <c r="A94" s="5" t="s">
        <v>22</v>
      </c>
      <c r="B94" s="6">
        <v>40270</v>
      </c>
      <c r="C94" s="7">
        <v>33.342328000000002</v>
      </c>
      <c r="D94" s="7">
        <v>-111.72198299999999</v>
      </c>
      <c r="E94" s="17">
        <v>391</v>
      </c>
      <c r="F94" t="s">
        <v>1703</v>
      </c>
      <c r="G94" t="s">
        <v>1738</v>
      </c>
      <c r="H94" t="s">
        <v>1720</v>
      </c>
      <c r="I94">
        <v>0</v>
      </c>
      <c r="J94" s="8">
        <v>32.415604394207342</v>
      </c>
      <c r="K94" s="8">
        <v>45.041206102031765</v>
      </c>
      <c r="L94" s="8">
        <v>22.543189503760885</v>
      </c>
      <c r="M94" s="8">
        <v>13.84854042038824</v>
      </c>
      <c r="N94" s="8">
        <v>3.7435863542744383</v>
      </c>
      <c r="O94" s="8">
        <v>440.6353770123531</v>
      </c>
      <c r="P94" s="8">
        <v>777.94930535929745</v>
      </c>
      <c r="Q94" s="8">
        <v>187.84292395914787</v>
      </c>
      <c r="R94" s="8">
        <v>42.493504730812873</v>
      </c>
      <c r="S94" s="8">
        <v>1.151</v>
      </c>
      <c r="T94" s="8">
        <v>0.48699999999999999</v>
      </c>
      <c r="U94" s="8">
        <v>0.23200000000000001</v>
      </c>
      <c r="V94" s="8">
        <v>0.24299999999999999</v>
      </c>
      <c r="W94" s="8">
        <v>0.91900000000000004</v>
      </c>
      <c r="X94" s="8">
        <v>0.24399999999999999</v>
      </c>
      <c r="Y94" s="8">
        <v>4.2833607907742959</v>
      </c>
      <c r="Z94" s="8">
        <v>3.8461538461538458</v>
      </c>
      <c r="AA94" s="8">
        <v>7.91</v>
      </c>
      <c r="AB94">
        <v>4.83</v>
      </c>
      <c r="AC94" s="8">
        <v>6.2602965403624218</v>
      </c>
      <c r="AD94" s="8">
        <v>10.439560439560429</v>
      </c>
      <c r="AE94" s="8">
        <v>0.107</v>
      </c>
      <c r="AF94" s="8">
        <v>8.5999999999999993E-2</v>
      </c>
      <c r="AG94" s="8">
        <v>1.6645095742082257</v>
      </c>
      <c r="AH94" s="8">
        <v>10.757009345794392</v>
      </c>
      <c r="AI94" s="8">
        <v>4.5514018691588785</v>
      </c>
      <c r="AJ94" t="s">
        <v>1694</v>
      </c>
      <c r="AK94" t="s">
        <v>1694</v>
      </c>
      <c r="AL94" t="s">
        <v>1702</v>
      </c>
      <c r="AM94" t="s">
        <v>1703</v>
      </c>
      <c r="AN94" t="s">
        <v>1702</v>
      </c>
      <c r="AO94" t="s">
        <v>1703</v>
      </c>
      <c r="AP94" t="s">
        <v>1702</v>
      </c>
      <c r="AQ94" t="s">
        <v>1725</v>
      </c>
      <c r="AR94" t="s">
        <v>1703</v>
      </c>
      <c r="AS94" t="s">
        <v>1702</v>
      </c>
      <c r="AT94" t="s">
        <v>1703</v>
      </c>
      <c r="AU94" t="s">
        <v>1706</v>
      </c>
      <c r="AV94" t="s">
        <v>1735</v>
      </c>
      <c r="AW94" t="s">
        <v>1706</v>
      </c>
      <c r="AX94" t="s">
        <v>1706</v>
      </c>
      <c r="AY94" t="s">
        <v>1735</v>
      </c>
      <c r="AZ94" t="s">
        <v>1706</v>
      </c>
      <c r="BA94" t="s">
        <v>1702</v>
      </c>
      <c r="BB94" t="s">
        <v>1706</v>
      </c>
      <c r="BC94" t="s">
        <v>1735</v>
      </c>
      <c r="BD94" t="s">
        <v>1706</v>
      </c>
      <c r="BE94" t="s">
        <v>1706</v>
      </c>
      <c r="BF94" t="s">
        <v>1735</v>
      </c>
      <c r="BG94">
        <v>20</v>
      </c>
      <c r="BH94" s="12" t="s">
        <v>1708</v>
      </c>
      <c r="BI94" t="b">
        <v>0</v>
      </c>
      <c r="BJ94">
        <f t="shared" si="1"/>
        <v>0</v>
      </c>
    </row>
    <row r="95" spans="1:62" x14ac:dyDescent="0.2">
      <c r="A95" s="5" t="s">
        <v>22</v>
      </c>
      <c r="B95" s="6">
        <v>42178</v>
      </c>
      <c r="C95" s="7">
        <v>33.342328000000002</v>
      </c>
      <c r="D95" s="7">
        <v>-111.72198299999999</v>
      </c>
      <c r="E95" s="17">
        <v>391</v>
      </c>
      <c r="F95" t="s">
        <v>1700</v>
      </c>
      <c r="G95" t="s">
        <v>1736</v>
      </c>
      <c r="H95" t="s">
        <v>1737</v>
      </c>
      <c r="I95">
        <v>1</v>
      </c>
      <c r="J95">
        <v>35.931513427326699</v>
      </c>
      <c r="K95">
        <v>42.537904899169298</v>
      </c>
      <c r="L95">
        <v>21.5305816735039</v>
      </c>
      <c r="M95">
        <v>14.058967803327199</v>
      </c>
      <c r="N95" t="s">
        <v>1697</v>
      </c>
      <c r="O95">
        <v>212.686948819566</v>
      </c>
      <c r="P95" t="s">
        <v>1697</v>
      </c>
      <c r="Q95">
        <v>18.1755975140026</v>
      </c>
      <c r="R95" t="s">
        <v>1697</v>
      </c>
      <c r="S95">
        <v>0.89900000000000002</v>
      </c>
      <c r="T95" t="s">
        <v>1697</v>
      </c>
      <c r="U95">
        <v>0.19</v>
      </c>
      <c r="V95" t="s">
        <v>1697</v>
      </c>
      <c r="W95">
        <v>0.70899999999999996</v>
      </c>
      <c r="X95" t="s">
        <v>1697</v>
      </c>
      <c r="Y95">
        <v>2.9113924050633</v>
      </c>
      <c r="Z95" t="s">
        <v>1697</v>
      </c>
      <c r="AA95">
        <v>8.1300000000000008</v>
      </c>
      <c r="AB95">
        <v>2.34</v>
      </c>
      <c r="AC95">
        <v>6.5255731922398397</v>
      </c>
      <c r="AD95" t="s">
        <v>1697</v>
      </c>
      <c r="AE95">
        <v>0.107</v>
      </c>
      <c r="AF95" t="s">
        <v>1697</v>
      </c>
      <c r="AG95">
        <v>0.94136169125676861</v>
      </c>
      <c r="AH95">
        <v>8.4018691588784993</v>
      </c>
      <c r="AI95" t="s">
        <v>1697</v>
      </c>
      <c r="AJ95" t="s">
        <v>1694</v>
      </c>
      <c r="AK95" t="s">
        <v>1694</v>
      </c>
      <c r="AL95" t="s">
        <v>1702</v>
      </c>
      <c r="AM95" t="s">
        <v>1703</v>
      </c>
      <c r="AN95" t="s">
        <v>1702</v>
      </c>
      <c r="AO95" t="s">
        <v>1703</v>
      </c>
      <c r="AP95" t="s">
        <v>1702</v>
      </c>
      <c r="AQ95" t="s">
        <v>1725</v>
      </c>
      <c r="AR95" t="s">
        <v>1703</v>
      </c>
      <c r="AS95" t="s">
        <v>1702</v>
      </c>
      <c r="AT95" t="s">
        <v>1703</v>
      </c>
      <c r="AU95" t="s">
        <v>1706</v>
      </c>
      <c r="AV95" t="s">
        <v>1735</v>
      </c>
      <c r="AW95" t="s">
        <v>1706</v>
      </c>
      <c r="AX95" t="s">
        <v>1706</v>
      </c>
      <c r="AY95" t="s">
        <v>1735</v>
      </c>
      <c r="AZ95" t="s">
        <v>1706</v>
      </c>
      <c r="BA95" t="s">
        <v>1702</v>
      </c>
      <c r="BB95" t="s">
        <v>1706</v>
      </c>
      <c r="BC95" t="s">
        <v>1735</v>
      </c>
      <c r="BD95" t="s">
        <v>1706</v>
      </c>
      <c r="BE95" t="s">
        <v>1706</v>
      </c>
      <c r="BF95" t="s">
        <v>1735</v>
      </c>
      <c r="BG95">
        <v>5</v>
      </c>
      <c r="BH95" s="12" t="s">
        <v>1708</v>
      </c>
      <c r="BI95" t="b">
        <v>0</v>
      </c>
      <c r="BJ95">
        <f t="shared" si="1"/>
        <v>0</v>
      </c>
    </row>
    <row r="96" spans="1:62" x14ac:dyDescent="0.2">
      <c r="A96" s="5" t="s">
        <v>22</v>
      </c>
      <c r="B96" s="6">
        <v>45078</v>
      </c>
      <c r="C96" s="7">
        <v>33.342328000000002</v>
      </c>
      <c r="D96" s="7">
        <v>-111.72198299999999</v>
      </c>
      <c r="E96" s="17">
        <v>391</v>
      </c>
      <c r="F96" t="s">
        <v>1706</v>
      </c>
      <c r="G96" t="s">
        <v>1697</v>
      </c>
      <c r="H96" t="s">
        <v>1697</v>
      </c>
      <c r="I96">
        <v>1</v>
      </c>
      <c r="J96" t="s">
        <v>1697</v>
      </c>
      <c r="K96" t="s">
        <v>1697</v>
      </c>
      <c r="L96" t="s">
        <v>1697</v>
      </c>
      <c r="M96" t="s">
        <v>1697</v>
      </c>
      <c r="N96" t="s">
        <v>1697</v>
      </c>
      <c r="O96" t="s">
        <v>1697</v>
      </c>
      <c r="P96" t="s">
        <v>1697</v>
      </c>
      <c r="Q96" t="s">
        <v>1697</v>
      </c>
      <c r="R96" t="s">
        <v>1697</v>
      </c>
      <c r="S96" t="s">
        <v>1697</v>
      </c>
      <c r="T96" t="s">
        <v>1697</v>
      </c>
      <c r="U96" t="s">
        <v>1697</v>
      </c>
      <c r="V96" t="s">
        <v>1697</v>
      </c>
      <c r="W96" t="s">
        <v>1697</v>
      </c>
      <c r="X96" t="s">
        <v>1697</v>
      </c>
      <c r="Y96" t="s">
        <v>1697</v>
      </c>
      <c r="Z96" t="s">
        <v>1697</v>
      </c>
      <c r="AA96" t="s">
        <v>1697</v>
      </c>
      <c r="AB96" t="s">
        <v>1697</v>
      </c>
      <c r="AC96" t="s">
        <v>1697</v>
      </c>
      <c r="AD96" t="s">
        <v>1697</v>
      </c>
      <c r="AE96" t="s">
        <v>1697</v>
      </c>
      <c r="AF96" t="s">
        <v>1697</v>
      </c>
      <c r="AG96" t="s">
        <v>1697</v>
      </c>
      <c r="AH96" t="s">
        <v>1697</v>
      </c>
      <c r="AI96" t="s">
        <v>1697</v>
      </c>
      <c r="AJ96" t="s">
        <v>1694</v>
      </c>
      <c r="AK96" t="s">
        <v>1694</v>
      </c>
      <c r="AL96" t="s">
        <v>1702</v>
      </c>
      <c r="AM96" t="s">
        <v>1703</v>
      </c>
      <c r="AN96" t="s">
        <v>1702</v>
      </c>
      <c r="AO96" t="s">
        <v>1703</v>
      </c>
      <c r="AP96" t="s">
        <v>1702</v>
      </c>
      <c r="AQ96" t="s">
        <v>1725</v>
      </c>
      <c r="AR96" t="s">
        <v>1703</v>
      </c>
      <c r="AS96" t="s">
        <v>1702</v>
      </c>
      <c r="AT96" t="s">
        <v>1703</v>
      </c>
      <c r="AU96" t="s">
        <v>1706</v>
      </c>
      <c r="AV96" t="s">
        <v>1735</v>
      </c>
      <c r="AW96" t="s">
        <v>1706</v>
      </c>
      <c r="AX96" t="s">
        <v>1706</v>
      </c>
      <c r="AY96" t="s">
        <v>1735</v>
      </c>
      <c r="AZ96" t="s">
        <v>1706</v>
      </c>
      <c r="BA96" t="s">
        <v>1702</v>
      </c>
      <c r="BB96" t="s">
        <v>1706</v>
      </c>
      <c r="BC96" t="s">
        <v>1735</v>
      </c>
      <c r="BD96" t="s">
        <v>1706</v>
      </c>
      <c r="BE96" t="s">
        <v>1706</v>
      </c>
      <c r="BF96" t="s">
        <v>1735</v>
      </c>
      <c r="BG96" s="6" t="s">
        <v>1697</v>
      </c>
      <c r="BH96" s="6" t="s">
        <v>1697</v>
      </c>
      <c r="BI96" t="b">
        <v>0</v>
      </c>
      <c r="BJ96">
        <f t="shared" si="1"/>
        <v>0</v>
      </c>
    </row>
    <row r="97" spans="1:62" x14ac:dyDescent="0.2">
      <c r="A97" s="5" t="s">
        <v>23</v>
      </c>
      <c r="B97" s="6">
        <v>38491</v>
      </c>
      <c r="C97" s="7">
        <v>33.303856000000003</v>
      </c>
      <c r="D97" s="7">
        <v>-111.745694</v>
      </c>
      <c r="E97" s="17">
        <v>389</v>
      </c>
      <c r="F97" t="s">
        <v>1703</v>
      </c>
      <c r="G97" t="s">
        <v>1730</v>
      </c>
      <c r="H97" t="s">
        <v>1705</v>
      </c>
      <c r="I97">
        <v>0</v>
      </c>
      <c r="J97" s="8">
        <v>22.957084292932457</v>
      </c>
      <c r="K97" s="8">
        <v>48.582045552253049</v>
      </c>
      <c r="L97" s="8">
        <v>28.460870154814501</v>
      </c>
      <c r="M97" s="8">
        <v>2.6233601556492721</v>
      </c>
      <c r="N97" s="8">
        <v>1.1394561065397737</v>
      </c>
      <c r="O97" s="8">
        <v>23.134376070283814</v>
      </c>
      <c r="P97" s="8">
        <v>61.597656582944232</v>
      </c>
      <c r="Q97" s="8">
        <v>15.783077170603928</v>
      </c>
      <c r="R97" s="8">
        <v>24.698348336152588</v>
      </c>
      <c r="S97" s="8">
        <v>0.88600000000000001</v>
      </c>
      <c r="T97" s="8">
        <v>0.82399999999999995</v>
      </c>
      <c r="U97" s="8">
        <v>0.20599999999999999</v>
      </c>
      <c r="V97" s="8">
        <v>0.33400000000000002</v>
      </c>
      <c r="W97" s="8">
        <v>0.68</v>
      </c>
      <c r="X97" s="8">
        <v>0.48999999999999994</v>
      </c>
      <c r="Y97" s="8">
        <v>3.6269430051813614</v>
      </c>
      <c r="Z97" s="8">
        <v>2.0134228187919425</v>
      </c>
      <c r="AA97" s="8">
        <v>8.23</v>
      </c>
      <c r="AB97">
        <v>0.39100000000000001</v>
      </c>
      <c r="AC97" s="8">
        <v>3.6269430051813387</v>
      </c>
      <c r="AD97" s="8">
        <v>8.2774049217002243</v>
      </c>
      <c r="AE97" s="8">
        <v>7.4999999999999997E-2</v>
      </c>
      <c r="AF97" s="8">
        <v>7.8E-2</v>
      </c>
      <c r="AG97" s="8">
        <v>1.217414272714318</v>
      </c>
      <c r="AH97" s="8">
        <v>11.813333333333334</v>
      </c>
      <c r="AI97" s="8">
        <v>10.986666666666666</v>
      </c>
      <c r="AJ97" t="s">
        <v>1694</v>
      </c>
      <c r="AK97" t="s">
        <v>1694</v>
      </c>
      <c r="AL97" t="s">
        <v>1702</v>
      </c>
      <c r="AM97" t="s">
        <v>1703</v>
      </c>
      <c r="AN97" t="s">
        <v>1702</v>
      </c>
      <c r="AO97" t="s">
        <v>1703</v>
      </c>
      <c r="AP97" t="s">
        <v>1702</v>
      </c>
      <c r="AQ97" t="s">
        <v>1725</v>
      </c>
      <c r="AR97" t="s">
        <v>1703</v>
      </c>
      <c r="AS97" t="s">
        <v>1702</v>
      </c>
      <c r="AT97" t="s">
        <v>1703</v>
      </c>
      <c r="AU97" t="s">
        <v>1704</v>
      </c>
      <c r="AV97" t="s">
        <v>1725</v>
      </c>
      <c r="AW97" t="s">
        <v>1703</v>
      </c>
      <c r="AX97" t="s">
        <v>1704</v>
      </c>
      <c r="AY97" t="s">
        <v>1705</v>
      </c>
      <c r="AZ97" t="s">
        <v>1703</v>
      </c>
      <c r="BA97" t="s">
        <v>1702</v>
      </c>
      <c r="BB97" t="s">
        <v>1704</v>
      </c>
      <c r="BC97" t="s">
        <v>1705</v>
      </c>
      <c r="BD97" t="s">
        <v>1703</v>
      </c>
      <c r="BE97" t="s">
        <v>1704</v>
      </c>
      <c r="BF97" t="s">
        <v>1705</v>
      </c>
      <c r="BG97">
        <v>93</v>
      </c>
      <c r="BH97" s="12" t="s">
        <v>1713</v>
      </c>
      <c r="BI97" t="b">
        <v>0</v>
      </c>
      <c r="BJ97">
        <f t="shared" si="1"/>
        <v>0</v>
      </c>
    </row>
    <row r="98" spans="1:62" x14ac:dyDescent="0.2">
      <c r="A98" s="5" t="s">
        <v>23</v>
      </c>
      <c r="B98" s="6">
        <v>40259</v>
      </c>
      <c r="C98" s="7">
        <v>33.303856000000003</v>
      </c>
      <c r="D98" s="7">
        <v>-111.745694</v>
      </c>
      <c r="E98" s="17">
        <v>389</v>
      </c>
      <c r="F98" t="s">
        <v>1700</v>
      </c>
      <c r="G98" t="s">
        <v>1736</v>
      </c>
      <c r="H98" t="s">
        <v>1737</v>
      </c>
      <c r="I98">
        <v>1</v>
      </c>
      <c r="J98" s="8" t="s">
        <v>1697</v>
      </c>
      <c r="K98" s="8" t="s">
        <v>1697</v>
      </c>
      <c r="L98" s="8" t="s">
        <v>1697</v>
      </c>
      <c r="M98" s="8">
        <v>3.0884092262524607</v>
      </c>
      <c r="N98" s="8">
        <v>3.2795630439675634</v>
      </c>
      <c r="O98" s="8">
        <v>107.3511228376524</v>
      </c>
      <c r="P98" s="8">
        <v>151.93924988507951</v>
      </c>
      <c r="Q98" s="8">
        <v>37.369618573922502</v>
      </c>
      <c r="R98" s="8">
        <v>48.427043390231837</v>
      </c>
      <c r="S98" s="8">
        <v>0.42799999999999999</v>
      </c>
      <c r="T98" s="8">
        <v>1.464</v>
      </c>
      <c r="U98" s="8">
        <v>0.18</v>
      </c>
      <c r="V98" s="8">
        <v>0.18</v>
      </c>
      <c r="W98" s="8">
        <v>0.248</v>
      </c>
      <c r="X98" s="8">
        <v>1.284</v>
      </c>
      <c r="Y98" s="8">
        <v>2.80474649406688</v>
      </c>
      <c r="Z98" s="8">
        <v>3.6809815950920366</v>
      </c>
      <c r="AA98" s="8">
        <v>8.07</v>
      </c>
      <c r="AB98">
        <v>0.93600000000000005</v>
      </c>
      <c r="AC98" s="8">
        <v>4.4228694714131631</v>
      </c>
      <c r="AD98" s="8">
        <v>5.8282208588956896</v>
      </c>
      <c r="AE98" s="8">
        <v>5.8000000000000003E-2</v>
      </c>
      <c r="AF98" s="8">
        <v>8.2000000000000003E-2</v>
      </c>
      <c r="AG98" s="8">
        <v>1.5615790115101265</v>
      </c>
      <c r="AH98" s="8">
        <v>7.3793103448275854</v>
      </c>
      <c r="AI98" s="8">
        <v>25.241379310344826</v>
      </c>
      <c r="AJ98" t="s">
        <v>1694</v>
      </c>
      <c r="AK98" t="s">
        <v>1694</v>
      </c>
      <c r="AL98" t="s">
        <v>1702</v>
      </c>
      <c r="AM98" t="s">
        <v>1703</v>
      </c>
      <c r="AN98" t="s">
        <v>1702</v>
      </c>
      <c r="AO98" t="s">
        <v>1703</v>
      </c>
      <c r="AP98" t="s">
        <v>1702</v>
      </c>
      <c r="AQ98" t="s">
        <v>1725</v>
      </c>
      <c r="AR98" t="s">
        <v>1703</v>
      </c>
      <c r="AS98" t="s">
        <v>1702</v>
      </c>
      <c r="AT98" t="s">
        <v>1703</v>
      </c>
      <c r="AU98" t="s">
        <v>1704</v>
      </c>
      <c r="AV98" t="s">
        <v>1725</v>
      </c>
      <c r="AW98" t="s">
        <v>1703</v>
      </c>
      <c r="AX98" t="s">
        <v>1704</v>
      </c>
      <c r="AY98" t="s">
        <v>1705</v>
      </c>
      <c r="AZ98" t="s">
        <v>1703</v>
      </c>
      <c r="BA98" t="s">
        <v>1702</v>
      </c>
      <c r="BB98" t="s">
        <v>1704</v>
      </c>
      <c r="BC98" t="s">
        <v>1705</v>
      </c>
      <c r="BD98" t="s">
        <v>1703</v>
      </c>
      <c r="BE98" t="s">
        <v>1704</v>
      </c>
      <c r="BF98" t="s">
        <v>1705</v>
      </c>
      <c r="BG98">
        <v>5</v>
      </c>
      <c r="BH98" s="12" t="s">
        <v>1708</v>
      </c>
      <c r="BI98" t="b">
        <v>0</v>
      </c>
      <c r="BJ98">
        <f t="shared" si="1"/>
        <v>0</v>
      </c>
    </row>
    <row r="99" spans="1:62" x14ac:dyDescent="0.2">
      <c r="A99" s="5" t="s">
        <v>23</v>
      </c>
      <c r="B99" s="6">
        <v>42066</v>
      </c>
      <c r="C99" s="7">
        <v>33.303856000000003</v>
      </c>
      <c r="D99" s="7">
        <v>-111.745694</v>
      </c>
      <c r="E99" s="17">
        <v>389</v>
      </c>
      <c r="F99" t="s">
        <v>1697</v>
      </c>
      <c r="G99" t="s">
        <v>1697</v>
      </c>
      <c r="H99" t="s">
        <v>1697</v>
      </c>
      <c r="I99" t="s">
        <v>1697</v>
      </c>
      <c r="J99">
        <v>12.716388029759401</v>
      </c>
      <c r="K99">
        <v>62.731650708874398</v>
      </c>
      <c r="L99">
        <v>24.551961261366198</v>
      </c>
      <c r="M99">
        <v>13.3497565486573</v>
      </c>
      <c r="N99">
        <v>36.7865403748795</v>
      </c>
      <c r="O99">
        <v>208.17276618062499</v>
      </c>
      <c r="P99">
        <v>671.40461667812895</v>
      </c>
      <c r="Q99">
        <v>7.6271278991740203</v>
      </c>
      <c r="R99">
        <v>8.8956730799098196</v>
      </c>
      <c r="S99">
        <v>0.55900000000000005</v>
      </c>
      <c r="T99">
        <v>0.77600000000000002</v>
      </c>
      <c r="U99">
        <v>0.48299999999999998</v>
      </c>
      <c r="V99">
        <v>0.2</v>
      </c>
      <c r="W99">
        <v>7.6000000000000095E-2</v>
      </c>
      <c r="X99">
        <v>0.57599999999999996</v>
      </c>
      <c r="Y99">
        <v>1.58227848101266</v>
      </c>
      <c r="Z99">
        <v>1.76767676767676</v>
      </c>
      <c r="AA99">
        <v>8.32</v>
      </c>
      <c r="AB99">
        <v>0.27200000000000002</v>
      </c>
      <c r="AC99">
        <v>3.5961272475795298</v>
      </c>
      <c r="AD99">
        <v>3.6842105263158</v>
      </c>
      <c r="AE99">
        <v>0.246</v>
      </c>
      <c r="AF99">
        <v>0.114</v>
      </c>
      <c r="AG99">
        <v>1.6257577000836714</v>
      </c>
      <c r="AH99">
        <v>2.2723577235772399</v>
      </c>
      <c r="AI99">
        <v>6.8070175438596499</v>
      </c>
      <c r="AJ99" t="s">
        <v>1694</v>
      </c>
      <c r="AK99" t="s">
        <v>1694</v>
      </c>
      <c r="AL99" t="s">
        <v>1702</v>
      </c>
      <c r="AM99" t="s">
        <v>1703</v>
      </c>
      <c r="AN99" t="s">
        <v>1702</v>
      </c>
      <c r="AO99" t="s">
        <v>1703</v>
      </c>
      <c r="AP99" t="s">
        <v>1702</v>
      </c>
      <c r="AQ99" t="s">
        <v>1725</v>
      </c>
      <c r="AR99" t="s">
        <v>1703</v>
      </c>
      <c r="AS99" t="s">
        <v>1702</v>
      </c>
      <c r="AT99" t="s">
        <v>1703</v>
      </c>
      <c r="AU99" t="s">
        <v>1704</v>
      </c>
      <c r="AV99" t="s">
        <v>1725</v>
      </c>
      <c r="AW99" t="s">
        <v>1703</v>
      </c>
      <c r="AX99" t="s">
        <v>1704</v>
      </c>
      <c r="AY99" t="s">
        <v>1705</v>
      </c>
      <c r="AZ99" t="s">
        <v>1703</v>
      </c>
      <c r="BA99" t="s">
        <v>1702</v>
      </c>
      <c r="BB99" t="s">
        <v>1704</v>
      </c>
      <c r="BC99" t="s">
        <v>1705</v>
      </c>
      <c r="BD99" t="s">
        <v>1703</v>
      </c>
      <c r="BE99" t="s">
        <v>1704</v>
      </c>
      <c r="BF99" t="s">
        <v>1705</v>
      </c>
      <c r="BG99">
        <v>10</v>
      </c>
      <c r="BH99" t="s">
        <v>1708</v>
      </c>
      <c r="BI99" t="b">
        <v>0</v>
      </c>
      <c r="BJ99">
        <f t="shared" si="1"/>
        <v>0</v>
      </c>
    </row>
    <row r="100" spans="1:62" x14ac:dyDescent="0.2">
      <c r="A100" s="5" t="s">
        <v>23</v>
      </c>
      <c r="B100" s="6">
        <v>45063</v>
      </c>
      <c r="C100" s="7">
        <v>33.303856000000003</v>
      </c>
      <c r="D100" s="7">
        <v>-111.745694</v>
      </c>
      <c r="E100" s="17">
        <v>389</v>
      </c>
      <c r="F100" t="s">
        <v>1711</v>
      </c>
      <c r="G100" t="s">
        <v>1711</v>
      </c>
      <c r="H100" t="s">
        <v>1711</v>
      </c>
      <c r="I100">
        <v>1</v>
      </c>
      <c r="J100" t="s">
        <v>1697</v>
      </c>
      <c r="K100" t="s">
        <v>1697</v>
      </c>
      <c r="L100" t="s">
        <v>1697</v>
      </c>
      <c r="M100" t="s">
        <v>1697</v>
      </c>
      <c r="N100" t="s">
        <v>1697</v>
      </c>
      <c r="O100" t="s">
        <v>1697</v>
      </c>
      <c r="P100" t="s">
        <v>1697</v>
      </c>
      <c r="Q100" t="s">
        <v>1697</v>
      </c>
      <c r="R100" t="s">
        <v>1697</v>
      </c>
      <c r="S100" t="s">
        <v>1697</v>
      </c>
      <c r="T100" t="s">
        <v>1697</v>
      </c>
      <c r="U100" t="s">
        <v>1697</v>
      </c>
      <c r="V100" t="s">
        <v>1697</v>
      </c>
      <c r="W100" t="s">
        <v>1697</v>
      </c>
      <c r="X100" t="s">
        <v>1697</v>
      </c>
      <c r="Y100" t="s">
        <v>1697</v>
      </c>
      <c r="Z100" t="s">
        <v>1697</v>
      </c>
      <c r="AA100" t="s">
        <v>1697</v>
      </c>
      <c r="AB100" t="s">
        <v>1697</v>
      </c>
      <c r="AC100" t="s">
        <v>1697</v>
      </c>
      <c r="AD100" t="s">
        <v>1697</v>
      </c>
      <c r="AE100" t="s">
        <v>1697</v>
      </c>
      <c r="AF100" t="s">
        <v>1697</v>
      </c>
      <c r="AG100" t="s">
        <v>1697</v>
      </c>
      <c r="AH100" t="s">
        <v>1697</v>
      </c>
      <c r="AI100" t="s">
        <v>1697</v>
      </c>
      <c r="AJ100" t="s">
        <v>1694</v>
      </c>
      <c r="AK100" t="s">
        <v>1694</v>
      </c>
      <c r="AL100" t="s">
        <v>1702</v>
      </c>
      <c r="AM100" t="s">
        <v>1703</v>
      </c>
      <c r="AN100" t="s">
        <v>1702</v>
      </c>
      <c r="AO100" t="s">
        <v>1703</v>
      </c>
      <c r="AP100" t="s">
        <v>1702</v>
      </c>
      <c r="AQ100" t="s">
        <v>1725</v>
      </c>
      <c r="AR100" t="s">
        <v>1703</v>
      </c>
      <c r="AS100" t="s">
        <v>1702</v>
      </c>
      <c r="AT100" t="s">
        <v>1703</v>
      </c>
      <c r="AU100" t="s">
        <v>1704</v>
      </c>
      <c r="AV100" t="s">
        <v>1725</v>
      </c>
      <c r="AW100" t="s">
        <v>1703</v>
      </c>
      <c r="AX100" t="s">
        <v>1704</v>
      </c>
      <c r="AY100" t="s">
        <v>1705</v>
      </c>
      <c r="AZ100" t="s">
        <v>1703</v>
      </c>
      <c r="BA100" t="s">
        <v>1702</v>
      </c>
      <c r="BB100" t="s">
        <v>1704</v>
      </c>
      <c r="BC100" t="s">
        <v>1705</v>
      </c>
      <c r="BD100" t="s">
        <v>1703</v>
      </c>
      <c r="BE100" t="s">
        <v>1704</v>
      </c>
      <c r="BF100" t="s">
        <v>1705</v>
      </c>
      <c r="BG100" s="6" t="s">
        <v>1697</v>
      </c>
      <c r="BH100" s="6" t="s">
        <v>1697</v>
      </c>
      <c r="BI100" t="b">
        <v>1</v>
      </c>
      <c r="BJ100">
        <f t="shared" si="1"/>
        <v>1</v>
      </c>
    </row>
    <row r="101" spans="1:62" x14ac:dyDescent="0.2">
      <c r="A101" s="5" t="s">
        <v>24</v>
      </c>
      <c r="B101" s="6">
        <v>38457</v>
      </c>
      <c r="C101" s="7">
        <v>33.276400000000002</v>
      </c>
      <c r="D101" s="7">
        <v>-111.723964</v>
      </c>
      <c r="E101" s="17">
        <v>398</v>
      </c>
      <c r="F101" t="s">
        <v>1703</v>
      </c>
      <c r="G101" t="s">
        <v>1738</v>
      </c>
      <c r="H101" t="s">
        <v>1725</v>
      </c>
      <c r="I101">
        <v>0</v>
      </c>
      <c r="J101" s="8">
        <v>31.874055141448963</v>
      </c>
      <c r="K101" s="8">
        <v>22.648916382314781</v>
      </c>
      <c r="L101" s="8">
        <v>45.477028476236256</v>
      </c>
      <c r="M101" s="8">
        <v>1.8428035522125195</v>
      </c>
      <c r="N101" s="8">
        <v>0.85158559704753189</v>
      </c>
      <c r="O101" s="8">
        <v>10.933967743127614</v>
      </c>
      <c r="P101" s="8">
        <v>2.5689498844267216</v>
      </c>
      <c r="Q101" s="8">
        <v>38.202199919102362</v>
      </c>
      <c r="R101" s="8">
        <v>13.425432064758047</v>
      </c>
      <c r="S101" s="8">
        <v>1.2030000000000001</v>
      </c>
      <c r="T101" s="8">
        <v>1.079</v>
      </c>
      <c r="U101" s="8">
        <v>0.23400000000000001</v>
      </c>
      <c r="V101" s="8">
        <v>0.23400000000000001</v>
      </c>
      <c r="W101" s="8">
        <v>0.96900000000000008</v>
      </c>
      <c r="X101" s="8">
        <v>0.84499999999999997</v>
      </c>
      <c r="Y101" s="8">
        <v>5.7106598984771484</v>
      </c>
      <c r="Z101" s="8">
        <v>5.9493670886076027</v>
      </c>
      <c r="AA101" s="8">
        <v>8.11</v>
      </c>
      <c r="AB101">
        <v>0.56499999999999995</v>
      </c>
      <c r="AC101" s="8">
        <v>9.5177664974619294</v>
      </c>
      <c r="AD101" s="8">
        <v>13.417721518987346</v>
      </c>
      <c r="AE101" s="8">
        <v>0.109</v>
      </c>
      <c r="AF101" s="8">
        <v>9.9000000000000005E-2</v>
      </c>
      <c r="AG101" s="8">
        <v>1.2387834367125561</v>
      </c>
      <c r="AH101" s="8">
        <v>11.036697247706423</v>
      </c>
      <c r="AI101" s="8">
        <v>9.8990825688073389</v>
      </c>
      <c r="AJ101" t="s">
        <v>1694</v>
      </c>
      <c r="AK101" t="s">
        <v>1694</v>
      </c>
      <c r="AL101" t="s">
        <v>1702</v>
      </c>
      <c r="AM101" t="s">
        <v>1703</v>
      </c>
      <c r="AN101" t="s">
        <v>1702</v>
      </c>
      <c r="AO101" t="s">
        <v>1703</v>
      </c>
      <c r="AP101" t="s">
        <v>1702</v>
      </c>
      <c r="AQ101" t="s">
        <v>1705</v>
      </c>
      <c r="AR101" t="s">
        <v>1703</v>
      </c>
      <c r="AS101" t="s">
        <v>1702</v>
      </c>
      <c r="AT101" t="s">
        <v>1703</v>
      </c>
      <c r="AU101" t="s">
        <v>1704</v>
      </c>
      <c r="AV101" t="s">
        <v>1725</v>
      </c>
      <c r="AW101" t="s">
        <v>1703</v>
      </c>
      <c r="AX101" t="s">
        <v>1704</v>
      </c>
      <c r="AY101" t="s">
        <v>1725</v>
      </c>
      <c r="AZ101" t="s">
        <v>1703</v>
      </c>
      <c r="BA101" t="s">
        <v>1702</v>
      </c>
      <c r="BB101" t="s">
        <v>1704</v>
      </c>
      <c r="BC101" t="s">
        <v>1725</v>
      </c>
      <c r="BD101" t="s">
        <v>1703</v>
      </c>
      <c r="BE101" t="s">
        <v>1704</v>
      </c>
      <c r="BF101" t="s">
        <v>1725</v>
      </c>
      <c r="BG101">
        <v>93</v>
      </c>
      <c r="BH101" s="12" t="s">
        <v>1713</v>
      </c>
      <c r="BI101" t="b">
        <v>0</v>
      </c>
      <c r="BJ101">
        <f t="shared" si="1"/>
        <v>0</v>
      </c>
    </row>
    <row r="102" spans="1:62" x14ac:dyDescent="0.2">
      <c r="A102" s="5" t="s">
        <v>24</v>
      </c>
      <c r="B102" s="6">
        <v>40233</v>
      </c>
      <c r="C102" s="7">
        <v>33.276400000000002</v>
      </c>
      <c r="D102" s="7">
        <v>-111.723964</v>
      </c>
      <c r="E102" s="17">
        <v>398</v>
      </c>
      <c r="F102" t="s">
        <v>1706</v>
      </c>
      <c r="G102" t="s">
        <v>1728</v>
      </c>
      <c r="H102" t="s">
        <v>1728</v>
      </c>
      <c r="I102">
        <v>1</v>
      </c>
      <c r="J102" s="8">
        <v>24.089150696878352</v>
      </c>
      <c r="K102" s="8">
        <v>37.132709972702408</v>
      </c>
      <c r="L102" s="8">
        <v>38.778139330419236</v>
      </c>
      <c r="M102" s="8">
        <v>0.5539061639702938</v>
      </c>
      <c r="N102" s="8">
        <v>5.0000000000000001E-3</v>
      </c>
      <c r="O102" s="8">
        <v>19.630950569995434</v>
      </c>
      <c r="P102" s="8">
        <v>23.397090622957506</v>
      </c>
      <c r="Q102" s="8">
        <v>31.436023396049027</v>
      </c>
      <c r="R102" s="8">
        <v>16.458469011614678</v>
      </c>
      <c r="S102" s="8">
        <v>0.94099999999999995</v>
      </c>
      <c r="T102" s="8">
        <v>0.72099999999999997</v>
      </c>
      <c r="U102" s="8">
        <v>0.33500000000000002</v>
      </c>
      <c r="V102" s="8">
        <v>0.38</v>
      </c>
      <c r="W102" s="8">
        <v>0.60599999999999987</v>
      </c>
      <c r="X102" s="8">
        <v>0.34099999999999997</v>
      </c>
      <c r="Y102" s="8">
        <v>4.7687861271676306</v>
      </c>
      <c r="Z102" s="8">
        <v>4.7075606276747513</v>
      </c>
      <c r="AA102" s="8">
        <v>8.7200000000000006</v>
      </c>
      <c r="AB102">
        <v>0.34399999999999997</v>
      </c>
      <c r="AC102" s="8">
        <v>20.520231213872826</v>
      </c>
      <c r="AD102" s="8">
        <v>19.400855920114115</v>
      </c>
      <c r="AE102" s="8">
        <v>7.6999999999999999E-2</v>
      </c>
      <c r="AF102" s="8">
        <v>6.2E-2</v>
      </c>
      <c r="AG102" s="8">
        <v>1.556187655058118</v>
      </c>
      <c r="AH102" s="8">
        <v>12.220779220779221</v>
      </c>
      <c r="AI102" s="8">
        <v>9.3636363636363633</v>
      </c>
      <c r="AJ102" t="s">
        <v>1694</v>
      </c>
      <c r="AK102" t="s">
        <v>1694</v>
      </c>
      <c r="AL102" t="s">
        <v>1702</v>
      </c>
      <c r="AM102" t="s">
        <v>1703</v>
      </c>
      <c r="AN102" t="s">
        <v>1702</v>
      </c>
      <c r="AO102" t="s">
        <v>1703</v>
      </c>
      <c r="AP102" t="s">
        <v>1702</v>
      </c>
      <c r="AQ102" t="s">
        <v>1705</v>
      </c>
      <c r="AR102" t="s">
        <v>1703</v>
      </c>
      <c r="AS102" t="s">
        <v>1702</v>
      </c>
      <c r="AT102" t="s">
        <v>1703</v>
      </c>
      <c r="AU102" t="s">
        <v>1704</v>
      </c>
      <c r="AV102" t="s">
        <v>1725</v>
      </c>
      <c r="AW102" t="s">
        <v>1703</v>
      </c>
      <c r="AX102" t="s">
        <v>1704</v>
      </c>
      <c r="AY102" t="s">
        <v>1725</v>
      </c>
      <c r="AZ102" t="s">
        <v>1703</v>
      </c>
      <c r="BA102" t="s">
        <v>1702</v>
      </c>
      <c r="BB102" t="s">
        <v>1704</v>
      </c>
      <c r="BC102" t="s">
        <v>1725</v>
      </c>
      <c r="BD102" t="s">
        <v>1703</v>
      </c>
      <c r="BE102" t="s">
        <v>1704</v>
      </c>
      <c r="BF102" t="s">
        <v>1725</v>
      </c>
      <c r="BG102">
        <v>5</v>
      </c>
      <c r="BH102" s="12" t="s">
        <v>1708</v>
      </c>
      <c r="BI102" t="b">
        <v>0</v>
      </c>
      <c r="BJ102">
        <f t="shared" si="1"/>
        <v>0</v>
      </c>
    </row>
    <row r="103" spans="1:62" x14ac:dyDescent="0.2">
      <c r="A103" s="5" t="s">
        <v>24</v>
      </c>
      <c r="B103" s="6">
        <v>42144</v>
      </c>
      <c r="C103" s="7">
        <v>33.276400000000002</v>
      </c>
      <c r="D103" s="7">
        <v>-111.723964</v>
      </c>
      <c r="E103" s="17">
        <v>398</v>
      </c>
      <c r="F103" t="s">
        <v>1706</v>
      </c>
      <c r="G103" t="s">
        <v>1728</v>
      </c>
      <c r="H103" t="s">
        <v>1728</v>
      </c>
      <c r="I103">
        <v>1</v>
      </c>
      <c r="J103" t="s">
        <v>1697</v>
      </c>
      <c r="K103" t="s">
        <v>1697</v>
      </c>
      <c r="L103" t="s">
        <v>1697</v>
      </c>
      <c r="M103" t="s">
        <v>1697</v>
      </c>
      <c r="N103" t="s">
        <v>1697</v>
      </c>
      <c r="O103" t="s">
        <v>1697</v>
      </c>
      <c r="P103" t="s">
        <v>1697</v>
      </c>
      <c r="Q103" t="s">
        <v>1697</v>
      </c>
      <c r="R103" t="s">
        <v>1697</v>
      </c>
      <c r="S103" t="s">
        <v>1697</v>
      </c>
      <c r="T103" t="s">
        <v>1697</v>
      </c>
      <c r="U103" t="s">
        <v>1697</v>
      </c>
      <c r="V103" t="s">
        <v>1697</v>
      </c>
      <c r="W103" t="s">
        <v>1697</v>
      </c>
      <c r="X103" t="s">
        <v>1697</v>
      </c>
      <c r="Y103" t="s">
        <v>1697</v>
      </c>
      <c r="Z103" t="s">
        <v>1697</v>
      </c>
      <c r="AA103" t="s">
        <v>1697</v>
      </c>
      <c r="AB103" t="s">
        <v>1697</v>
      </c>
      <c r="AC103" t="s">
        <v>1697</v>
      </c>
      <c r="AD103" t="s">
        <v>1697</v>
      </c>
      <c r="AE103" t="s">
        <v>1697</v>
      </c>
      <c r="AF103" t="s">
        <v>1697</v>
      </c>
      <c r="AG103" t="s">
        <v>1697</v>
      </c>
      <c r="AH103" t="s">
        <v>1697</v>
      </c>
      <c r="AI103" t="s">
        <v>1697</v>
      </c>
      <c r="AJ103" t="s">
        <v>1694</v>
      </c>
      <c r="AK103" t="s">
        <v>1694</v>
      </c>
      <c r="AL103" t="s">
        <v>1702</v>
      </c>
      <c r="AM103" t="s">
        <v>1703</v>
      </c>
      <c r="AN103" t="s">
        <v>1702</v>
      </c>
      <c r="AO103" t="s">
        <v>1703</v>
      </c>
      <c r="AP103" t="s">
        <v>1702</v>
      </c>
      <c r="AQ103" t="s">
        <v>1705</v>
      </c>
      <c r="AR103" t="s">
        <v>1703</v>
      </c>
      <c r="AS103" t="s">
        <v>1702</v>
      </c>
      <c r="AT103" t="s">
        <v>1703</v>
      </c>
      <c r="AU103" t="s">
        <v>1704</v>
      </c>
      <c r="AV103" t="s">
        <v>1725</v>
      </c>
      <c r="AW103" t="s">
        <v>1703</v>
      </c>
      <c r="AX103" t="s">
        <v>1704</v>
      </c>
      <c r="AY103" t="s">
        <v>1725</v>
      </c>
      <c r="AZ103" t="s">
        <v>1703</v>
      </c>
      <c r="BA103" t="s">
        <v>1702</v>
      </c>
      <c r="BB103" t="s">
        <v>1704</v>
      </c>
      <c r="BC103" t="s">
        <v>1725</v>
      </c>
      <c r="BD103" t="s">
        <v>1703</v>
      </c>
      <c r="BE103" t="s">
        <v>1704</v>
      </c>
      <c r="BF103" t="s">
        <v>1725</v>
      </c>
      <c r="BG103">
        <v>10</v>
      </c>
      <c r="BH103" t="s">
        <v>1708</v>
      </c>
      <c r="BI103" t="b">
        <v>0</v>
      </c>
      <c r="BJ103">
        <f t="shared" si="1"/>
        <v>0</v>
      </c>
    </row>
    <row r="104" spans="1:62" x14ac:dyDescent="0.2">
      <c r="A104" s="5" t="s">
        <v>24</v>
      </c>
      <c r="B104" s="6">
        <v>45076</v>
      </c>
      <c r="C104" s="7">
        <v>33.276400000000002</v>
      </c>
      <c r="D104" s="7">
        <v>-111.723964</v>
      </c>
      <c r="E104" s="17">
        <v>398</v>
      </c>
      <c r="F104" t="s">
        <v>1706</v>
      </c>
      <c r="G104" t="s">
        <v>1728</v>
      </c>
      <c r="H104" t="s">
        <v>1728</v>
      </c>
      <c r="I104">
        <v>1</v>
      </c>
      <c r="J104" t="s">
        <v>1697</v>
      </c>
      <c r="K104" t="s">
        <v>1697</v>
      </c>
      <c r="L104" t="s">
        <v>1697</v>
      </c>
      <c r="M104" t="s">
        <v>1697</v>
      </c>
      <c r="N104" t="s">
        <v>1697</v>
      </c>
      <c r="O104" t="s">
        <v>1697</v>
      </c>
      <c r="P104" t="s">
        <v>1697</v>
      </c>
      <c r="Q104" t="s">
        <v>1697</v>
      </c>
      <c r="R104" t="s">
        <v>1697</v>
      </c>
      <c r="S104" t="s">
        <v>1697</v>
      </c>
      <c r="T104" t="s">
        <v>1697</v>
      </c>
      <c r="U104" t="s">
        <v>1697</v>
      </c>
      <c r="V104" t="s">
        <v>1697</v>
      </c>
      <c r="W104" t="s">
        <v>1697</v>
      </c>
      <c r="X104" t="s">
        <v>1697</v>
      </c>
      <c r="Y104" t="s">
        <v>1697</v>
      </c>
      <c r="Z104" t="s">
        <v>1697</v>
      </c>
      <c r="AA104" t="s">
        <v>1697</v>
      </c>
      <c r="AB104" t="s">
        <v>1697</v>
      </c>
      <c r="AC104" t="s">
        <v>1697</v>
      </c>
      <c r="AD104" t="s">
        <v>1697</v>
      </c>
      <c r="AE104" t="s">
        <v>1697</v>
      </c>
      <c r="AF104" t="s">
        <v>1697</v>
      </c>
      <c r="AG104" t="s">
        <v>1697</v>
      </c>
      <c r="AH104" t="s">
        <v>1697</v>
      </c>
      <c r="AI104" t="s">
        <v>1697</v>
      </c>
      <c r="AJ104" t="s">
        <v>1694</v>
      </c>
      <c r="AK104" t="s">
        <v>1694</v>
      </c>
      <c r="AL104" t="s">
        <v>1702</v>
      </c>
      <c r="AM104" t="s">
        <v>1703</v>
      </c>
      <c r="AN104" t="s">
        <v>1702</v>
      </c>
      <c r="AO104" t="s">
        <v>1703</v>
      </c>
      <c r="AP104" t="s">
        <v>1702</v>
      </c>
      <c r="AQ104" t="s">
        <v>1705</v>
      </c>
      <c r="AR104" t="s">
        <v>1703</v>
      </c>
      <c r="AS104" t="s">
        <v>1702</v>
      </c>
      <c r="AT104" t="s">
        <v>1703</v>
      </c>
      <c r="AU104" t="s">
        <v>1704</v>
      </c>
      <c r="AV104" t="s">
        <v>1725</v>
      </c>
      <c r="AW104" t="s">
        <v>1703</v>
      </c>
      <c r="AX104" t="s">
        <v>1704</v>
      </c>
      <c r="AY104" t="s">
        <v>1725</v>
      </c>
      <c r="AZ104" t="s">
        <v>1703</v>
      </c>
      <c r="BA104" t="s">
        <v>1702</v>
      </c>
      <c r="BB104" t="s">
        <v>1704</v>
      </c>
      <c r="BC104" t="s">
        <v>1725</v>
      </c>
      <c r="BD104" t="s">
        <v>1703</v>
      </c>
      <c r="BE104" t="s">
        <v>1704</v>
      </c>
      <c r="BF104" t="s">
        <v>1725</v>
      </c>
      <c r="BG104" s="6" t="s">
        <v>1697</v>
      </c>
      <c r="BH104" s="6" t="s">
        <v>1697</v>
      </c>
      <c r="BI104" t="b">
        <v>0</v>
      </c>
      <c r="BJ104">
        <f t="shared" si="1"/>
        <v>0</v>
      </c>
    </row>
    <row r="105" spans="1:62" x14ac:dyDescent="0.2">
      <c r="A105" s="5" t="s">
        <v>853</v>
      </c>
      <c r="B105" s="6">
        <v>36594</v>
      </c>
      <c r="C105" s="7">
        <v>33.809944000000002</v>
      </c>
      <c r="D105" s="7">
        <v>-111.714583</v>
      </c>
      <c r="E105" s="17">
        <v>666</v>
      </c>
      <c r="F105" t="s">
        <v>1694</v>
      </c>
      <c r="G105" t="s">
        <v>1694</v>
      </c>
      <c r="H105" t="s">
        <v>1694</v>
      </c>
      <c r="I105">
        <v>0</v>
      </c>
      <c r="J105" s="8">
        <v>30.106581760140447</v>
      </c>
      <c r="K105" s="8">
        <v>51.751678468611352</v>
      </c>
      <c r="L105" s="8">
        <v>18.141739771248197</v>
      </c>
      <c r="M105" s="8">
        <v>2.1694365305386492</v>
      </c>
      <c r="N105" s="8">
        <v>1.2675800670042627</v>
      </c>
      <c r="O105" s="8">
        <v>2.3553800803834704</v>
      </c>
      <c r="P105" s="8">
        <v>1.1784034078097634</v>
      </c>
      <c r="Q105" s="8">
        <v>15.598439266400423</v>
      </c>
      <c r="R105" s="8">
        <v>2.2309345261536446</v>
      </c>
      <c r="S105" s="8">
        <v>0.70399999999999996</v>
      </c>
      <c r="T105" s="8">
        <v>0.182</v>
      </c>
      <c r="U105" s="8">
        <v>1.7999999999999999E-2</v>
      </c>
      <c r="V105" s="8">
        <v>0.02</v>
      </c>
      <c r="W105" s="8">
        <v>0.68600000000000005</v>
      </c>
      <c r="X105" s="8">
        <v>0.16200000000000001</v>
      </c>
      <c r="Y105" s="8">
        <v>3.0701800000000001</v>
      </c>
      <c r="Z105" s="8">
        <v>2.54589</v>
      </c>
      <c r="AA105" s="9">
        <v>6.95</v>
      </c>
      <c r="AB105" s="10">
        <v>0.59850000000000003</v>
      </c>
      <c r="AC105" s="8">
        <v>10.56626</v>
      </c>
      <c r="AD105" s="8">
        <v>10.8325</v>
      </c>
      <c r="AE105" s="8">
        <v>4.7E-2</v>
      </c>
      <c r="AF105" s="8">
        <v>0.02</v>
      </c>
      <c r="AG105" s="8">
        <v>1.1310682980667353</v>
      </c>
      <c r="AH105" s="8">
        <v>14.978723404255318</v>
      </c>
      <c r="AI105" s="8">
        <v>3.8723404255319149</v>
      </c>
      <c r="AJ105" t="s">
        <v>1694</v>
      </c>
      <c r="AK105" t="s">
        <v>1694</v>
      </c>
      <c r="AL105" t="s">
        <v>1694</v>
      </c>
      <c r="AM105" t="s">
        <v>1694</v>
      </c>
      <c r="AN105" t="s">
        <v>1694</v>
      </c>
      <c r="AO105" t="s">
        <v>1694</v>
      </c>
      <c r="AP105" t="s">
        <v>1695</v>
      </c>
      <c r="AQ105" t="s">
        <v>1694</v>
      </c>
      <c r="AR105" t="s">
        <v>1694</v>
      </c>
      <c r="AS105" t="s">
        <v>1694</v>
      </c>
      <c r="AT105" t="s">
        <v>1694</v>
      </c>
      <c r="AU105" t="s">
        <v>1695</v>
      </c>
      <c r="AV105" t="s">
        <v>1694</v>
      </c>
      <c r="AW105" t="s">
        <v>1694</v>
      </c>
      <c r="AX105" t="s">
        <v>1695</v>
      </c>
      <c r="AY105" t="s">
        <v>1694</v>
      </c>
      <c r="AZ105" t="s">
        <v>1694</v>
      </c>
      <c r="BA105" t="s">
        <v>1694</v>
      </c>
      <c r="BB105" t="s">
        <v>1695</v>
      </c>
      <c r="BC105" t="s">
        <v>1694</v>
      </c>
      <c r="BD105" t="s">
        <v>1694</v>
      </c>
      <c r="BE105" t="s">
        <v>1695</v>
      </c>
      <c r="BF105" t="s">
        <v>1694</v>
      </c>
      <c r="BG105" t="s">
        <v>1697</v>
      </c>
      <c r="BH105" t="s">
        <v>1698</v>
      </c>
      <c r="BI105" t="b">
        <v>0</v>
      </c>
      <c r="BJ105">
        <f t="shared" si="1"/>
        <v>0</v>
      </c>
    </row>
    <row r="106" spans="1:62" x14ac:dyDescent="0.2">
      <c r="A106" s="5" t="s">
        <v>853</v>
      </c>
      <c r="B106" s="6">
        <v>38449</v>
      </c>
      <c r="C106" s="7">
        <v>33.809944000000002</v>
      </c>
      <c r="D106" s="7">
        <v>-111.714583</v>
      </c>
      <c r="E106" s="17">
        <v>666</v>
      </c>
      <c r="F106" t="s">
        <v>1694</v>
      </c>
      <c r="G106" t="s">
        <v>1694</v>
      </c>
      <c r="H106" t="s">
        <v>1694</v>
      </c>
      <c r="I106">
        <v>0</v>
      </c>
      <c r="J106" s="8">
        <v>19.138633253653595</v>
      </c>
      <c r="K106" s="8">
        <v>60.467857728010316</v>
      </c>
      <c r="L106" s="8">
        <v>20.39350901833609</v>
      </c>
      <c r="M106" s="8">
        <v>1.8894348851226601</v>
      </c>
      <c r="N106" s="8">
        <v>1.1616956350598069</v>
      </c>
      <c r="O106" s="8">
        <v>2.5000000000000001E-3</v>
      </c>
      <c r="P106" s="8">
        <v>0.48993250696000551</v>
      </c>
      <c r="Q106" s="8">
        <v>14.604327614474666</v>
      </c>
      <c r="R106" s="8">
        <v>2.7120892645922985</v>
      </c>
      <c r="S106" s="8">
        <v>0.88</v>
      </c>
      <c r="T106" s="8">
        <v>0.997</v>
      </c>
      <c r="U106" s="8">
        <v>2.1999999999999999E-2</v>
      </c>
      <c r="V106" s="8">
        <v>3.1E-2</v>
      </c>
      <c r="W106" s="8">
        <v>0.85799999999999998</v>
      </c>
      <c r="X106" s="8">
        <v>0.96599999999999997</v>
      </c>
      <c r="Y106" s="8">
        <v>3.1133250311332508</v>
      </c>
      <c r="Z106" s="8">
        <v>3.4934497816593915</v>
      </c>
      <c r="AA106" s="8">
        <v>7.76</v>
      </c>
      <c r="AB106">
        <v>0.434</v>
      </c>
      <c r="AC106" s="8">
        <v>4.1095890410958917</v>
      </c>
      <c r="AD106" s="8">
        <v>5.9679767103347903</v>
      </c>
      <c r="AE106" s="8">
        <v>8.5999999999999993E-2</v>
      </c>
      <c r="AF106" s="8">
        <v>9.6000000000000002E-2</v>
      </c>
      <c r="AG106" s="8">
        <v>0.95041340837024435</v>
      </c>
      <c r="AH106" s="8">
        <v>10.232558139534884</v>
      </c>
      <c r="AI106" s="8">
        <v>11.593023255813954</v>
      </c>
      <c r="AJ106" t="s">
        <v>1694</v>
      </c>
      <c r="AK106" t="s">
        <v>1694</v>
      </c>
      <c r="AL106" t="s">
        <v>1694</v>
      </c>
      <c r="AM106" t="s">
        <v>1694</v>
      </c>
      <c r="AN106" t="s">
        <v>1694</v>
      </c>
      <c r="AO106" t="s">
        <v>1694</v>
      </c>
      <c r="AP106" t="s">
        <v>1695</v>
      </c>
      <c r="AQ106" t="s">
        <v>1694</v>
      </c>
      <c r="AR106" t="s">
        <v>1694</v>
      </c>
      <c r="AS106" t="s">
        <v>1694</v>
      </c>
      <c r="AT106" t="s">
        <v>1694</v>
      </c>
      <c r="AU106" t="s">
        <v>1695</v>
      </c>
      <c r="AV106" t="s">
        <v>1694</v>
      </c>
      <c r="AW106" t="s">
        <v>1694</v>
      </c>
      <c r="AX106" t="s">
        <v>1695</v>
      </c>
      <c r="AY106" t="s">
        <v>1694</v>
      </c>
      <c r="AZ106" t="s">
        <v>1694</v>
      </c>
      <c r="BA106" t="s">
        <v>1694</v>
      </c>
      <c r="BB106" t="s">
        <v>1695</v>
      </c>
      <c r="BC106" t="s">
        <v>1694</v>
      </c>
      <c r="BD106" t="s">
        <v>1694</v>
      </c>
      <c r="BE106" t="s">
        <v>1695</v>
      </c>
      <c r="BF106" t="s">
        <v>1694</v>
      </c>
      <c r="BG106" t="s">
        <v>1697</v>
      </c>
      <c r="BH106" t="s">
        <v>1698</v>
      </c>
      <c r="BI106" t="b">
        <v>0</v>
      </c>
      <c r="BJ106">
        <f t="shared" si="1"/>
        <v>0</v>
      </c>
    </row>
    <row r="107" spans="1:62" x14ac:dyDescent="0.2">
      <c r="A107" s="5" t="s">
        <v>853</v>
      </c>
      <c r="B107" s="6">
        <v>40301</v>
      </c>
      <c r="C107" s="7">
        <v>33.809944000000002</v>
      </c>
      <c r="D107" s="7">
        <v>-111.714583</v>
      </c>
      <c r="E107" s="17">
        <v>666</v>
      </c>
      <c r="F107" t="s">
        <v>1694</v>
      </c>
      <c r="G107" t="s">
        <v>1694</v>
      </c>
      <c r="H107" t="s">
        <v>1694</v>
      </c>
      <c r="I107">
        <v>0</v>
      </c>
      <c r="J107" s="8">
        <v>12.551622215645271</v>
      </c>
      <c r="K107" s="8">
        <v>65.231491710423754</v>
      </c>
      <c r="L107" s="8">
        <v>22.216886073930979</v>
      </c>
      <c r="M107" s="8">
        <v>0.73064587104862022</v>
      </c>
      <c r="N107" s="8">
        <v>0.6608719291189562</v>
      </c>
      <c r="O107" s="8">
        <v>0.21979265137282264</v>
      </c>
      <c r="P107" s="8">
        <v>2.5000000000000001E-3</v>
      </c>
      <c r="Q107" s="8">
        <v>26.865119121477726</v>
      </c>
      <c r="R107" s="8">
        <v>10.542905025547697</v>
      </c>
      <c r="S107" s="8">
        <v>0.78100000000000003</v>
      </c>
      <c r="T107" s="8">
        <v>0.34699999999999998</v>
      </c>
      <c r="U107" s="8">
        <v>2.7E-2</v>
      </c>
      <c r="V107" s="8">
        <v>0.03</v>
      </c>
      <c r="W107" s="8">
        <v>0.754</v>
      </c>
      <c r="X107" s="8">
        <v>0.31699999999999995</v>
      </c>
      <c r="Y107" s="8">
        <v>3.4188034188034115</v>
      </c>
      <c r="Z107" s="8">
        <v>2.8378378378378493</v>
      </c>
      <c r="AA107" s="8">
        <v>7.28</v>
      </c>
      <c r="AB107">
        <v>2.8</v>
      </c>
      <c r="AC107" s="8">
        <v>2.9304029304029333</v>
      </c>
      <c r="AD107" s="8">
        <v>5.9459459459459385</v>
      </c>
      <c r="AE107" s="8">
        <v>6.8000000000000005E-2</v>
      </c>
      <c r="AF107" s="8">
        <v>0.03</v>
      </c>
      <c r="AG107" s="8">
        <v>1.1773499269787302</v>
      </c>
      <c r="AH107" s="8">
        <v>11.485294117647058</v>
      </c>
      <c r="AI107" s="8">
        <v>5.1029411764705879</v>
      </c>
      <c r="AJ107" t="s">
        <v>1694</v>
      </c>
      <c r="AK107" t="s">
        <v>1694</v>
      </c>
      <c r="AL107" t="s">
        <v>1694</v>
      </c>
      <c r="AM107" t="s">
        <v>1694</v>
      </c>
      <c r="AN107" t="s">
        <v>1694</v>
      </c>
      <c r="AO107" t="s">
        <v>1694</v>
      </c>
      <c r="AP107" t="s">
        <v>1695</v>
      </c>
      <c r="AQ107" t="s">
        <v>1694</v>
      </c>
      <c r="AR107" t="s">
        <v>1694</v>
      </c>
      <c r="AS107" t="s">
        <v>1694</v>
      </c>
      <c r="AT107" t="s">
        <v>1694</v>
      </c>
      <c r="AU107" t="s">
        <v>1695</v>
      </c>
      <c r="AV107" t="s">
        <v>1694</v>
      </c>
      <c r="AW107" t="s">
        <v>1694</v>
      </c>
      <c r="AX107" t="s">
        <v>1695</v>
      </c>
      <c r="AY107" t="s">
        <v>1694</v>
      </c>
      <c r="AZ107" t="s">
        <v>1694</v>
      </c>
      <c r="BA107" t="s">
        <v>1694</v>
      </c>
      <c r="BB107" t="s">
        <v>1695</v>
      </c>
      <c r="BC107" t="s">
        <v>1694</v>
      </c>
      <c r="BD107" t="s">
        <v>1694</v>
      </c>
      <c r="BE107" t="s">
        <v>1695</v>
      </c>
      <c r="BF107" t="s">
        <v>1694</v>
      </c>
      <c r="BG107" t="s">
        <v>1697</v>
      </c>
      <c r="BH107" t="s">
        <v>1698</v>
      </c>
      <c r="BI107" t="b">
        <v>1</v>
      </c>
      <c r="BJ107">
        <f t="shared" si="1"/>
        <v>1</v>
      </c>
    </row>
    <row r="108" spans="1:62" x14ac:dyDescent="0.2">
      <c r="A108" s="5" t="s">
        <v>25</v>
      </c>
      <c r="B108" s="6">
        <v>36658</v>
      </c>
      <c r="C108" s="7">
        <v>33.677014</v>
      </c>
      <c r="D108" s="7">
        <v>-111.71122200000001</v>
      </c>
      <c r="E108" s="17">
        <v>537</v>
      </c>
      <c r="F108" t="s">
        <v>1694</v>
      </c>
      <c r="G108" t="s">
        <v>1694</v>
      </c>
      <c r="H108" t="s">
        <v>1694</v>
      </c>
      <c r="I108">
        <v>0</v>
      </c>
      <c r="J108" s="8">
        <v>24.48061914173114</v>
      </c>
      <c r="K108" s="8">
        <v>40.845617852624265</v>
      </c>
      <c r="L108" s="8">
        <v>34.673763005644588</v>
      </c>
      <c r="M108" s="8">
        <v>1.5637361098952505</v>
      </c>
      <c r="N108" s="8">
        <v>1.4764562851424508</v>
      </c>
      <c r="O108" s="8">
        <v>1.4660065197304748</v>
      </c>
      <c r="P108" s="8">
        <v>0.50315542124590096</v>
      </c>
      <c r="Q108" s="8">
        <v>10.998103926847129</v>
      </c>
      <c r="R108" s="8">
        <v>1.5492443062879375</v>
      </c>
      <c r="S108" s="8">
        <v>2.1309999999999998</v>
      </c>
      <c r="T108" s="8">
        <v>2.2370000000000001</v>
      </c>
      <c r="U108" s="8">
        <v>1.5329999999999999</v>
      </c>
      <c r="V108" s="8">
        <v>2.0840000000000001</v>
      </c>
      <c r="W108" s="8">
        <v>0.59799999999999998</v>
      </c>
      <c r="X108" s="8">
        <v>0.153</v>
      </c>
      <c r="Y108" s="8">
        <v>1.93459</v>
      </c>
      <c r="Z108" s="8">
        <v>1.6148100000000001</v>
      </c>
      <c r="AA108" s="9">
        <v>8.49</v>
      </c>
      <c r="AB108" s="10">
        <v>0.22550000000000001</v>
      </c>
      <c r="AC108" s="8">
        <v>1.57978</v>
      </c>
      <c r="AD108" s="8">
        <v>3.1914899999999999</v>
      </c>
      <c r="AE108" s="8">
        <v>5.0999999999999997E-2</v>
      </c>
      <c r="AF108" s="8">
        <v>4.5999999999999999E-2</v>
      </c>
      <c r="AG108" s="8">
        <v>1.5535846001997817</v>
      </c>
      <c r="AH108" s="8">
        <v>41.784313725490193</v>
      </c>
      <c r="AI108" s="8">
        <v>43.86274509803922</v>
      </c>
      <c r="AJ108" t="s">
        <v>1694</v>
      </c>
      <c r="AK108" t="s">
        <v>1694</v>
      </c>
      <c r="AL108" t="s">
        <v>1694</v>
      </c>
      <c r="AM108" t="s">
        <v>1694</v>
      </c>
      <c r="AN108" t="s">
        <v>1694</v>
      </c>
      <c r="AO108" t="s">
        <v>1694</v>
      </c>
      <c r="AP108" t="s">
        <v>1695</v>
      </c>
      <c r="AQ108" t="s">
        <v>1694</v>
      </c>
      <c r="AR108" t="s">
        <v>1694</v>
      </c>
      <c r="AS108" t="s">
        <v>1726</v>
      </c>
      <c r="AT108" t="s">
        <v>1694</v>
      </c>
      <c r="AU108" t="s">
        <v>1695</v>
      </c>
      <c r="AV108" t="s">
        <v>1694</v>
      </c>
      <c r="AW108" t="s">
        <v>1694</v>
      </c>
      <c r="AX108" t="s">
        <v>1695</v>
      </c>
      <c r="AY108" t="s">
        <v>1694</v>
      </c>
      <c r="AZ108" t="s">
        <v>1694</v>
      </c>
      <c r="BA108" t="s">
        <v>1726</v>
      </c>
      <c r="BB108" t="s">
        <v>1695</v>
      </c>
      <c r="BC108" t="s">
        <v>1694</v>
      </c>
      <c r="BD108" t="s">
        <v>1694</v>
      </c>
      <c r="BE108" t="s">
        <v>1695</v>
      </c>
      <c r="BF108" t="s">
        <v>1694</v>
      </c>
      <c r="BG108" t="s">
        <v>1697</v>
      </c>
      <c r="BH108" t="s">
        <v>1698</v>
      </c>
      <c r="BI108" t="b">
        <v>0</v>
      </c>
      <c r="BJ108">
        <f t="shared" si="1"/>
        <v>0</v>
      </c>
    </row>
    <row r="109" spans="1:62" x14ac:dyDescent="0.2">
      <c r="A109" s="5" t="s">
        <v>25</v>
      </c>
      <c r="B109" s="6">
        <v>38490</v>
      </c>
      <c r="C109" s="7">
        <v>33.677014</v>
      </c>
      <c r="D109" s="7">
        <v>-111.71122200000001</v>
      </c>
      <c r="E109" s="17">
        <v>537</v>
      </c>
      <c r="F109" t="s">
        <v>1694</v>
      </c>
      <c r="G109" t="s">
        <v>1694</v>
      </c>
      <c r="H109" t="s">
        <v>1694</v>
      </c>
      <c r="I109">
        <v>0</v>
      </c>
      <c r="J109" s="8">
        <v>13.162614464628302</v>
      </c>
      <c r="K109" s="8">
        <v>64.229191919041298</v>
      </c>
      <c r="L109" s="8">
        <v>22.608193616330396</v>
      </c>
      <c r="M109" s="8">
        <v>0.94621505213135604</v>
      </c>
      <c r="N109" s="8">
        <v>0.31974110761139291</v>
      </c>
      <c r="O109" s="8">
        <v>0.92847351990389326</v>
      </c>
      <c r="P109" s="8">
        <v>1.4132556956423565</v>
      </c>
      <c r="Q109" s="8">
        <v>9.2685065106448192</v>
      </c>
      <c r="R109" s="8">
        <v>1.5426278668758893</v>
      </c>
      <c r="S109" s="8">
        <v>1.508</v>
      </c>
      <c r="T109" s="8">
        <v>1.5169999999999999</v>
      </c>
      <c r="U109" s="8">
        <v>0.72399999999999998</v>
      </c>
      <c r="V109" s="8">
        <v>1.2450000000000001</v>
      </c>
      <c r="W109" s="8">
        <v>0.78400000000000003</v>
      </c>
      <c r="X109" s="8">
        <v>0.2719999999999998</v>
      </c>
      <c r="Y109" s="8">
        <v>3.0188679245283048</v>
      </c>
      <c r="Z109" s="8">
        <v>3.234501347708898</v>
      </c>
      <c r="AA109" s="8">
        <v>8.14</v>
      </c>
      <c r="AB109">
        <v>0.33100000000000002</v>
      </c>
      <c r="AC109" s="8">
        <v>2.0754716981132137</v>
      </c>
      <c r="AD109" s="8">
        <v>5.6603773584905657</v>
      </c>
      <c r="AE109" s="8">
        <v>5.3999999999999999E-2</v>
      </c>
      <c r="AF109" s="8">
        <v>3.1E-2</v>
      </c>
      <c r="AG109" s="8">
        <v>1.2177605438835173</v>
      </c>
      <c r="AH109" s="8">
        <v>27.925925925925927</v>
      </c>
      <c r="AI109" s="8">
        <v>28.092592592592592</v>
      </c>
      <c r="AJ109" t="s">
        <v>1694</v>
      </c>
      <c r="AK109" t="s">
        <v>1694</v>
      </c>
      <c r="AL109" t="s">
        <v>1694</v>
      </c>
      <c r="AM109" t="s">
        <v>1694</v>
      </c>
      <c r="AN109" t="s">
        <v>1694</v>
      </c>
      <c r="AO109" t="s">
        <v>1694</v>
      </c>
      <c r="AP109" t="s">
        <v>1695</v>
      </c>
      <c r="AQ109" t="s">
        <v>1694</v>
      </c>
      <c r="AR109" t="s">
        <v>1694</v>
      </c>
      <c r="AS109" t="s">
        <v>1726</v>
      </c>
      <c r="AT109" t="s">
        <v>1694</v>
      </c>
      <c r="AU109" t="s">
        <v>1695</v>
      </c>
      <c r="AV109" t="s">
        <v>1694</v>
      </c>
      <c r="AW109" t="s">
        <v>1694</v>
      </c>
      <c r="AX109" t="s">
        <v>1695</v>
      </c>
      <c r="AY109" t="s">
        <v>1694</v>
      </c>
      <c r="AZ109" t="s">
        <v>1694</v>
      </c>
      <c r="BA109" t="s">
        <v>1726</v>
      </c>
      <c r="BB109" t="s">
        <v>1695</v>
      </c>
      <c r="BC109" t="s">
        <v>1694</v>
      </c>
      <c r="BD109" t="s">
        <v>1694</v>
      </c>
      <c r="BE109" t="s">
        <v>1695</v>
      </c>
      <c r="BF109" t="s">
        <v>1694</v>
      </c>
      <c r="BG109" t="s">
        <v>1697</v>
      </c>
      <c r="BH109" t="s">
        <v>1698</v>
      </c>
      <c r="BI109" t="b">
        <v>0</v>
      </c>
      <c r="BJ109">
        <f t="shared" si="1"/>
        <v>0</v>
      </c>
    </row>
    <row r="110" spans="1:62" x14ac:dyDescent="0.2">
      <c r="A110" s="5" t="s">
        <v>25</v>
      </c>
      <c r="B110" s="6">
        <v>40288</v>
      </c>
      <c r="C110" s="7">
        <v>33.677014</v>
      </c>
      <c r="D110" s="7">
        <v>-111.71122200000001</v>
      </c>
      <c r="E110" s="17">
        <v>537</v>
      </c>
      <c r="F110" t="s">
        <v>1694</v>
      </c>
      <c r="G110" t="s">
        <v>1694</v>
      </c>
      <c r="H110" t="s">
        <v>1694</v>
      </c>
      <c r="I110">
        <v>0</v>
      </c>
      <c r="J110" s="8">
        <v>17.262469939236663</v>
      </c>
      <c r="K110" s="8">
        <v>66.436233451030375</v>
      </c>
      <c r="L110" s="8">
        <v>16.301296609732958</v>
      </c>
      <c r="M110" s="8">
        <v>0.84102422760166751</v>
      </c>
      <c r="N110" s="8">
        <v>0.46980256806209514</v>
      </c>
      <c r="O110" s="8">
        <v>0.73626506942672298</v>
      </c>
      <c r="P110" s="8">
        <v>0.23751544776430253</v>
      </c>
      <c r="Q110" s="8">
        <v>19.219425964097809</v>
      </c>
      <c r="R110" s="8">
        <v>5.5126328310481245</v>
      </c>
      <c r="S110" s="8">
        <v>1.597</v>
      </c>
      <c r="T110" s="8">
        <v>1.724</v>
      </c>
      <c r="U110" s="8">
        <v>1.2909999999999999</v>
      </c>
      <c r="V110" s="8">
        <v>1.173</v>
      </c>
      <c r="W110" s="8">
        <v>0.30600000000000005</v>
      </c>
      <c r="X110" s="8">
        <v>0.55099999999999993</v>
      </c>
      <c r="Y110" s="8">
        <v>3.0193236714975842</v>
      </c>
      <c r="Z110" s="8">
        <v>2.3668639053254457</v>
      </c>
      <c r="AA110" s="8">
        <v>8.2899999999999991</v>
      </c>
      <c r="AB110">
        <v>0.252</v>
      </c>
      <c r="AC110" s="8">
        <v>1.5700483091787318</v>
      </c>
      <c r="AD110" s="8">
        <v>2.2189349112426089</v>
      </c>
      <c r="AE110" s="8">
        <v>5.5E-2</v>
      </c>
      <c r="AF110" s="8">
        <v>2.8000000000000001E-2</v>
      </c>
      <c r="AG110" s="8">
        <v>1.456790514698612</v>
      </c>
      <c r="AH110" s="8">
        <v>29.036363636363635</v>
      </c>
      <c r="AI110" s="8">
        <v>31.345454545454544</v>
      </c>
      <c r="AJ110" t="s">
        <v>1694</v>
      </c>
      <c r="AK110" t="s">
        <v>1694</v>
      </c>
      <c r="AL110" t="s">
        <v>1694</v>
      </c>
      <c r="AM110" t="s">
        <v>1694</v>
      </c>
      <c r="AN110" t="s">
        <v>1694</v>
      </c>
      <c r="AO110" t="s">
        <v>1694</v>
      </c>
      <c r="AP110" t="s">
        <v>1695</v>
      </c>
      <c r="AQ110" t="s">
        <v>1694</v>
      </c>
      <c r="AR110" t="s">
        <v>1694</v>
      </c>
      <c r="AS110" t="s">
        <v>1726</v>
      </c>
      <c r="AT110" t="s">
        <v>1694</v>
      </c>
      <c r="AU110" t="s">
        <v>1695</v>
      </c>
      <c r="AV110" t="s">
        <v>1694</v>
      </c>
      <c r="AW110" t="s">
        <v>1694</v>
      </c>
      <c r="AX110" t="s">
        <v>1695</v>
      </c>
      <c r="AY110" t="s">
        <v>1694</v>
      </c>
      <c r="AZ110" t="s">
        <v>1694</v>
      </c>
      <c r="BA110" t="s">
        <v>1726</v>
      </c>
      <c r="BB110" t="s">
        <v>1695</v>
      </c>
      <c r="BC110" t="s">
        <v>1694</v>
      </c>
      <c r="BD110" t="s">
        <v>1694</v>
      </c>
      <c r="BE110" t="s">
        <v>1695</v>
      </c>
      <c r="BF110" t="s">
        <v>1694</v>
      </c>
      <c r="BG110" t="s">
        <v>1697</v>
      </c>
      <c r="BH110" t="s">
        <v>1698</v>
      </c>
      <c r="BI110" t="b">
        <v>1</v>
      </c>
      <c r="BJ110">
        <f t="shared" si="1"/>
        <v>1</v>
      </c>
    </row>
    <row r="111" spans="1:62" x14ac:dyDescent="0.2">
      <c r="A111" s="5" t="s">
        <v>25</v>
      </c>
      <c r="B111" s="6">
        <v>45040</v>
      </c>
      <c r="C111" s="7">
        <v>33.677014</v>
      </c>
      <c r="D111" s="7">
        <v>-111.71122200000001</v>
      </c>
      <c r="E111" s="17">
        <v>537</v>
      </c>
      <c r="F111" t="s">
        <v>1694</v>
      </c>
      <c r="G111" t="s">
        <v>1694</v>
      </c>
      <c r="H111" t="s">
        <v>1694</v>
      </c>
      <c r="I111">
        <v>0</v>
      </c>
      <c r="J111" s="6" t="s">
        <v>1697</v>
      </c>
      <c r="K111" s="6" t="s">
        <v>1697</v>
      </c>
      <c r="L111" s="6" t="s">
        <v>1697</v>
      </c>
      <c r="M111" s="6" t="s">
        <v>1697</v>
      </c>
      <c r="N111" s="6" t="s">
        <v>1697</v>
      </c>
      <c r="O111" s="6" t="s">
        <v>1697</v>
      </c>
      <c r="P111" s="6" t="s">
        <v>1697</v>
      </c>
      <c r="Q111" s="6" t="s">
        <v>1697</v>
      </c>
      <c r="R111" s="6" t="s">
        <v>1697</v>
      </c>
      <c r="S111" s="6" t="s">
        <v>1697</v>
      </c>
      <c r="T111" s="6" t="s">
        <v>1697</v>
      </c>
      <c r="U111" s="6" t="s">
        <v>1697</v>
      </c>
      <c r="V111" s="6" t="s">
        <v>1697</v>
      </c>
      <c r="W111" s="6" t="s">
        <v>1697</v>
      </c>
      <c r="X111" s="6" t="s">
        <v>1697</v>
      </c>
      <c r="Y111" s="6" t="s">
        <v>1697</v>
      </c>
      <c r="Z111" s="6" t="s">
        <v>1697</v>
      </c>
      <c r="AA111" s="6" t="s">
        <v>1697</v>
      </c>
      <c r="AB111" s="6" t="s">
        <v>1697</v>
      </c>
      <c r="AC111" s="6" t="s">
        <v>1697</v>
      </c>
      <c r="AD111" s="6" t="s">
        <v>1697</v>
      </c>
      <c r="AE111" s="6" t="s">
        <v>1697</v>
      </c>
      <c r="AF111" s="6" t="s">
        <v>1697</v>
      </c>
      <c r="AG111" s="6" t="s">
        <v>1697</v>
      </c>
      <c r="AH111" s="6" t="s">
        <v>1697</v>
      </c>
      <c r="AI111" s="6" t="s">
        <v>1697</v>
      </c>
      <c r="AJ111" t="s">
        <v>1694</v>
      </c>
      <c r="AK111" t="s">
        <v>1694</v>
      </c>
      <c r="AL111" t="s">
        <v>1694</v>
      </c>
      <c r="AM111" t="s">
        <v>1694</v>
      </c>
      <c r="AN111" t="s">
        <v>1694</v>
      </c>
      <c r="AO111" t="s">
        <v>1694</v>
      </c>
      <c r="AP111" t="s">
        <v>1695</v>
      </c>
      <c r="AQ111" t="s">
        <v>1694</v>
      </c>
      <c r="AR111" t="s">
        <v>1694</v>
      </c>
      <c r="AS111" t="s">
        <v>1726</v>
      </c>
      <c r="AT111" t="s">
        <v>1694</v>
      </c>
      <c r="AU111" t="s">
        <v>1695</v>
      </c>
      <c r="AV111" t="s">
        <v>1694</v>
      </c>
      <c r="AW111" t="s">
        <v>1694</v>
      </c>
      <c r="AX111" t="s">
        <v>1695</v>
      </c>
      <c r="AY111" t="s">
        <v>1694</v>
      </c>
      <c r="AZ111" t="s">
        <v>1694</v>
      </c>
      <c r="BA111" t="s">
        <v>1726</v>
      </c>
      <c r="BB111" t="s">
        <v>1695</v>
      </c>
      <c r="BC111" t="s">
        <v>1694</v>
      </c>
      <c r="BD111" t="s">
        <v>1694</v>
      </c>
      <c r="BE111" t="s">
        <v>1695</v>
      </c>
      <c r="BF111" t="s">
        <v>1694</v>
      </c>
      <c r="BG111" s="6" t="s">
        <v>1697</v>
      </c>
      <c r="BH111" s="6" t="s">
        <v>1697</v>
      </c>
      <c r="BI111" t="b">
        <v>1</v>
      </c>
      <c r="BJ111">
        <f t="shared" si="1"/>
        <v>1</v>
      </c>
    </row>
    <row r="112" spans="1:62" x14ac:dyDescent="0.2">
      <c r="A112" s="5" t="s">
        <v>26</v>
      </c>
      <c r="B112" s="6">
        <v>36620</v>
      </c>
      <c r="C112" s="7">
        <v>33.456302999999998</v>
      </c>
      <c r="D112" s="7">
        <v>-111.68474999999999</v>
      </c>
      <c r="E112" s="17">
        <v>464</v>
      </c>
      <c r="F112" t="s">
        <v>1706</v>
      </c>
      <c r="G112" t="s">
        <v>1710</v>
      </c>
      <c r="H112" t="s">
        <v>1710</v>
      </c>
      <c r="I112">
        <v>1</v>
      </c>
      <c r="J112" s="8">
        <v>15.366115767118439</v>
      </c>
      <c r="K112" s="8">
        <v>58.195135920284557</v>
      </c>
      <c r="L112" s="8">
        <v>26.438748312596999</v>
      </c>
      <c r="M112" s="8">
        <v>2.9719168953298878</v>
      </c>
      <c r="N112" s="8">
        <v>3.409323071253973</v>
      </c>
      <c r="O112" s="8">
        <v>5.0543422235778577</v>
      </c>
      <c r="P112" s="8">
        <v>0.95271407179344658</v>
      </c>
      <c r="Q112" s="8">
        <v>14.81283483517187</v>
      </c>
      <c r="R112" s="8">
        <v>1.8752374604472979</v>
      </c>
      <c r="S112" s="8">
        <v>0.38100000000000001</v>
      </c>
      <c r="T112" s="8">
        <v>0.27900000000000003</v>
      </c>
      <c r="U112" s="8">
        <v>0.129</v>
      </c>
      <c r="V112" s="8">
        <v>0.13500000000000001</v>
      </c>
      <c r="W112" s="8">
        <v>0.252</v>
      </c>
      <c r="X112" s="8">
        <v>0.14399999999999999</v>
      </c>
      <c r="Y112" s="8">
        <v>1.3418099999999999</v>
      </c>
      <c r="Z112" s="8">
        <v>1.6106400000000001</v>
      </c>
      <c r="AA112" s="9">
        <v>8.25</v>
      </c>
      <c r="AB112" s="10">
        <v>0.35949999999999999</v>
      </c>
      <c r="AC112" s="8">
        <v>3.2208600000000001</v>
      </c>
      <c r="AD112" s="8">
        <v>4.6962700000000002</v>
      </c>
      <c r="AE112" s="8">
        <v>2.1999999999999999E-2</v>
      </c>
      <c r="AF112" s="8">
        <v>1.4E-2</v>
      </c>
      <c r="AG112" s="8">
        <v>1.4264275753133189</v>
      </c>
      <c r="AH112" s="8">
        <v>17.31818181818182</v>
      </c>
      <c r="AI112" s="8">
        <v>12.681818181818183</v>
      </c>
      <c r="AJ112" t="s">
        <v>1694</v>
      </c>
      <c r="AK112" t="s">
        <v>1694</v>
      </c>
      <c r="AL112" t="s">
        <v>1694</v>
      </c>
      <c r="AM112" t="s">
        <v>1694</v>
      </c>
      <c r="AN112" t="s">
        <v>1694</v>
      </c>
      <c r="AO112" t="s">
        <v>1694</v>
      </c>
      <c r="AP112" t="s">
        <v>1695</v>
      </c>
      <c r="AQ112" t="s">
        <v>1694</v>
      </c>
      <c r="AR112" t="s">
        <v>1694</v>
      </c>
      <c r="AS112" t="s">
        <v>1694</v>
      </c>
      <c r="AT112" t="s">
        <v>1694</v>
      </c>
      <c r="AU112" t="s">
        <v>1706</v>
      </c>
      <c r="AV112" t="s">
        <v>1723</v>
      </c>
      <c r="AW112" t="s">
        <v>1706</v>
      </c>
      <c r="AX112" t="s">
        <v>1706</v>
      </c>
      <c r="AY112" t="s">
        <v>1723</v>
      </c>
      <c r="AZ112" t="s">
        <v>1706</v>
      </c>
      <c r="BA112" t="s">
        <v>1700</v>
      </c>
      <c r="BB112" t="s">
        <v>1706</v>
      </c>
      <c r="BC112" t="s">
        <v>1723</v>
      </c>
      <c r="BD112" t="s">
        <v>1706</v>
      </c>
      <c r="BE112" t="s">
        <v>1706</v>
      </c>
      <c r="BF112" t="s">
        <v>1707</v>
      </c>
      <c r="BG112">
        <v>25</v>
      </c>
      <c r="BH112" s="12" t="s">
        <v>1709</v>
      </c>
      <c r="BI112" t="b">
        <v>0</v>
      </c>
      <c r="BJ112">
        <f t="shared" si="1"/>
        <v>0</v>
      </c>
    </row>
    <row r="113" spans="1:62" x14ac:dyDescent="0.2">
      <c r="A113" s="5" t="s">
        <v>26</v>
      </c>
      <c r="B113" s="6">
        <v>38490</v>
      </c>
      <c r="C113" s="7">
        <v>33.456302999999998</v>
      </c>
      <c r="D113" s="7">
        <v>-111.68474999999999</v>
      </c>
      <c r="E113" s="17">
        <v>464</v>
      </c>
      <c r="F113" t="s">
        <v>1706</v>
      </c>
      <c r="G113" t="s">
        <v>1728</v>
      </c>
      <c r="H113" t="s">
        <v>1728</v>
      </c>
      <c r="I113">
        <v>1</v>
      </c>
      <c r="J113" s="8">
        <v>12.236134378238027</v>
      </c>
      <c r="K113" s="8">
        <v>69.328667746488989</v>
      </c>
      <c r="L113" s="8">
        <v>18.435197875272991</v>
      </c>
      <c r="M113" s="8">
        <v>0.55899153651884093</v>
      </c>
      <c r="N113" s="8">
        <v>2.1776372577618135</v>
      </c>
      <c r="O113" s="8">
        <v>3.9408903324578279</v>
      </c>
      <c r="P113" s="8">
        <v>0.96867312500439318</v>
      </c>
      <c r="Q113" s="8">
        <v>4.0524119112781722</v>
      </c>
      <c r="R113" s="8">
        <v>4.7354910796206449</v>
      </c>
      <c r="S113" s="8">
        <v>0.77700000000000002</v>
      </c>
      <c r="T113" s="8">
        <v>1.3859999999999999</v>
      </c>
      <c r="U113" s="8">
        <v>0.73</v>
      </c>
      <c r="V113" s="8">
        <v>1.24</v>
      </c>
      <c r="W113" s="8">
        <v>4.7000000000000042E-2</v>
      </c>
      <c r="X113" s="8">
        <v>0.14599999999999991</v>
      </c>
      <c r="Y113" s="8">
        <v>2.117263843648221</v>
      </c>
      <c r="Z113" s="8">
        <v>2.3255813953488436</v>
      </c>
      <c r="AA113" s="8">
        <v>8.4600000000000009</v>
      </c>
      <c r="AB113">
        <v>0.187</v>
      </c>
      <c r="AC113" s="8">
        <v>5.5374592833876193</v>
      </c>
      <c r="AD113" s="8">
        <v>9.5137420718816088</v>
      </c>
      <c r="AE113" s="8">
        <v>0.01</v>
      </c>
      <c r="AF113" s="8">
        <v>1.4999999999999999E-2</v>
      </c>
      <c r="AG113" s="8">
        <v>1.3806350848418989</v>
      </c>
      <c r="AH113" s="8">
        <v>77.7</v>
      </c>
      <c r="AI113" s="8">
        <v>138.6</v>
      </c>
      <c r="AJ113" t="s">
        <v>1694</v>
      </c>
      <c r="AK113" t="s">
        <v>1694</v>
      </c>
      <c r="AL113" t="s">
        <v>1694</v>
      </c>
      <c r="AM113" t="s">
        <v>1694</v>
      </c>
      <c r="AN113" t="s">
        <v>1694</v>
      </c>
      <c r="AO113" t="s">
        <v>1694</v>
      </c>
      <c r="AP113" t="s">
        <v>1695</v>
      </c>
      <c r="AQ113" t="s">
        <v>1694</v>
      </c>
      <c r="AR113" t="s">
        <v>1694</v>
      </c>
      <c r="AS113" t="s">
        <v>1694</v>
      </c>
      <c r="AT113" t="s">
        <v>1694</v>
      </c>
      <c r="AU113" t="s">
        <v>1706</v>
      </c>
      <c r="AV113" t="s">
        <v>1723</v>
      </c>
      <c r="AW113" t="s">
        <v>1706</v>
      </c>
      <c r="AX113" t="s">
        <v>1706</v>
      </c>
      <c r="AY113" t="s">
        <v>1723</v>
      </c>
      <c r="AZ113" t="s">
        <v>1706</v>
      </c>
      <c r="BA113" t="s">
        <v>1700</v>
      </c>
      <c r="BB113" t="s">
        <v>1706</v>
      </c>
      <c r="BC113" t="s">
        <v>1723</v>
      </c>
      <c r="BD113" t="s">
        <v>1706</v>
      </c>
      <c r="BE113" t="s">
        <v>1706</v>
      </c>
      <c r="BF113" t="s">
        <v>1707</v>
      </c>
      <c r="BG113">
        <v>30</v>
      </c>
      <c r="BH113" s="12" t="s">
        <v>1709</v>
      </c>
      <c r="BI113" t="b">
        <v>0</v>
      </c>
      <c r="BJ113">
        <f t="shared" si="1"/>
        <v>0</v>
      </c>
    </row>
    <row r="114" spans="1:62" x14ac:dyDescent="0.2">
      <c r="A114" s="5" t="s">
        <v>27</v>
      </c>
      <c r="B114" s="6">
        <v>38422</v>
      </c>
      <c r="C114" s="7">
        <v>33.388005999999997</v>
      </c>
      <c r="D114" s="7">
        <v>-111.673603</v>
      </c>
      <c r="E114" s="17">
        <v>421</v>
      </c>
      <c r="F114" t="s">
        <v>1700</v>
      </c>
      <c r="G114" t="s">
        <v>1699</v>
      </c>
      <c r="H114" t="s">
        <v>1701</v>
      </c>
      <c r="I114">
        <v>1</v>
      </c>
      <c r="J114" s="8">
        <v>13.062117219456935</v>
      </c>
      <c r="K114" s="8">
        <v>65.902380952736337</v>
      </c>
      <c r="L114" s="8">
        <v>21.035501827806726</v>
      </c>
      <c r="M114" s="8">
        <v>1.2535724508308796</v>
      </c>
      <c r="N114" s="8">
        <v>2.8739331198360349</v>
      </c>
      <c r="O114" s="8">
        <v>0.36040207961387788</v>
      </c>
      <c r="P114" s="8">
        <v>0.44705626308560548</v>
      </c>
      <c r="Q114" s="8">
        <v>0.916446655801604</v>
      </c>
      <c r="R114" s="8">
        <v>4.9940066587826193</v>
      </c>
      <c r="S114" s="8">
        <v>0.47199999999999998</v>
      </c>
      <c r="T114" s="8">
        <v>0.504</v>
      </c>
      <c r="U114" s="8">
        <v>0.224</v>
      </c>
      <c r="V114" s="8">
        <v>0.104</v>
      </c>
      <c r="W114" s="8">
        <v>0.24799999999999997</v>
      </c>
      <c r="X114" s="8">
        <v>0.4</v>
      </c>
      <c r="Y114" s="8">
        <v>1.9354838709677296</v>
      </c>
      <c r="Z114" s="8">
        <v>2.4691358024691379</v>
      </c>
      <c r="AA114" s="8">
        <v>8.68</v>
      </c>
      <c r="AB114">
        <v>0.22800000000000001</v>
      </c>
      <c r="AC114" s="8">
        <v>9.3548387096774217</v>
      </c>
      <c r="AD114" s="8">
        <v>10.64814814814814</v>
      </c>
      <c r="AE114" s="8">
        <v>0.02</v>
      </c>
      <c r="AF114" s="8">
        <v>1.7000000000000001E-2</v>
      </c>
      <c r="AG114" s="8">
        <v>1.428939516676168</v>
      </c>
      <c r="AH114" s="8">
        <v>23.599999999999998</v>
      </c>
      <c r="AI114" s="8">
        <v>25.2</v>
      </c>
      <c r="AJ114" t="s">
        <v>1694</v>
      </c>
      <c r="AK114" t="s">
        <v>1694</v>
      </c>
      <c r="AL114" t="s">
        <v>1694</v>
      </c>
      <c r="AM114" t="s">
        <v>1694</v>
      </c>
      <c r="AN114" t="s">
        <v>1694</v>
      </c>
      <c r="AO114" t="s">
        <v>1694</v>
      </c>
      <c r="AP114" t="s">
        <v>1695</v>
      </c>
      <c r="AQ114" t="s">
        <v>1694</v>
      </c>
      <c r="AR114" t="s">
        <v>1694</v>
      </c>
      <c r="AS114" t="s">
        <v>1694</v>
      </c>
      <c r="AT114" t="s">
        <v>1694</v>
      </c>
      <c r="AU114" t="s">
        <v>1695</v>
      </c>
      <c r="AV114" t="s">
        <v>1694</v>
      </c>
      <c r="AW114" t="s">
        <v>1694</v>
      </c>
      <c r="AX114" t="s">
        <v>1695</v>
      </c>
      <c r="AY114" t="s">
        <v>1711</v>
      </c>
      <c r="AZ114" t="s">
        <v>1711</v>
      </c>
      <c r="BA114" t="s">
        <v>1700</v>
      </c>
      <c r="BB114" t="s">
        <v>1695</v>
      </c>
      <c r="BC114" t="s">
        <v>1711</v>
      </c>
      <c r="BD114" t="s">
        <v>1711</v>
      </c>
      <c r="BE114" t="s">
        <v>1701</v>
      </c>
      <c r="BF114" t="s">
        <v>1739</v>
      </c>
      <c r="BG114">
        <v>25</v>
      </c>
      <c r="BH114" s="12" t="s">
        <v>1709</v>
      </c>
      <c r="BI114" t="b">
        <v>0</v>
      </c>
      <c r="BJ114">
        <f t="shared" si="1"/>
        <v>0</v>
      </c>
    </row>
    <row r="115" spans="1:62" x14ac:dyDescent="0.2">
      <c r="A115" s="5" t="s">
        <v>27</v>
      </c>
      <c r="B115" s="6">
        <v>40259</v>
      </c>
      <c r="C115" s="7">
        <v>33.388005999999997</v>
      </c>
      <c r="D115" s="7">
        <v>-111.673603</v>
      </c>
      <c r="E115" s="17">
        <v>421</v>
      </c>
      <c r="F115" t="s">
        <v>1700</v>
      </c>
      <c r="G115" t="s">
        <v>1699</v>
      </c>
      <c r="H115" t="s">
        <v>1701</v>
      </c>
      <c r="I115">
        <v>1</v>
      </c>
      <c r="J115" s="8">
        <v>9.9490377963594696</v>
      </c>
      <c r="K115" s="8">
        <v>66.959422995668973</v>
      </c>
      <c r="L115" s="8">
        <v>23.09153920797155</v>
      </c>
      <c r="M115" s="8">
        <v>5.0000000000000001E-3</v>
      </c>
      <c r="N115" s="8">
        <v>5.0000000000000001E-3</v>
      </c>
      <c r="O115" s="8">
        <v>0.62755528544131234</v>
      </c>
      <c r="P115" s="8">
        <v>2.5000000000000001E-3</v>
      </c>
      <c r="Q115" s="8">
        <v>13.651579363043208</v>
      </c>
      <c r="R115" s="8">
        <v>6.4594131919961857</v>
      </c>
      <c r="S115" s="8">
        <v>0.51200000000000001</v>
      </c>
      <c r="T115" s="8">
        <v>0.224</v>
      </c>
      <c r="U115" s="8">
        <v>0.188</v>
      </c>
      <c r="V115" s="8">
        <v>9.4E-2</v>
      </c>
      <c r="W115" s="8">
        <v>0.32400000000000001</v>
      </c>
      <c r="X115" s="8">
        <v>0.13</v>
      </c>
      <c r="Y115" s="8">
        <v>1.7913593256059002</v>
      </c>
      <c r="Z115" s="8">
        <v>1.3640238704177334</v>
      </c>
      <c r="AA115" s="8">
        <v>8.24</v>
      </c>
      <c r="AB115">
        <v>0.56699999999999995</v>
      </c>
      <c r="AC115" s="8">
        <v>3.2665964172813542</v>
      </c>
      <c r="AD115" s="8">
        <v>5.2003410059675996</v>
      </c>
      <c r="AE115" s="8">
        <v>2.5999999999999999E-2</v>
      </c>
      <c r="AF115" s="8">
        <v>1.2999999999999999E-2</v>
      </c>
      <c r="AG115" s="8">
        <v>1.4455177868570908</v>
      </c>
      <c r="AH115" s="8">
        <v>19.692307692307693</v>
      </c>
      <c r="AI115" s="8">
        <v>8.6153846153846168</v>
      </c>
      <c r="AJ115" t="s">
        <v>1694</v>
      </c>
      <c r="AK115" t="s">
        <v>1694</v>
      </c>
      <c r="AL115" t="s">
        <v>1694</v>
      </c>
      <c r="AM115" t="s">
        <v>1694</v>
      </c>
      <c r="AN115" t="s">
        <v>1694</v>
      </c>
      <c r="AO115" t="s">
        <v>1694</v>
      </c>
      <c r="AP115" t="s">
        <v>1695</v>
      </c>
      <c r="AQ115" t="s">
        <v>1694</v>
      </c>
      <c r="AR115" t="s">
        <v>1694</v>
      </c>
      <c r="AS115" t="s">
        <v>1694</v>
      </c>
      <c r="AT115" t="s">
        <v>1694</v>
      </c>
      <c r="AU115" t="s">
        <v>1695</v>
      </c>
      <c r="AV115" t="s">
        <v>1694</v>
      </c>
      <c r="AW115" t="s">
        <v>1694</v>
      </c>
      <c r="AX115" t="s">
        <v>1695</v>
      </c>
      <c r="AY115" t="s">
        <v>1711</v>
      </c>
      <c r="AZ115" t="s">
        <v>1711</v>
      </c>
      <c r="BA115" t="s">
        <v>1700</v>
      </c>
      <c r="BB115" t="s">
        <v>1695</v>
      </c>
      <c r="BC115" t="s">
        <v>1711</v>
      </c>
      <c r="BD115" t="s">
        <v>1711</v>
      </c>
      <c r="BE115" t="s">
        <v>1701</v>
      </c>
      <c r="BF115" t="s">
        <v>1739</v>
      </c>
      <c r="BG115">
        <v>30</v>
      </c>
      <c r="BH115" s="12" t="s">
        <v>1709</v>
      </c>
      <c r="BI115" t="b">
        <v>0</v>
      </c>
      <c r="BJ115">
        <f t="shared" si="1"/>
        <v>0</v>
      </c>
    </row>
    <row r="116" spans="1:62" x14ac:dyDescent="0.2">
      <c r="A116" s="5" t="s">
        <v>27</v>
      </c>
      <c r="B116" s="6">
        <v>42089</v>
      </c>
      <c r="C116" s="7">
        <v>33.388005999999997</v>
      </c>
      <c r="D116" s="7">
        <v>-111.673603</v>
      </c>
      <c r="E116" s="17">
        <v>421</v>
      </c>
      <c r="F116" t="s">
        <v>1700</v>
      </c>
      <c r="G116" t="s">
        <v>1699</v>
      </c>
      <c r="H116" t="s">
        <v>1701</v>
      </c>
      <c r="I116">
        <v>1</v>
      </c>
      <c r="J116" t="s">
        <v>1697</v>
      </c>
      <c r="K116" t="s">
        <v>1697</v>
      </c>
      <c r="L116" t="s">
        <v>1697</v>
      </c>
      <c r="M116" t="s">
        <v>1697</v>
      </c>
      <c r="N116" t="s">
        <v>1697</v>
      </c>
      <c r="O116" t="s">
        <v>1697</v>
      </c>
      <c r="P116" t="s">
        <v>1697</v>
      </c>
      <c r="Q116" t="s">
        <v>1697</v>
      </c>
      <c r="R116" t="s">
        <v>1697</v>
      </c>
      <c r="S116" t="s">
        <v>1697</v>
      </c>
      <c r="T116" t="s">
        <v>1697</v>
      </c>
      <c r="U116" t="s">
        <v>1697</v>
      </c>
      <c r="V116" t="s">
        <v>1697</v>
      </c>
      <c r="W116" t="s">
        <v>1697</v>
      </c>
      <c r="X116" t="s">
        <v>1697</v>
      </c>
      <c r="Y116" t="s">
        <v>1697</v>
      </c>
      <c r="Z116" t="s">
        <v>1697</v>
      </c>
      <c r="AA116" t="s">
        <v>1697</v>
      </c>
      <c r="AB116" t="s">
        <v>1697</v>
      </c>
      <c r="AC116" t="s">
        <v>1697</v>
      </c>
      <c r="AD116" t="s">
        <v>1697</v>
      </c>
      <c r="AE116" t="s">
        <v>1697</v>
      </c>
      <c r="AF116" t="s">
        <v>1697</v>
      </c>
      <c r="AG116" t="s">
        <v>1697</v>
      </c>
      <c r="AH116" t="s">
        <v>1697</v>
      </c>
      <c r="AI116" t="s">
        <v>1697</v>
      </c>
      <c r="AJ116" t="s">
        <v>1694</v>
      </c>
      <c r="AK116" t="s">
        <v>1694</v>
      </c>
      <c r="AL116" t="s">
        <v>1694</v>
      </c>
      <c r="AM116" t="s">
        <v>1694</v>
      </c>
      <c r="AN116" t="s">
        <v>1694</v>
      </c>
      <c r="AO116" t="s">
        <v>1694</v>
      </c>
      <c r="AP116" t="s">
        <v>1697</v>
      </c>
      <c r="AQ116" t="s">
        <v>1697</v>
      </c>
      <c r="AR116" t="s">
        <v>1694</v>
      </c>
      <c r="AS116" t="s">
        <v>1694</v>
      </c>
      <c r="AT116" t="s">
        <v>1694</v>
      </c>
      <c r="AU116" t="s">
        <v>1695</v>
      </c>
      <c r="AV116" t="s">
        <v>1694</v>
      </c>
      <c r="AW116" t="s">
        <v>1694</v>
      </c>
      <c r="AX116" t="s">
        <v>1695</v>
      </c>
      <c r="AY116" t="s">
        <v>1711</v>
      </c>
      <c r="AZ116" t="s">
        <v>1711</v>
      </c>
      <c r="BA116" t="s">
        <v>1700</v>
      </c>
      <c r="BB116" t="s">
        <v>1695</v>
      </c>
      <c r="BC116" t="s">
        <v>1711</v>
      </c>
      <c r="BD116" t="s">
        <v>1711</v>
      </c>
      <c r="BE116" t="s">
        <v>1701</v>
      </c>
      <c r="BF116" t="s">
        <v>1739</v>
      </c>
      <c r="BG116">
        <v>35</v>
      </c>
      <c r="BH116" s="12" t="s">
        <v>1709</v>
      </c>
      <c r="BI116" t="b">
        <v>0</v>
      </c>
      <c r="BJ116">
        <f t="shared" si="1"/>
        <v>0</v>
      </c>
    </row>
    <row r="117" spans="1:62" x14ac:dyDescent="0.2">
      <c r="A117" s="5" t="s">
        <v>27</v>
      </c>
      <c r="B117" s="6">
        <v>45047</v>
      </c>
      <c r="C117" s="7">
        <v>33.388005999999997</v>
      </c>
      <c r="D117" s="7">
        <v>-111.673603</v>
      </c>
      <c r="E117" s="17">
        <v>421</v>
      </c>
      <c r="F117" t="s">
        <v>1700</v>
      </c>
      <c r="G117" t="s">
        <v>1699</v>
      </c>
      <c r="H117" t="s">
        <v>1701</v>
      </c>
      <c r="I117">
        <v>1</v>
      </c>
      <c r="J117" t="s">
        <v>1697</v>
      </c>
      <c r="K117" t="s">
        <v>1697</v>
      </c>
      <c r="L117" t="s">
        <v>1697</v>
      </c>
      <c r="M117" t="s">
        <v>1697</v>
      </c>
      <c r="N117" t="s">
        <v>1697</v>
      </c>
      <c r="O117" t="s">
        <v>1697</v>
      </c>
      <c r="P117" t="s">
        <v>1697</v>
      </c>
      <c r="Q117" t="s">
        <v>1697</v>
      </c>
      <c r="R117" t="s">
        <v>1697</v>
      </c>
      <c r="S117" t="s">
        <v>1697</v>
      </c>
      <c r="T117" t="s">
        <v>1697</v>
      </c>
      <c r="U117" t="s">
        <v>1697</v>
      </c>
      <c r="V117" t="s">
        <v>1697</v>
      </c>
      <c r="W117" t="s">
        <v>1697</v>
      </c>
      <c r="X117" t="s">
        <v>1697</v>
      </c>
      <c r="Y117" t="s">
        <v>1697</v>
      </c>
      <c r="Z117" t="s">
        <v>1697</v>
      </c>
      <c r="AA117" t="s">
        <v>1697</v>
      </c>
      <c r="AB117" t="s">
        <v>1697</v>
      </c>
      <c r="AC117" t="s">
        <v>1697</v>
      </c>
      <c r="AD117" t="s">
        <v>1697</v>
      </c>
      <c r="AE117" t="s">
        <v>1697</v>
      </c>
      <c r="AF117" t="s">
        <v>1697</v>
      </c>
      <c r="AG117" t="s">
        <v>1697</v>
      </c>
      <c r="AH117" t="s">
        <v>1697</v>
      </c>
      <c r="AI117" t="s">
        <v>1697</v>
      </c>
      <c r="AJ117" t="s">
        <v>1694</v>
      </c>
      <c r="AK117" t="s">
        <v>1694</v>
      </c>
      <c r="AL117" t="s">
        <v>1694</v>
      </c>
      <c r="AM117" t="s">
        <v>1694</v>
      </c>
      <c r="AN117" t="s">
        <v>1694</v>
      </c>
      <c r="AO117" t="s">
        <v>1694</v>
      </c>
      <c r="AP117" t="s">
        <v>1697</v>
      </c>
      <c r="AQ117" t="s">
        <v>1697</v>
      </c>
      <c r="AR117" t="s">
        <v>1694</v>
      </c>
      <c r="AS117" t="s">
        <v>1694</v>
      </c>
      <c r="AT117" t="s">
        <v>1694</v>
      </c>
      <c r="AU117" t="s">
        <v>1695</v>
      </c>
      <c r="AV117" t="s">
        <v>1694</v>
      </c>
      <c r="AW117" t="s">
        <v>1694</v>
      </c>
      <c r="AX117" t="s">
        <v>1695</v>
      </c>
      <c r="AY117" t="s">
        <v>1711</v>
      </c>
      <c r="AZ117" t="s">
        <v>1711</v>
      </c>
      <c r="BA117" t="s">
        <v>1700</v>
      </c>
      <c r="BB117" t="s">
        <v>1695</v>
      </c>
      <c r="BC117" t="s">
        <v>1711</v>
      </c>
      <c r="BD117" t="s">
        <v>1711</v>
      </c>
      <c r="BE117" t="s">
        <v>1701</v>
      </c>
      <c r="BF117" t="s">
        <v>1739</v>
      </c>
      <c r="BG117" s="6" t="s">
        <v>1697</v>
      </c>
      <c r="BH117" s="6" t="s">
        <v>1697</v>
      </c>
      <c r="BI117" t="b">
        <v>1</v>
      </c>
      <c r="BJ117">
        <f t="shared" si="1"/>
        <v>1</v>
      </c>
    </row>
    <row r="118" spans="1:62" x14ac:dyDescent="0.2">
      <c r="A118" s="5" t="s">
        <v>28</v>
      </c>
      <c r="B118" s="6">
        <v>38420</v>
      </c>
      <c r="C118" s="7">
        <v>33.370094000000002</v>
      </c>
      <c r="D118" s="7">
        <v>-111.67489399999999</v>
      </c>
      <c r="E118" s="17">
        <v>414</v>
      </c>
      <c r="F118" t="s">
        <v>1706</v>
      </c>
      <c r="G118" t="s">
        <v>1710</v>
      </c>
      <c r="H118" t="s">
        <v>1710</v>
      </c>
      <c r="I118">
        <v>1</v>
      </c>
      <c r="J118" s="8">
        <v>16.196183085028409</v>
      </c>
      <c r="K118" s="8">
        <v>65.364136340245778</v>
      </c>
      <c r="L118" s="8">
        <v>18.439680574725813</v>
      </c>
      <c r="M118" s="8">
        <v>2.8472837446913366</v>
      </c>
      <c r="N118" s="8">
        <v>0.7901928806507722</v>
      </c>
      <c r="O118" s="8">
        <v>1.4747469651991025</v>
      </c>
      <c r="P118" s="8">
        <v>0.64652144780517717</v>
      </c>
      <c r="Q118" s="8">
        <v>45.447692704308601</v>
      </c>
      <c r="R118" s="8">
        <v>6.3726262213290568</v>
      </c>
      <c r="S118" s="8">
        <v>1.0149999999999999</v>
      </c>
      <c r="T118" s="8">
        <v>0.23699999999999999</v>
      </c>
      <c r="U118" s="8">
        <v>0.14699999999999999</v>
      </c>
      <c r="V118" s="8">
        <v>0.20499999999999999</v>
      </c>
      <c r="W118" s="8">
        <v>0.86799999999999988</v>
      </c>
      <c r="X118" s="8">
        <v>3.2000000000000001E-2</v>
      </c>
      <c r="Y118" s="8">
        <v>3.4296028880866336</v>
      </c>
      <c r="Z118" s="8">
        <v>1.6290726817042702</v>
      </c>
      <c r="AA118" s="8">
        <v>7.88</v>
      </c>
      <c r="AB118">
        <v>0.21099999999999999</v>
      </c>
      <c r="AC118" s="8">
        <v>16.425992779783414</v>
      </c>
      <c r="AD118" s="8">
        <v>13.533834586466165</v>
      </c>
      <c r="AE118" s="8">
        <v>7.9000000000000001E-2</v>
      </c>
      <c r="AF118" s="8">
        <v>2.4E-2</v>
      </c>
      <c r="AG118" s="8">
        <v>1.2622792216865888</v>
      </c>
      <c r="AH118" s="8">
        <v>12.848101265822784</v>
      </c>
      <c r="AI118" s="8">
        <v>3</v>
      </c>
      <c r="AJ118" t="s">
        <v>1694</v>
      </c>
      <c r="AK118" t="s">
        <v>1694</v>
      </c>
      <c r="AL118" t="s">
        <v>1694</v>
      </c>
      <c r="AM118" t="s">
        <v>1694</v>
      </c>
      <c r="AN118" t="s">
        <v>1694</v>
      </c>
      <c r="AO118" t="s">
        <v>1694</v>
      </c>
      <c r="AP118" t="s">
        <v>1702</v>
      </c>
      <c r="AQ118" t="s">
        <v>1725</v>
      </c>
      <c r="AR118" t="s">
        <v>1703</v>
      </c>
      <c r="AS118" t="s">
        <v>1702</v>
      </c>
      <c r="AT118" t="s">
        <v>1703</v>
      </c>
      <c r="AU118" t="s">
        <v>1704</v>
      </c>
      <c r="AV118" t="s">
        <v>1725</v>
      </c>
      <c r="AW118" t="s">
        <v>1703</v>
      </c>
      <c r="AX118" t="s">
        <v>1704</v>
      </c>
      <c r="AY118" t="s">
        <v>1705</v>
      </c>
      <c r="AZ118" t="s">
        <v>1703</v>
      </c>
      <c r="BA118" t="s">
        <v>1700</v>
      </c>
      <c r="BB118" t="s">
        <v>1734</v>
      </c>
      <c r="BC118" t="s">
        <v>1734</v>
      </c>
      <c r="BD118" t="s">
        <v>1706</v>
      </c>
      <c r="BE118" t="s">
        <v>1706</v>
      </c>
      <c r="BF118" t="s">
        <v>1723</v>
      </c>
      <c r="BG118">
        <v>15</v>
      </c>
      <c r="BH118" s="12" t="s">
        <v>1708</v>
      </c>
      <c r="BI118" t="b">
        <v>0</v>
      </c>
      <c r="BJ118">
        <f t="shared" si="1"/>
        <v>0</v>
      </c>
    </row>
    <row r="119" spans="1:62" x14ac:dyDescent="0.2">
      <c r="A119" s="5" t="s">
        <v>28</v>
      </c>
      <c r="B119" s="6">
        <v>40350</v>
      </c>
      <c r="C119" s="7">
        <v>33.370094000000002</v>
      </c>
      <c r="D119" s="7">
        <v>-111.67489399999999</v>
      </c>
      <c r="E119" s="17">
        <v>414</v>
      </c>
      <c r="F119" t="s">
        <v>1697</v>
      </c>
      <c r="G119" t="s">
        <v>1697</v>
      </c>
      <c r="H119" t="s">
        <v>1697</v>
      </c>
      <c r="I119" t="s">
        <v>1697</v>
      </c>
      <c r="J119" t="s">
        <v>1697</v>
      </c>
      <c r="K119" t="s">
        <v>1697</v>
      </c>
      <c r="L119" t="s">
        <v>1697</v>
      </c>
      <c r="M119" t="s">
        <v>1697</v>
      </c>
      <c r="N119" t="s">
        <v>1697</v>
      </c>
      <c r="O119" t="s">
        <v>1697</v>
      </c>
      <c r="P119" t="s">
        <v>1697</v>
      </c>
      <c r="Q119" t="s">
        <v>1697</v>
      </c>
      <c r="R119" t="s">
        <v>1697</v>
      </c>
      <c r="S119" t="s">
        <v>1697</v>
      </c>
      <c r="T119" t="s">
        <v>1697</v>
      </c>
      <c r="U119" t="s">
        <v>1697</v>
      </c>
      <c r="V119" t="s">
        <v>1697</v>
      </c>
      <c r="W119" t="s">
        <v>1697</v>
      </c>
      <c r="X119" t="s">
        <v>1697</v>
      </c>
      <c r="Y119" t="s">
        <v>1697</v>
      </c>
      <c r="Z119" t="s">
        <v>1697</v>
      </c>
      <c r="AA119" t="s">
        <v>1697</v>
      </c>
      <c r="AB119" t="s">
        <v>1697</v>
      </c>
      <c r="AC119" t="s">
        <v>1697</v>
      </c>
      <c r="AD119" t="s">
        <v>1697</v>
      </c>
      <c r="AE119" t="s">
        <v>1697</v>
      </c>
      <c r="AF119" t="s">
        <v>1697</v>
      </c>
      <c r="AG119" t="s">
        <v>1697</v>
      </c>
      <c r="AH119" t="s">
        <v>1697</v>
      </c>
      <c r="AI119" t="s">
        <v>1697</v>
      </c>
      <c r="AJ119" t="s">
        <v>1694</v>
      </c>
      <c r="AK119" t="s">
        <v>1694</v>
      </c>
      <c r="AL119" t="s">
        <v>1694</v>
      </c>
      <c r="AM119" t="s">
        <v>1694</v>
      </c>
      <c r="AN119" t="s">
        <v>1694</v>
      </c>
      <c r="AO119" t="s">
        <v>1694</v>
      </c>
      <c r="AP119" t="s">
        <v>1702</v>
      </c>
      <c r="AQ119" t="s">
        <v>1725</v>
      </c>
      <c r="AR119" t="s">
        <v>1703</v>
      </c>
      <c r="AS119" t="s">
        <v>1702</v>
      </c>
      <c r="AT119" t="s">
        <v>1703</v>
      </c>
      <c r="AU119" t="s">
        <v>1704</v>
      </c>
      <c r="AV119" t="s">
        <v>1725</v>
      </c>
      <c r="AW119" t="s">
        <v>1703</v>
      </c>
      <c r="AX119" t="s">
        <v>1704</v>
      </c>
      <c r="AY119" t="s">
        <v>1705</v>
      </c>
      <c r="AZ119" t="s">
        <v>1703</v>
      </c>
      <c r="BA119" t="s">
        <v>1700</v>
      </c>
      <c r="BB119" t="s">
        <v>1734</v>
      </c>
      <c r="BC119" t="s">
        <v>1734</v>
      </c>
      <c r="BD119" t="s">
        <v>1706</v>
      </c>
      <c r="BE119" t="s">
        <v>1706</v>
      </c>
      <c r="BF119" t="s">
        <v>1723</v>
      </c>
      <c r="BG119" s="6" t="s">
        <v>1697</v>
      </c>
      <c r="BH119" s="6" t="s">
        <v>1697</v>
      </c>
      <c r="BI119" t="b">
        <v>0</v>
      </c>
      <c r="BJ119">
        <f t="shared" si="1"/>
        <v>0</v>
      </c>
    </row>
    <row r="120" spans="1:62" x14ac:dyDescent="0.2">
      <c r="A120" s="5" t="s">
        <v>28</v>
      </c>
      <c r="B120" s="6">
        <v>45078</v>
      </c>
      <c r="C120" s="7">
        <v>33.370094000000002</v>
      </c>
      <c r="D120" s="7">
        <v>-111.67489399999999</v>
      </c>
      <c r="E120" s="17">
        <v>414</v>
      </c>
      <c r="F120" t="s">
        <v>1714</v>
      </c>
      <c r="G120" t="s">
        <v>1714</v>
      </c>
      <c r="H120" t="s">
        <v>1747</v>
      </c>
      <c r="I120">
        <v>1</v>
      </c>
      <c r="J120" t="s">
        <v>1697</v>
      </c>
      <c r="K120" t="s">
        <v>1697</v>
      </c>
      <c r="L120" t="s">
        <v>1697</v>
      </c>
      <c r="M120" t="s">
        <v>1697</v>
      </c>
      <c r="N120" t="s">
        <v>1697</v>
      </c>
      <c r="O120" t="s">
        <v>1697</v>
      </c>
      <c r="P120" t="s">
        <v>1697</v>
      </c>
      <c r="Q120" t="s">
        <v>1697</v>
      </c>
      <c r="R120" t="s">
        <v>1697</v>
      </c>
      <c r="S120" t="s">
        <v>1697</v>
      </c>
      <c r="T120" t="s">
        <v>1697</v>
      </c>
      <c r="U120" t="s">
        <v>1697</v>
      </c>
      <c r="V120" t="s">
        <v>1697</v>
      </c>
      <c r="W120" t="s">
        <v>1697</v>
      </c>
      <c r="X120" t="s">
        <v>1697</v>
      </c>
      <c r="Y120" t="s">
        <v>1697</v>
      </c>
      <c r="Z120" t="s">
        <v>1697</v>
      </c>
      <c r="AA120" t="s">
        <v>1697</v>
      </c>
      <c r="AB120" t="s">
        <v>1697</v>
      </c>
      <c r="AC120" t="s">
        <v>1697</v>
      </c>
      <c r="AD120" t="s">
        <v>1697</v>
      </c>
      <c r="AE120" t="s">
        <v>1697</v>
      </c>
      <c r="AF120" t="s">
        <v>1697</v>
      </c>
      <c r="AG120" t="s">
        <v>1697</v>
      </c>
      <c r="AH120" t="s">
        <v>1697</v>
      </c>
      <c r="AI120" t="s">
        <v>1697</v>
      </c>
      <c r="AJ120" t="s">
        <v>1694</v>
      </c>
      <c r="AK120" t="s">
        <v>1694</v>
      </c>
      <c r="AL120" t="s">
        <v>1694</v>
      </c>
      <c r="AM120" t="s">
        <v>1694</v>
      </c>
      <c r="AN120" t="s">
        <v>1694</v>
      </c>
      <c r="AO120" t="s">
        <v>1694</v>
      </c>
      <c r="AP120" t="s">
        <v>1702</v>
      </c>
      <c r="AQ120" t="s">
        <v>1725</v>
      </c>
      <c r="AR120" t="s">
        <v>1703</v>
      </c>
      <c r="AS120" t="s">
        <v>1702</v>
      </c>
      <c r="AT120" t="s">
        <v>1703</v>
      </c>
      <c r="AU120" t="s">
        <v>1704</v>
      </c>
      <c r="AV120" t="s">
        <v>1725</v>
      </c>
      <c r="AW120" t="s">
        <v>1703</v>
      </c>
      <c r="AX120" t="s">
        <v>1704</v>
      </c>
      <c r="AY120" t="s">
        <v>1705</v>
      </c>
      <c r="AZ120" t="s">
        <v>1703</v>
      </c>
      <c r="BA120" t="s">
        <v>1700</v>
      </c>
      <c r="BB120" t="s">
        <v>1734</v>
      </c>
      <c r="BC120" t="s">
        <v>1734</v>
      </c>
      <c r="BD120" t="s">
        <v>1706</v>
      </c>
      <c r="BE120" t="s">
        <v>1706</v>
      </c>
      <c r="BF120" t="s">
        <v>1723</v>
      </c>
      <c r="BG120" s="6" t="s">
        <v>1697</v>
      </c>
      <c r="BH120" s="6" t="s">
        <v>1697</v>
      </c>
      <c r="BI120" t="b">
        <v>1</v>
      </c>
      <c r="BJ120">
        <f t="shared" si="1"/>
        <v>1</v>
      </c>
    </row>
    <row r="121" spans="1:62" x14ac:dyDescent="0.2">
      <c r="A121" s="5" t="s">
        <v>29</v>
      </c>
      <c r="B121" s="6">
        <v>36608</v>
      </c>
      <c r="C121" s="7">
        <v>33.307080999999997</v>
      </c>
      <c r="D121" s="7">
        <v>-111.70298099999999</v>
      </c>
      <c r="E121" s="17">
        <v>399</v>
      </c>
      <c r="F121" t="s">
        <v>1714</v>
      </c>
      <c r="G121" t="s">
        <v>1714</v>
      </c>
      <c r="H121" t="s">
        <v>1740</v>
      </c>
      <c r="I121">
        <v>1</v>
      </c>
      <c r="J121" s="8">
        <v>15.581347036862368</v>
      </c>
      <c r="K121" s="8">
        <v>72.377807032991512</v>
      </c>
      <c r="L121" s="8">
        <v>12.040845930146119</v>
      </c>
      <c r="M121" s="8">
        <v>4.0460656111719198</v>
      </c>
      <c r="N121" s="8">
        <v>2.2028596768807587</v>
      </c>
      <c r="O121" s="8">
        <v>106.16438472059798</v>
      </c>
      <c r="P121" s="8">
        <v>100.03904112379024</v>
      </c>
      <c r="Q121" s="8">
        <v>19.135180416700706</v>
      </c>
      <c r="R121" s="8">
        <v>12.252454874516733</v>
      </c>
      <c r="S121" s="8">
        <v>0.51700000000000002</v>
      </c>
      <c r="T121" s="8">
        <v>0.28299999999999997</v>
      </c>
      <c r="U121" s="8">
        <v>0.14799999999999999</v>
      </c>
      <c r="V121" s="8">
        <v>0.104</v>
      </c>
      <c r="W121" s="8">
        <v>0.36899999999999999</v>
      </c>
      <c r="X121" s="8">
        <v>0.17899999999999999</v>
      </c>
      <c r="Y121" s="8">
        <v>1.9543999999999999</v>
      </c>
      <c r="Z121" s="8">
        <v>1.6666700000000001</v>
      </c>
      <c r="AA121" s="9">
        <v>8.6199999999999992</v>
      </c>
      <c r="AB121" s="10">
        <v>0.34499999999999997</v>
      </c>
      <c r="AC121" s="8">
        <v>4.8543700000000003</v>
      </c>
      <c r="AD121" s="8">
        <v>8.7272700000000007</v>
      </c>
      <c r="AE121" s="8">
        <v>3.1E-2</v>
      </c>
      <c r="AF121" s="8">
        <v>7.0999999999999994E-2</v>
      </c>
      <c r="AG121" s="8">
        <v>1.7204355458088381</v>
      </c>
      <c r="AH121" s="8">
        <v>16.677419354838712</v>
      </c>
      <c r="AI121" s="8">
        <v>9.129032258064516</v>
      </c>
      <c r="AJ121" t="s">
        <v>1694</v>
      </c>
      <c r="AK121" t="s">
        <v>1694</v>
      </c>
      <c r="AL121" t="s">
        <v>1702</v>
      </c>
      <c r="AM121" t="s">
        <v>1703</v>
      </c>
      <c r="AN121" t="s">
        <v>1702</v>
      </c>
      <c r="AO121" t="s">
        <v>1703</v>
      </c>
      <c r="AP121" t="s">
        <v>1702</v>
      </c>
      <c r="AQ121" t="s">
        <v>1725</v>
      </c>
      <c r="AR121" t="s">
        <v>1703</v>
      </c>
      <c r="AS121" t="s">
        <v>1702</v>
      </c>
      <c r="AT121" t="s">
        <v>1703</v>
      </c>
      <c r="AU121" t="s">
        <v>1704</v>
      </c>
      <c r="AV121" t="s">
        <v>1725</v>
      </c>
      <c r="AW121" t="s">
        <v>1703</v>
      </c>
      <c r="AX121" t="s">
        <v>1704</v>
      </c>
      <c r="AY121" t="s">
        <v>1725</v>
      </c>
      <c r="AZ121" t="s">
        <v>1703</v>
      </c>
      <c r="BA121" t="s">
        <v>1702</v>
      </c>
      <c r="BB121" t="s">
        <v>1704</v>
      </c>
      <c r="BC121" t="s">
        <v>1705</v>
      </c>
      <c r="BD121" t="s">
        <v>1703</v>
      </c>
      <c r="BE121" t="s">
        <v>1704</v>
      </c>
      <c r="BF121" t="s">
        <v>1725</v>
      </c>
      <c r="BG121">
        <v>5</v>
      </c>
      <c r="BH121" s="12" t="s">
        <v>1708</v>
      </c>
      <c r="BI121" t="b">
        <v>0</v>
      </c>
      <c r="BJ121">
        <f t="shared" si="1"/>
        <v>0</v>
      </c>
    </row>
    <row r="122" spans="1:62" x14ac:dyDescent="0.2">
      <c r="A122" s="5" t="s">
        <v>29</v>
      </c>
      <c r="B122" s="6">
        <v>38491</v>
      </c>
      <c r="C122" s="7">
        <v>33.307080999999997</v>
      </c>
      <c r="D122" s="7">
        <v>-111.70298099999999</v>
      </c>
      <c r="E122" s="17">
        <v>399</v>
      </c>
      <c r="F122" t="s">
        <v>1714</v>
      </c>
      <c r="G122" t="s">
        <v>1714</v>
      </c>
      <c r="H122" t="s">
        <v>1740</v>
      </c>
      <c r="I122">
        <v>1</v>
      </c>
      <c r="J122" s="8">
        <v>23.678131141497946</v>
      </c>
      <c r="K122" s="8">
        <v>57.920228977256336</v>
      </c>
      <c r="L122" s="8">
        <v>18.401639881245714</v>
      </c>
      <c r="M122" s="8">
        <v>1.4772609028492534</v>
      </c>
      <c r="N122" s="8">
        <v>0.79028118337209896</v>
      </c>
      <c r="O122" s="8">
        <v>22.883474842707724</v>
      </c>
      <c r="P122" s="8">
        <v>11.056752192815097</v>
      </c>
      <c r="Q122" s="8">
        <v>10.942129619116956</v>
      </c>
      <c r="R122" s="8">
        <v>16.375607399874969</v>
      </c>
      <c r="S122" s="8">
        <v>0.53400000000000003</v>
      </c>
      <c r="T122" s="8">
        <v>0.499</v>
      </c>
      <c r="U122" s="8">
        <v>0.44500000000000001</v>
      </c>
      <c r="V122" s="8">
        <v>7.3999999999999996E-2</v>
      </c>
      <c r="W122" s="8">
        <v>8.9000000000000024E-2</v>
      </c>
      <c r="X122" s="8">
        <v>0.42499999999999999</v>
      </c>
      <c r="Y122" s="8">
        <v>2.9527559055118004</v>
      </c>
      <c r="Z122" s="8">
        <v>2.781844802342599</v>
      </c>
      <c r="AA122" s="8">
        <v>8.08</v>
      </c>
      <c r="AB122">
        <v>1.089</v>
      </c>
      <c r="AC122" s="8">
        <v>6.4960629921259851</v>
      </c>
      <c r="AD122" s="8">
        <v>9.0775988286969387</v>
      </c>
      <c r="AE122" s="8">
        <v>0.02</v>
      </c>
      <c r="AF122" s="8">
        <v>3.5999999999999997E-2</v>
      </c>
      <c r="AG122" s="8">
        <v>1.3732432302598008</v>
      </c>
      <c r="AH122" s="8">
        <v>26.7</v>
      </c>
      <c r="AI122" s="8">
        <v>24.95</v>
      </c>
      <c r="AJ122" t="s">
        <v>1694</v>
      </c>
      <c r="AK122" t="s">
        <v>1694</v>
      </c>
      <c r="AL122" t="s">
        <v>1702</v>
      </c>
      <c r="AM122" t="s">
        <v>1703</v>
      </c>
      <c r="AN122" t="s">
        <v>1702</v>
      </c>
      <c r="AO122" t="s">
        <v>1703</v>
      </c>
      <c r="AP122" t="s">
        <v>1702</v>
      </c>
      <c r="AQ122" t="s">
        <v>1725</v>
      </c>
      <c r="AR122" t="s">
        <v>1703</v>
      </c>
      <c r="AS122" t="s">
        <v>1702</v>
      </c>
      <c r="AT122" t="s">
        <v>1703</v>
      </c>
      <c r="AU122" t="s">
        <v>1704</v>
      </c>
      <c r="AV122" t="s">
        <v>1725</v>
      </c>
      <c r="AW122" t="s">
        <v>1703</v>
      </c>
      <c r="AX122" t="s">
        <v>1704</v>
      </c>
      <c r="AY122" t="s">
        <v>1725</v>
      </c>
      <c r="AZ122" t="s">
        <v>1703</v>
      </c>
      <c r="BA122" t="s">
        <v>1702</v>
      </c>
      <c r="BB122" t="s">
        <v>1704</v>
      </c>
      <c r="BC122" t="s">
        <v>1705</v>
      </c>
      <c r="BD122" t="s">
        <v>1703</v>
      </c>
      <c r="BE122" t="s">
        <v>1704</v>
      </c>
      <c r="BF122" t="s">
        <v>1725</v>
      </c>
      <c r="BG122">
        <v>10</v>
      </c>
      <c r="BH122" s="12" t="s">
        <v>1708</v>
      </c>
      <c r="BI122" t="b">
        <v>0</v>
      </c>
      <c r="BJ122">
        <f t="shared" si="1"/>
        <v>0</v>
      </c>
    </row>
    <row r="123" spans="1:62" x14ac:dyDescent="0.2">
      <c r="A123" s="5" t="s">
        <v>29</v>
      </c>
      <c r="B123" s="6">
        <v>42066</v>
      </c>
      <c r="C123" s="7">
        <v>33.307080999999997</v>
      </c>
      <c r="D123" s="7">
        <v>-111.70298099999999</v>
      </c>
      <c r="E123" s="17">
        <v>399</v>
      </c>
      <c r="F123" t="s">
        <v>1697</v>
      </c>
      <c r="G123" t="s">
        <v>1697</v>
      </c>
      <c r="H123" t="s">
        <v>1697</v>
      </c>
      <c r="I123" t="s">
        <v>1697</v>
      </c>
      <c r="J123">
        <v>16.3033222220398</v>
      </c>
      <c r="K123">
        <v>58.579983876957598</v>
      </c>
      <c r="L123">
        <v>25.116693901002598</v>
      </c>
      <c r="M123">
        <v>6.0496707218344099</v>
      </c>
      <c r="N123">
        <v>8.7701117204532402</v>
      </c>
      <c r="O123">
        <v>482.95690636493202</v>
      </c>
      <c r="P123">
        <v>423.20887953349899</v>
      </c>
      <c r="Q123">
        <v>6.1052456254244896E-3</v>
      </c>
      <c r="R123">
        <v>17.516594799966601</v>
      </c>
      <c r="S123">
        <v>0.73599999999999999</v>
      </c>
      <c r="T123">
        <v>0.69099999999999995</v>
      </c>
      <c r="U123">
        <v>0.43</v>
      </c>
      <c r="V123">
        <v>0.48099999999999998</v>
      </c>
      <c r="W123">
        <v>0.30599999999999999</v>
      </c>
      <c r="X123">
        <v>0.21</v>
      </c>
      <c r="Y123">
        <v>1.8564356435643601</v>
      </c>
      <c r="Z123">
        <v>1.8918918918919001</v>
      </c>
      <c r="AA123">
        <v>8.1999999999999993</v>
      </c>
      <c r="AB123">
        <v>4.6100000000000003</v>
      </c>
      <c r="AC123">
        <v>5.87219343696027</v>
      </c>
      <c r="AD123">
        <v>4.6601941747572697</v>
      </c>
      <c r="AE123">
        <v>0.11899999999999999</v>
      </c>
      <c r="AF123">
        <v>7.1999999999999995E-2</v>
      </c>
      <c r="AG123">
        <v>1.8795935857119173</v>
      </c>
      <c r="AH123">
        <v>6.1848739495798304</v>
      </c>
      <c r="AI123">
        <v>9.5972222222222197</v>
      </c>
      <c r="AJ123" t="s">
        <v>1694</v>
      </c>
      <c r="AK123" t="s">
        <v>1694</v>
      </c>
      <c r="AL123" t="s">
        <v>1702</v>
      </c>
      <c r="AM123" t="s">
        <v>1703</v>
      </c>
      <c r="AN123" t="s">
        <v>1702</v>
      </c>
      <c r="AO123" t="s">
        <v>1703</v>
      </c>
      <c r="AP123" t="s">
        <v>1702</v>
      </c>
      <c r="AQ123" t="s">
        <v>1725</v>
      </c>
      <c r="AR123" t="s">
        <v>1703</v>
      </c>
      <c r="AS123" t="s">
        <v>1702</v>
      </c>
      <c r="AT123" t="s">
        <v>1703</v>
      </c>
      <c r="AU123" t="s">
        <v>1704</v>
      </c>
      <c r="AV123" t="s">
        <v>1725</v>
      </c>
      <c r="AW123" t="s">
        <v>1703</v>
      </c>
      <c r="AX123" t="s">
        <v>1704</v>
      </c>
      <c r="AY123" t="s">
        <v>1725</v>
      </c>
      <c r="AZ123" t="s">
        <v>1703</v>
      </c>
      <c r="BA123" t="s">
        <v>1702</v>
      </c>
      <c r="BB123" t="s">
        <v>1704</v>
      </c>
      <c r="BC123" t="s">
        <v>1705</v>
      </c>
      <c r="BD123" t="s">
        <v>1703</v>
      </c>
      <c r="BE123" t="s">
        <v>1704</v>
      </c>
      <c r="BF123" t="s">
        <v>1725</v>
      </c>
      <c r="BG123">
        <v>20</v>
      </c>
      <c r="BH123" s="12" t="s">
        <v>1708</v>
      </c>
      <c r="BI123" t="b">
        <v>0</v>
      </c>
      <c r="BJ123">
        <f t="shared" si="1"/>
        <v>0</v>
      </c>
    </row>
    <row r="124" spans="1:62" x14ac:dyDescent="0.2">
      <c r="A124" s="5" t="s">
        <v>854</v>
      </c>
      <c r="B124" s="6">
        <v>38447</v>
      </c>
      <c r="C124" s="7">
        <v>33.818944000000002</v>
      </c>
      <c r="D124" s="7">
        <v>-111.63904700000001</v>
      </c>
      <c r="E124" s="17">
        <v>540</v>
      </c>
      <c r="F124" t="s">
        <v>1694</v>
      </c>
      <c r="G124" t="s">
        <v>1694</v>
      </c>
      <c r="H124" t="s">
        <v>1694</v>
      </c>
      <c r="I124">
        <v>0</v>
      </c>
      <c r="J124" s="8">
        <v>17.024859655675368</v>
      </c>
      <c r="K124" s="8">
        <v>66.101856632933632</v>
      </c>
      <c r="L124" s="8">
        <v>16.873283711390997</v>
      </c>
      <c r="M124" s="8">
        <v>3.3204604389099561</v>
      </c>
      <c r="N124" s="8">
        <v>2.5754043950552443</v>
      </c>
      <c r="O124" s="8">
        <v>1.3595092740442649</v>
      </c>
      <c r="P124" s="8">
        <v>0.89495302728169746</v>
      </c>
      <c r="Q124" s="8">
        <v>17.900056274447202</v>
      </c>
      <c r="R124" s="8">
        <v>3.7726533650492189</v>
      </c>
      <c r="S124" s="8">
        <v>2.9729999999999999</v>
      </c>
      <c r="T124" s="8">
        <v>0.65100000000000002</v>
      </c>
      <c r="U124" s="8">
        <v>9.1999999999999998E-2</v>
      </c>
      <c r="V124" s="8">
        <v>7.3999999999999996E-2</v>
      </c>
      <c r="W124" s="8">
        <v>2.8809999999999998</v>
      </c>
      <c r="X124" s="8">
        <v>0.57700000000000007</v>
      </c>
      <c r="Y124" s="8">
        <v>4.8973143759873698</v>
      </c>
      <c r="Z124" s="8">
        <v>3.8904899135446875</v>
      </c>
      <c r="AA124" s="8">
        <v>6.81</v>
      </c>
      <c r="AB124">
        <v>0.24199999999999999</v>
      </c>
      <c r="AC124" s="8">
        <v>3.7914691943127994</v>
      </c>
      <c r="AD124" s="8">
        <v>6.7723342939481093</v>
      </c>
      <c r="AE124" s="8">
        <v>0.247</v>
      </c>
      <c r="AF124" s="8">
        <v>4.4999999999999998E-2</v>
      </c>
      <c r="AG124" s="8">
        <v>1.2037671489410813</v>
      </c>
      <c r="AH124" s="8">
        <v>12.036437246963562</v>
      </c>
      <c r="AI124" s="8">
        <v>2.6356275303643728</v>
      </c>
      <c r="AJ124" t="s">
        <v>1694</v>
      </c>
      <c r="AK124" t="s">
        <v>1694</v>
      </c>
      <c r="AL124" t="s">
        <v>1694</v>
      </c>
      <c r="AM124" t="s">
        <v>1694</v>
      </c>
      <c r="AN124" t="s">
        <v>1694</v>
      </c>
      <c r="AO124" t="s">
        <v>1694</v>
      </c>
      <c r="AP124" t="s">
        <v>1695</v>
      </c>
      <c r="AQ124" t="s">
        <v>1694</v>
      </c>
      <c r="AR124" t="s">
        <v>1694</v>
      </c>
      <c r="AS124" t="s">
        <v>1694</v>
      </c>
      <c r="AT124" t="s">
        <v>1694</v>
      </c>
      <c r="AU124" t="s">
        <v>1695</v>
      </c>
      <c r="AV124" t="s">
        <v>1694</v>
      </c>
      <c r="AW124" t="s">
        <v>1694</v>
      </c>
      <c r="AX124" t="s">
        <v>1695</v>
      </c>
      <c r="AY124" t="s">
        <v>1694</v>
      </c>
      <c r="AZ124" t="s">
        <v>1694</v>
      </c>
      <c r="BA124" t="s">
        <v>1694</v>
      </c>
      <c r="BB124" s="11" t="s">
        <v>1695</v>
      </c>
      <c r="BC124" s="11" t="s">
        <v>1694</v>
      </c>
      <c r="BD124" s="11" t="s">
        <v>1694</v>
      </c>
      <c r="BE124" s="11" t="s">
        <v>1695</v>
      </c>
      <c r="BF124" s="11" t="s">
        <v>1694</v>
      </c>
      <c r="BG124" t="s">
        <v>1697</v>
      </c>
      <c r="BH124" t="s">
        <v>1698</v>
      </c>
      <c r="BI124" t="b">
        <v>0</v>
      </c>
      <c r="BJ124">
        <f t="shared" si="1"/>
        <v>0</v>
      </c>
    </row>
    <row r="125" spans="1:62" x14ac:dyDescent="0.2">
      <c r="A125" s="5" t="s">
        <v>854</v>
      </c>
      <c r="B125" s="6">
        <v>40266</v>
      </c>
      <c r="C125" s="7">
        <v>33.818944000000002</v>
      </c>
      <c r="D125" s="7">
        <v>-111.63904700000001</v>
      </c>
      <c r="E125" s="17">
        <v>540</v>
      </c>
      <c r="F125" t="s">
        <v>1694</v>
      </c>
      <c r="G125" t="s">
        <v>1694</v>
      </c>
      <c r="H125" t="s">
        <v>1694</v>
      </c>
      <c r="I125">
        <v>0</v>
      </c>
      <c r="J125" s="8">
        <v>31.326902388003674</v>
      </c>
      <c r="K125" s="8">
        <v>52.896215863408585</v>
      </c>
      <c r="L125" s="8">
        <v>15.776881748587741</v>
      </c>
      <c r="M125" s="8">
        <v>1.1334297612400788</v>
      </c>
      <c r="N125" s="8">
        <v>0.57652147070448589</v>
      </c>
      <c r="O125" s="8">
        <v>5.3880205814173895E-2</v>
      </c>
      <c r="P125" s="8">
        <v>2.5000000000000001E-3</v>
      </c>
      <c r="Q125" s="8">
        <v>28.64655981092768</v>
      </c>
      <c r="R125" s="8">
        <v>2.5000000000000001E-3</v>
      </c>
      <c r="S125" s="8">
        <v>1.089</v>
      </c>
      <c r="T125" s="8">
        <v>0.44600000000000001</v>
      </c>
      <c r="U125" s="8">
        <v>2.8000000000000001E-2</v>
      </c>
      <c r="V125" s="8">
        <v>2.7E-2</v>
      </c>
      <c r="W125" s="8">
        <v>1.0609999999999999</v>
      </c>
      <c r="X125" s="8">
        <v>0.41899999999999998</v>
      </c>
      <c r="Y125" s="8">
        <v>3.5040431266846332</v>
      </c>
      <c r="Z125" s="8">
        <v>3.9763113367174183</v>
      </c>
      <c r="AA125" s="8">
        <v>7.14</v>
      </c>
      <c r="AB125">
        <v>0.254</v>
      </c>
      <c r="AC125" s="8">
        <v>2.695417789757403</v>
      </c>
      <c r="AD125" s="8">
        <v>7.9526226734348668</v>
      </c>
      <c r="AE125" s="8">
        <v>7.2999999999999995E-2</v>
      </c>
      <c r="AF125" s="8">
        <v>0.03</v>
      </c>
      <c r="AG125" s="8">
        <v>1.6427073500518132</v>
      </c>
      <c r="AH125" s="8">
        <v>14.917808219178083</v>
      </c>
      <c r="AI125" s="8">
        <v>6.1095890410958908</v>
      </c>
      <c r="AJ125" t="s">
        <v>1694</v>
      </c>
      <c r="AK125" t="s">
        <v>1694</v>
      </c>
      <c r="AL125" t="s">
        <v>1694</v>
      </c>
      <c r="AM125" t="s">
        <v>1694</v>
      </c>
      <c r="AN125" t="s">
        <v>1694</v>
      </c>
      <c r="AO125" t="s">
        <v>1694</v>
      </c>
      <c r="AP125" t="s">
        <v>1695</v>
      </c>
      <c r="AQ125" t="s">
        <v>1694</v>
      </c>
      <c r="AR125" t="s">
        <v>1694</v>
      </c>
      <c r="AS125" t="s">
        <v>1694</v>
      </c>
      <c r="AT125" t="s">
        <v>1694</v>
      </c>
      <c r="AU125" t="s">
        <v>1697</v>
      </c>
      <c r="AV125" t="s">
        <v>1697</v>
      </c>
      <c r="AW125" t="s">
        <v>1694</v>
      </c>
      <c r="AX125" t="s">
        <v>1695</v>
      </c>
      <c r="AY125" t="s">
        <v>1694</v>
      </c>
      <c r="AZ125" t="s">
        <v>1694</v>
      </c>
      <c r="BA125" t="s">
        <v>1694</v>
      </c>
      <c r="BB125" s="11" t="s">
        <v>1695</v>
      </c>
      <c r="BC125" s="11" t="s">
        <v>1694</v>
      </c>
      <c r="BD125" s="11" t="s">
        <v>1694</v>
      </c>
      <c r="BE125" s="11" t="s">
        <v>1695</v>
      </c>
      <c r="BF125" s="11" t="s">
        <v>1694</v>
      </c>
      <c r="BG125" t="s">
        <v>1697</v>
      </c>
      <c r="BH125" t="s">
        <v>1698</v>
      </c>
      <c r="BI125" t="b">
        <v>0</v>
      </c>
      <c r="BJ125">
        <f t="shared" si="1"/>
        <v>0</v>
      </c>
    </row>
    <row r="126" spans="1:62" x14ac:dyDescent="0.2">
      <c r="A126" s="5" t="s">
        <v>854</v>
      </c>
      <c r="B126" s="6">
        <v>42117</v>
      </c>
      <c r="C126" s="7">
        <v>33.818944000000002</v>
      </c>
      <c r="D126" s="7">
        <v>-111.63904700000001</v>
      </c>
      <c r="E126" s="17">
        <v>540</v>
      </c>
      <c r="F126" t="s">
        <v>1694</v>
      </c>
      <c r="G126" t="s">
        <v>1694</v>
      </c>
      <c r="H126" t="s">
        <v>1694</v>
      </c>
      <c r="I126">
        <v>0</v>
      </c>
      <c r="J126">
        <v>21.074945291355501</v>
      </c>
      <c r="K126">
        <v>62.5781587707977</v>
      </c>
      <c r="L126">
        <v>16.346895937846899</v>
      </c>
      <c r="M126">
        <v>2.63066043304145</v>
      </c>
      <c r="N126">
        <v>1.9597537454201399</v>
      </c>
      <c r="O126">
        <v>2.1892744543432201</v>
      </c>
      <c r="P126">
        <v>0.85805434258935798</v>
      </c>
      <c r="Q126">
        <v>5.1288215776429498</v>
      </c>
      <c r="R126">
        <v>5.14548339105695</v>
      </c>
      <c r="S126">
        <v>0.95799999999999996</v>
      </c>
      <c r="T126">
        <v>0.46400000000000002</v>
      </c>
      <c r="U126">
        <v>7.0000000000000001E-3</v>
      </c>
      <c r="V126">
        <v>3.0000000000000001E-3</v>
      </c>
      <c r="W126">
        <v>0.95099999999999996</v>
      </c>
      <c r="X126">
        <v>0.46100000000000002</v>
      </c>
      <c r="Y126">
        <v>1.9448946515397101</v>
      </c>
      <c r="Z126">
        <v>2.3564064801178199</v>
      </c>
      <c r="AA126">
        <v>6.99</v>
      </c>
      <c r="AB126">
        <v>0.32600000000000001</v>
      </c>
      <c r="AC126">
        <v>3.3942558746736302</v>
      </c>
      <c r="AD126">
        <v>6.1674008810572696</v>
      </c>
      <c r="AE126">
        <v>0.08</v>
      </c>
      <c r="AF126">
        <v>9.2999999999999999E-2</v>
      </c>
      <c r="AG126">
        <v>1.4340173914490453</v>
      </c>
      <c r="AH126">
        <v>11.975</v>
      </c>
      <c r="AI126">
        <v>4.9892473118279597</v>
      </c>
      <c r="AJ126" t="s">
        <v>1694</v>
      </c>
      <c r="AK126" t="s">
        <v>1694</v>
      </c>
      <c r="AL126" t="s">
        <v>1694</v>
      </c>
      <c r="AM126" t="s">
        <v>1694</v>
      </c>
      <c r="AN126" t="s">
        <v>1694</v>
      </c>
      <c r="AO126" t="s">
        <v>1694</v>
      </c>
      <c r="AP126" t="s">
        <v>1697</v>
      </c>
      <c r="AQ126" t="s">
        <v>1697</v>
      </c>
      <c r="AR126" t="s">
        <v>1694</v>
      </c>
      <c r="AS126" t="s">
        <v>1694</v>
      </c>
      <c r="AT126" t="s">
        <v>1694</v>
      </c>
      <c r="AU126" t="s">
        <v>1697</v>
      </c>
      <c r="AV126" t="s">
        <v>1697</v>
      </c>
      <c r="AW126" t="s">
        <v>1694</v>
      </c>
      <c r="AX126" t="s">
        <v>1697</v>
      </c>
      <c r="AY126" t="s">
        <v>1697</v>
      </c>
      <c r="AZ126" t="s">
        <v>1694</v>
      </c>
      <c r="BA126" t="s">
        <v>1694</v>
      </c>
      <c r="BB126" t="s">
        <v>1697</v>
      </c>
      <c r="BC126" t="s">
        <v>1697</v>
      </c>
      <c r="BD126" s="11" t="s">
        <v>1694</v>
      </c>
      <c r="BE126" t="s">
        <v>1697</v>
      </c>
      <c r="BF126" t="s">
        <v>1697</v>
      </c>
      <c r="BG126" t="s">
        <v>1697</v>
      </c>
      <c r="BH126" t="s">
        <v>1698</v>
      </c>
      <c r="BI126" t="b">
        <v>0</v>
      </c>
      <c r="BJ126">
        <f t="shared" si="1"/>
        <v>0</v>
      </c>
    </row>
    <row r="127" spans="1:62" x14ac:dyDescent="0.2">
      <c r="A127" s="5" t="s">
        <v>854</v>
      </c>
      <c r="B127" s="6">
        <v>45049</v>
      </c>
      <c r="C127" s="7">
        <v>33.818944000000002</v>
      </c>
      <c r="D127" s="7">
        <v>-111.63904700000001</v>
      </c>
      <c r="E127" s="17">
        <v>540</v>
      </c>
      <c r="F127" t="s">
        <v>1694</v>
      </c>
      <c r="G127" t="s">
        <v>1694</v>
      </c>
      <c r="H127" t="s">
        <v>1694</v>
      </c>
      <c r="I127">
        <v>0</v>
      </c>
      <c r="J127" s="6" t="s">
        <v>1697</v>
      </c>
      <c r="K127" s="6" t="s">
        <v>1697</v>
      </c>
      <c r="L127" s="6" t="s">
        <v>1697</v>
      </c>
      <c r="M127" s="6" t="s">
        <v>1697</v>
      </c>
      <c r="N127" s="6" t="s">
        <v>1697</v>
      </c>
      <c r="O127" s="6" t="s">
        <v>1697</v>
      </c>
      <c r="P127" s="6" t="s">
        <v>1697</v>
      </c>
      <c r="Q127" s="6" t="s">
        <v>1697</v>
      </c>
      <c r="R127" s="6" t="s">
        <v>1697</v>
      </c>
      <c r="S127" s="6" t="s">
        <v>1697</v>
      </c>
      <c r="T127" s="6" t="s">
        <v>1697</v>
      </c>
      <c r="U127" s="6" t="s">
        <v>1697</v>
      </c>
      <c r="V127" s="6" t="s">
        <v>1697</v>
      </c>
      <c r="W127" s="6" t="s">
        <v>1697</v>
      </c>
      <c r="X127" s="6" t="s">
        <v>1697</v>
      </c>
      <c r="Y127" s="6" t="s">
        <v>1697</v>
      </c>
      <c r="Z127" s="6" t="s">
        <v>1697</v>
      </c>
      <c r="AA127" s="6" t="s">
        <v>1697</v>
      </c>
      <c r="AB127" s="6" t="s">
        <v>1697</v>
      </c>
      <c r="AC127" s="6" t="s">
        <v>1697</v>
      </c>
      <c r="AD127" s="6" t="s">
        <v>1697</v>
      </c>
      <c r="AE127" s="6" t="s">
        <v>1697</v>
      </c>
      <c r="AF127" s="6" t="s">
        <v>1697</v>
      </c>
      <c r="AG127" s="6" t="s">
        <v>1697</v>
      </c>
      <c r="AH127" s="6" t="s">
        <v>1697</v>
      </c>
      <c r="AI127" s="6" t="s">
        <v>1697</v>
      </c>
      <c r="AJ127" t="s">
        <v>1694</v>
      </c>
      <c r="AK127" t="s">
        <v>1694</v>
      </c>
      <c r="AL127" t="s">
        <v>1694</v>
      </c>
      <c r="AM127" t="s">
        <v>1694</v>
      </c>
      <c r="AN127" t="s">
        <v>1694</v>
      </c>
      <c r="AO127" t="s">
        <v>1694</v>
      </c>
      <c r="AP127" t="s">
        <v>1697</v>
      </c>
      <c r="AQ127" t="s">
        <v>1697</v>
      </c>
      <c r="AR127" t="s">
        <v>1694</v>
      </c>
      <c r="AS127" t="s">
        <v>1694</v>
      </c>
      <c r="AT127" t="s">
        <v>1694</v>
      </c>
      <c r="AU127" t="s">
        <v>1697</v>
      </c>
      <c r="AV127" t="s">
        <v>1697</v>
      </c>
      <c r="AW127" t="s">
        <v>1694</v>
      </c>
      <c r="AX127" t="s">
        <v>1697</v>
      </c>
      <c r="AY127" t="s">
        <v>1697</v>
      </c>
      <c r="AZ127" t="s">
        <v>1694</v>
      </c>
      <c r="BA127" t="s">
        <v>1694</v>
      </c>
      <c r="BB127" t="s">
        <v>1697</v>
      </c>
      <c r="BC127" t="s">
        <v>1697</v>
      </c>
      <c r="BD127" s="11" t="s">
        <v>1694</v>
      </c>
      <c r="BE127" t="s">
        <v>1697</v>
      </c>
      <c r="BF127" t="s">
        <v>1697</v>
      </c>
      <c r="BG127" s="6" t="s">
        <v>1697</v>
      </c>
      <c r="BH127" s="6" t="s">
        <v>1697</v>
      </c>
      <c r="BI127" t="b">
        <v>1</v>
      </c>
      <c r="BJ127">
        <f t="shared" si="1"/>
        <v>1</v>
      </c>
    </row>
    <row r="128" spans="1:62" x14ac:dyDescent="0.2">
      <c r="A128" s="5" t="s">
        <v>855</v>
      </c>
      <c r="B128" s="6">
        <v>36298</v>
      </c>
      <c r="C128" s="7">
        <v>33.736544000000002</v>
      </c>
      <c r="D128" s="7">
        <v>-111.668261</v>
      </c>
      <c r="E128" s="17">
        <v>478</v>
      </c>
      <c r="F128" t="s">
        <v>1697</v>
      </c>
      <c r="G128" t="s">
        <v>1697</v>
      </c>
      <c r="H128" t="s">
        <v>1697</v>
      </c>
      <c r="I128" t="s">
        <v>1697</v>
      </c>
      <c r="J128" t="s">
        <v>1697</v>
      </c>
      <c r="K128" t="s">
        <v>1697</v>
      </c>
      <c r="L128" t="s">
        <v>1697</v>
      </c>
      <c r="M128" t="s">
        <v>1697</v>
      </c>
      <c r="N128" t="s">
        <v>1697</v>
      </c>
      <c r="O128" t="s">
        <v>1697</v>
      </c>
      <c r="P128" t="s">
        <v>1697</v>
      </c>
      <c r="Q128" t="s">
        <v>1697</v>
      </c>
      <c r="R128" t="s">
        <v>1697</v>
      </c>
      <c r="S128" t="s">
        <v>1697</v>
      </c>
      <c r="T128" t="s">
        <v>1697</v>
      </c>
      <c r="U128" t="s">
        <v>1697</v>
      </c>
      <c r="V128" t="s">
        <v>1697</v>
      </c>
      <c r="W128" t="s">
        <v>1697</v>
      </c>
      <c r="X128" t="s">
        <v>1697</v>
      </c>
      <c r="Y128" t="s">
        <v>1697</v>
      </c>
      <c r="Z128" t="s">
        <v>1697</v>
      </c>
      <c r="AA128" t="s">
        <v>1697</v>
      </c>
      <c r="AB128" t="s">
        <v>1697</v>
      </c>
      <c r="AC128" t="s">
        <v>1697</v>
      </c>
      <c r="AD128" t="s">
        <v>1697</v>
      </c>
      <c r="AE128" t="s">
        <v>1697</v>
      </c>
      <c r="AF128" t="s">
        <v>1697</v>
      </c>
      <c r="AG128" t="s">
        <v>1697</v>
      </c>
      <c r="AH128" t="s">
        <v>1697</v>
      </c>
      <c r="AI128" t="s">
        <v>1697</v>
      </c>
      <c r="AJ128" t="s">
        <v>1694</v>
      </c>
      <c r="AK128" t="s">
        <v>1694</v>
      </c>
      <c r="AL128" t="s">
        <v>1694</v>
      </c>
      <c r="AM128" t="s">
        <v>1694</v>
      </c>
      <c r="AN128" t="s">
        <v>1694</v>
      </c>
      <c r="AO128" t="s">
        <v>1694</v>
      </c>
      <c r="AP128" t="s">
        <v>1695</v>
      </c>
      <c r="AQ128" t="s">
        <v>1694</v>
      </c>
      <c r="AR128" t="s">
        <v>1694</v>
      </c>
      <c r="AS128" t="s">
        <v>1694</v>
      </c>
      <c r="AT128" t="s">
        <v>1694</v>
      </c>
      <c r="AU128" t="s">
        <v>1695</v>
      </c>
      <c r="AV128" t="s">
        <v>1694</v>
      </c>
      <c r="AW128" t="s">
        <v>1694</v>
      </c>
      <c r="AX128" t="s">
        <v>1695</v>
      </c>
      <c r="AY128" t="s">
        <v>1694</v>
      </c>
      <c r="AZ128" t="s">
        <v>1694</v>
      </c>
      <c r="BA128" t="s">
        <v>1694</v>
      </c>
      <c r="BB128" s="11" t="s">
        <v>1697</v>
      </c>
      <c r="BC128" s="11" t="s">
        <v>1697</v>
      </c>
      <c r="BD128" s="11" t="s">
        <v>1697</v>
      </c>
      <c r="BE128" t="s">
        <v>1734</v>
      </c>
      <c r="BF128" t="s">
        <v>1734</v>
      </c>
      <c r="BG128" s="6" t="s">
        <v>1697</v>
      </c>
      <c r="BH128" s="6" t="s">
        <v>1697</v>
      </c>
      <c r="BI128" t="b">
        <v>0</v>
      </c>
      <c r="BJ128">
        <f t="shared" si="1"/>
        <v>0</v>
      </c>
    </row>
    <row r="129" spans="1:62" x14ac:dyDescent="0.2">
      <c r="A129" s="5" t="s">
        <v>855</v>
      </c>
      <c r="B129" s="6">
        <v>36655</v>
      </c>
      <c r="C129" s="7">
        <v>33.736544000000002</v>
      </c>
      <c r="D129" s="7">
        <v>-111.668261</v>
      </c>
      <c r="E129" s="17">
        <v>478</v>
      </c>
      <c r="F129" s="11" t="s">
        <v>1741</v>
      </c>
      <c r="G129" s="11" t="s">
        <v>1741</v>
      </c>
      <c r="H129" t="s">
        <v>1742</v>
      </c>
      <c r="I129">
        <v>1</v>
      </c>
      <c r="J129" s="8">
        <v>16.862643187471956</v>
      </c>
      <c r="K129" s="8">
        <v>64.06369810030661</v>
      </c>
      <c r="L129" s="8">
        <v>19.07365871222143</v>
      </c>
      <c r="M129" s="8">
        <v>2.0871900696537726</v>
      </c>
      <c r="N129" s="8">
        <v>0.82768874355949962</v>
      </c>
      <c r="O129" s="8">
        <v>10.383323718747084</v>
      </c>
      <c r="P129" s="8">
        <v>24.581629507323928</v>
      </c>
      <c r="Q129" s="8">
        <v>11.321326950757353</v>
      </c>
      <c r="R129" s="8">
        <v>4.8226745375239046</v>
      </c>
      <c r="S129" s="8">
        <v>0.60299999999999998</v>
      </c>
      <c r="T129" s="8">
        <v>0.77</v>
      </c>
      <c r="U129" s="8">
        <v>0.58099999999999996</v>
      </c>
      <c r="V129" s="8">
        <v>0.63800000000000001</v>
      </c>
      <c r="W129" s="8">
        <v>2.1999999999999999E-2</v>
      </c>
      <c r="X129" s="8">
        <v>0.13200000000000001</v>
      </c>
      <c r="Y129" s="8">
        <v>1.86877</v>
      </c>
      <c r="Z129" s="8">
        <v>1.95313</v>
      </c>
      <c r="AA129" s="9">
        <v>8.07</v>
      </c>
      <c r="AB129" s="10">
        <v>1.5685</v>
      </c>
      <c r="AC129" s="8">
        <v>3.0986899999999999</v>
      </c>
      <c r="AD129" s="8">
        <v>7.7844300000000004</v>
      </c>
      <c r="AE129" s="8">
        <v>0.02</v>
      </c>
      <c r="AF129" s="8">
        <v>2.1000000000000001E-2</v>
      </c>
      <c r="AG129" s="8">
        <v>1.6738985827736541</v>
      </c>
      <c r="AH129" s="8">
        <v>30.15</v>
      </c>
      <c r="AI129" s="8">
        <v>38.5</v>
      </c>
      <c r="AJ129" t="s">
        <v>1694</v>
      </c>
      <c r="AK129" t="s">
        <v>1694</v>
      </c>
      <c r="AL129" t="s">
        <v>1694</v>
      </c>
      <c r="AM129" t="s">
        <v>1694</v>
      </c>
      <c r="AN129" t="s">
        <v>1694</v>
      </c>
      <c r="AO129" t="s">
        <v>1694</v>
      </c>
      <c r="AP129" t="s">
        <v>1695</v>
      </c>
      <c r="AQ129" t="s">
        <v>1694</v>
      </c>
      <c r="AR129" t="s">
        <v>1694</v>
      </c>
      <c r="AS129" t="s">
        <v>1694</v>
      </c>
      <c r="AT129" t="s">
        <v>1694</v>
      </c>
      <c r="AU129" t="s">
        <v>1695</v>
      </c>
      <c r="AV129" t="s">
        <v>1694</v>
      </c>
      <c r="AW129" t="s">
        <v>1694</v>
      </c>
      <c r="AX129" t="s">
        <v>1695</v>
      </c>
      <c r="AY129" t="s">
        <v>1694</v>
      </c>
      <c r="AZ129" t="s">
        <v>1694</v>
      </c>
      <c r="BA129" t="s">
        <v>1694</v>
      </c>
      <c r="BB129" s="11" t="s">
        <v>1697</v>
      </c>
      <c r="BC129" s="11" t="s">
        <v>1697</v>
      </c>
      <c r="BD129" s="11" t="s">
        <v>1697</v>
      </c>
      <c r="BE129" t="s">
        <v>1734</v>
      </c>
      <c r="BF129" t="s">
        <v>1734</v>
      </c>
      <c r="BG129">
        <v>5</v>
      </c>
      <c r="BH129" s="12" t="s">
        <v>1708</v>
      </c>
      <c r="BI129" t="b">
        <v>0</v>
      </c>
      <c r="BJ129">
        <f t="shared" si="1"/>
        <v>0</v>
      </c>
    </row>
    <row r="130" spans="1:62" x14ac:dyDescent="0.2">
      <c r="A130" s="5" t="s">
        <v>855</v>
      </c>
      <c r="B130" s="6">
        <v>38441</v>
      </c>
      <c r="C130" s="7">
        <v>33.736544000000002</v>
      </c>
      <c r="D130" s="7">
        <v>-111.668261</v>
      </c>
      <c r="E130" s="17">
        <v>478</v>
      </c>
      <c r="F130" s="11" t="s">
        <v>1741</v>
      </c>
      <c r="G130" s="11" t="s">
        <v>1741</v>
      </c>
      <c r="H130" t="s">
        <v>1742</v>
      </c>
      <c r="I130">
        <v>1</v>
      </c>
      <c r="J130" s="8">
        <v>16.294536559326978</v>
      </c>
      <c r="K130" s="8">
        <v>54.319179428942597</v>
      </c>
      <c r="L130" s="8">
        <v>29.386284011730424</v>
      </c>
      <c r="M130" s="8">
        <v>1.7317411877869502</v>
      </c>
      <c r="N130" s="8">
        <v>1.1710730877607527</v>
      </c>
      <c r="O130" s="8">
        <v>1.8760529534358623</v>
      </c>
      <c r="P130" s="8">
        <v>2.1372083851633743</v>
      </c>
      <c r="Q130" s="8">
        <v>9.8023086101148103</v>
      </c>
      <c r="R130" s="8">
        <v>5.7290732430648603</v>
      </c>
      <c r="S130" s="8">
        <v>1.071</v>
      </c>
      <c r="T130" s="8">
        <v>0.57499999999999996</v>
      </c>
      <c r="U130" s="8">
        <v>0.42199999999999999</v>
      </c>
      <c r="V130" s="8">
        <v>0.43099999999999999</v>
      </c>
      <c r="W130" s="8">
        <v>0.64900000000000002</v>
      </c>
      <c r="X130" s="8">
        <v>0.14399999999999996</v>
      </c>
      <c r="Y130" s="8">
        <v>2.0979020979020992</v>
      </c>
      <c r="Z130" s="8">
        <v>2.1223470661672903</v>
      </c>
      <c r="AA130" s="8">
        <v>8.73</v>
      </c>
      <c r="AB130">
        <v>0.8</v>
      </c>
      <c r="AC130" s="8">
        <v>7.1678321678321542</v>
      </c>
      <c r="AD130" s="8">
        <v>8.4893882646691612</v>
      </c>
      <c r="AE130" s="8">
        <v>7.3999999999999996E-2</v>
      </c>
      <c r="AF130" s="8">
        <v>2.5999999999999999E-2</v>
      </c>
      <c r="AG130" s="8">
        <v>1.3423216021013851</v>
      </c>
      <c r="AH130" s="8">
        <v>14.472972972972974</v>
      </c>
      <c r="AI130" s="8">
        <v>7.7702702702702702</v>
      </c>
      <c r="AJ130" t="s">
        <v>1694</v>
      </c>
      <c r="AK130" t="s">
        <v>1694</v>
      </c>
      <c r="AL130" t="s">
        <v>1694</v>
      </c>
      <c r="AM130" t="s">
        <v>1694</v>
      </c>
      <c r="AN130" t="s">
        <v>1694</v>
      </c>
      <c r="AO130" t="s">
        <v>1694</v>
      </c>
      <c r="AP130" t="s">
        <v>1695</v>
      </c>
      <c r="AQ130" t="s">
        <v>1694</v>
      </c>
      <c r="AR130" t="s">
        <v>1694</v>
      </c>
      <c r="AS130" t="s">
        <v>1694</v>
      </c>
      <c r="AT130" t="s">
        <v>1694</v>
      </c>
      <c r="AU130" t="s">
        <v>1695</v>
      </c>
      <c r="AV130" t="s">
        <v>1694</v>
      </c>
      <c r="AW130" t="s">
        <v>1694</v>
      </c>
      <c r="AX130" t="s">
        <v>1695</v>
      </c>
      <c r="AY130" t="s">
        <v>1694</v>
      </c>
      <c r="AZ130" t="s">
        <v>1694</v>
      </c>
      <c r="BA130" t="s">
        <v>1694</v>
      </c>
      <c r="BB130" s="11" t="s">
        <v>1697</v>
      </c>
      <c r="BC130" s="11" t="s">
        <v>1697</v>
      </c>
      <c r="BD130" s="11" t="s">
        <v>1697</v>
      </c>
      <c r="BE130" t="s">
        <v>1734</v>
      </c>
      <c r="BF130" t="s">
        <v>1734</v>
      </c>
      <c r="BG130">
        <v>10</v>
      </c>
      <c r="BH130" s="12" t="s">
        <v>1708</v>
      </c>
      <c r="BI130" t="b">
        <v>0</v>
      </c>
      <c r="BJ130">
        <f t="shared" ref="BJ130:BJ193" si="2">COUNTIF(BI130:BI130,TRUE)</f>
        <v>0</v>
      </c>
    </row>
    <row r="131" spans="1:62" x14ac:dyDescent="0.2">
      <c r="A131" s="5" t="s">
        <v>855</v>
      </c>
      <c r="B131" s="6">
        <v>40324</v>
      </c>
      <c r="C131" s="7">
        <v>33.736544000000002</v>
      </c>
      <c r="D131" s="7">
        <v>-111.668261</v>
      </c>
      <c r="E131" s="17">
        <v>478</v>
      </c>
      <c r="F131" s="11" t="s">
        <v>1741</v>
      </c>
      <c r="G131" s="11" t="s">
        <v>1741</v>
      </c>
      <c r="H131" t="s">
        <v>1742</v>
      </c>
      <c r="I131">
        <v>1</v>
      </c>
      <c r="J131" s="8">
        <v>9.000767178988287</v>
      </c>
      <c r="K131" s="8">
        <v>56.899670738565213</v>
      </c>
      <c r="L131" s="8">
        <v>34.099562082446496</v>
      </c>
      <c r="M131" s="8">
        <v>0.6722973577661141</v>
      </c>
      <c r="N131" s="8">
        <v>0.12199735095797057</v>
      </c>
      <c r="O131" s="8">
        <v>16.110752744395221</v>
      </c>
      <c r="P131" s="8">
        <v>9.7063585798677305</v>
      </c>
      <c r="Q131" s="8">
        <v>13.288852374984778</v>
      </c>
      <c r="R131" s="8">
        <v>9.4169928894405714</v>
      </c>
      <c r="S131" s="8">
        <v>0.52100000000000002</v>
      </c>
      <c r="T131" s="8">
        <v>0.55400000000000005</v>
      </c>
      <c r="U131" s="8">
        <v>0.221</v>
      </c>
      <c r="V131" s="8">
        <v>0.39800000000000002</v>
      </c>
      <c r="W131" s="8">
        <v>0.30000000000000004</v>
      </c>
      <c r="X131" s="8">
        <v>0.15600000000000003</v>
      </c>
      <c r="Y131" s="8">
        <v>2.3839397741530899</v>
      </c>
      <c r="Z131" s="8">
        <v>2.7642276422764502</v>
      </c>
      <c r="AA131" s="8">
        <v>8.76</v>
      </c>
      <c r="AB131">
        <v>0.71399999999999997</v>
      </c>
      <c r="AC131" s="8">
        <v>1.6311166875784064</v>
      </c>
      <c r="AD131" s="8">
        <v>4.2276422764227606</v>
      </c>
      <c r="AE131" s="8">
        <v>2.8000000000000001E-2</v>
      </c>
      <c r="AF131" s="8">
        <v>2.1000000000000001E-2</v>
      </c>
      <c r="AG131" s="8">
        <v>1.7343257962875738</v>
      </c>
      <c r="AH131" s="8">
        <v>18.607142857142858</v>
      </c>
      <c r="AI131" s="8">
        <v>19.785714285714288</v>
      </c>
      <c r="AJ131" t="s">
        <v>1694</v>
      </c>
      <c r="AK131" t="s">
        <v>1694</v>
      </c>
      <c r="AL131" t="s">
        <v>1694</v>
      </c>
      <c r="AM131" t="s">
        <v>1694</v>
      </c>
      <c r="AN131" t="s">
        <v>1694</v>
      </c>
      <c r="AO131" t="s">
        <v>1694</v>
      </c>
      <c r="AP131" t="s">
        <v>1695</v>
      </c>
      <c r="AQ131" t="s">
        <v>1694</v>
      </c>
      <c r="AR131" t="s">
        <v>1694</v>
      </c>
      <c r="AS131" t="s">
        <v>1694</v>
      </c>
      <c r="AT131" t="s">
        <v>1694</v>
      </c>
      <c r="AU131" t="s">
        <v>1695</v>
      </c>
      <c r="AV131" t="s">
        <v>1694</v>
      </c>
      <c r="AW131" t="s">
        <v>1694</v>
      </c>
      <c r="AX131" t="s">
        <v>1695</v>
      </c>
      <c r="AY131" t="s">
        <v>1694</v>
      </c>
      <c r="AZ131" t="s">
        <v>1694</v>
      </c>
      <c r="BA131" t="s">
        <v>1694</v>
      </c>
      <c r="BB131" s="11" t="s">
        <v>1697</v>
      </c>
      <c r="BC131" s="11" t="s">
        <v>1697</v>
      </c>
      <c r="BD131" s="11" t="s">
        <v>1697</v>
      </c>
      <c r="BE131" t="s">
        <v>1734</v>
      </c>
      <c r="BF131" t="s">
        <v>1734</v>
      </c>
      <c r="BG131">
        <v>15</v>
      </c>
      <c r="BH131" s="12" t="s">
        <v>1708</v>
      </c>
      <c r="BI131" t="b">
        <v>1</v>
      </c>
      <c r="BJ131">
        <f t="shared" si="2"/>
        <v>1</v>
      </c>
    </row>
    <row r="132" spans="1:62" x14ac:dyDescent="0.2">
      <c r="A132" s="5" t="s">
        <v>855</v>
      </c>
      <c r="B132" s="6">
        <v>42153</v>
      </c>
      <c r="C132" s="7">
        <v>33.736544000000002</v>
      </c>
      <c r="D132" s="7">
        <v>-111.668261</v>
      </c>
      <c r="E132" s="17">
        <v>478</v>
      </c>
      <c r="F132" t="s">
        <v>1741</v>
      </c>
      <c r="G132" t="s">
        <v>1743</v>
      </c>
      <c r="H132" t="s">
        <v>1742</v>
      </c>
      <c r="I132">
        <v>0</v>
      </c>
      <c r="J132">
        <v>7.7104535428739398</v>
      </c>
      <c r="K132">
        <v>74.025078905983506</v>
      </c>
      <c r="L132">
        <v>18.264467551142602</v>
      </c>
      <c r="M132">
        <v>5.6035497115919801</v>
      </c>
      <c r="N132">
        <v>0.31069022353807602</v>
      </c>
      <c r="O132">
        <v>45.169298055418203</v>
      </c>
      <c r="P132">
        <v>68.610757697991801</v>
      </c>
      <c r="Q132">
        <v>14.048779734779901</v>
      </c>
      <c r="R132">
        <v>3.23233429025009</v>
      </c>
      <c r="S132">
        <v>0.52800000000000002</v>
      </c>
      <c r="T132">
        <v>0.753</v>
      </c>
      <c r="U132">
        <v>0.39300000000000002</v>
      </c>
      <c r="V132">
        <v>0.53200000000000003</v>
      </c>
      <c r="W132">
        <v>0.13500000000000001</v>
      </c>
      <c r="X132">
        <v>0.221</v>
      </c>
      <c r="Y132">
        <v>1.0570824524313001</v>
      </c>
      <c r="Z132">
        <v>1.3784461152882199</v>
      </c>
      <c r="AA132">
        <v>8.73</v>
      </c>
      <c r="AB132">
        <v>1.774</v>
      </c>
      <c r="AC132">
        <v>3.0555555555555398</v>
      </c>
      <c r="AD132">
        <v>5.0610820244327899</v>
      </c>
      <c r="AE132">
        <v>3.1E-2</v>
      </c>
      <c r="AF132">
        <v>3.5999999999999997E-2</v>
      </c>
      <c r="AG132">
        <v>1.8302187335019648</v>
      </c>
      <c r="AH132">
        <v>17.0322580645161</v>
      </c>
      <c r="AI132">
        <v>20.9166666666667</v>
      </c>
      <c r="AJ132" t="s">
        <v>1694</v>
      </c>
      <c r="AK132" t="s">
        <v>1694</v>
      </c>
      <c r="AL132" t="s">
        <v>1694</v>
      </c>
      <c r="AM132" t="s">
        <v>1694</v>
      </c>
      <c r="AN132" t="s">
        <v>1694</v>
      </c>
      <c r="AO132" t="s">
        <v>1694</v>
      </c>
      <c r="AP132" t="s">
        <v>1695</v>
      </c>
      <c r="AQ132" t="s">
        <v>1694</v>
      </c>
      <c r="AR132" t="s">
        <v>1694</v>
      </c>
      <c r="AS132" t="s">
        <v>1694</v>
      </c>
      <c r="AT132" t="s">
        <v>1694</v>
      </c>
      <c r="AU132" t="s">
        <v>1697</v>
      </c>
      <c r="AV132" t="s">
        <v>1697</v>
      </c>
      <c r="AW132" t="s">
        <v>1694</v>
      </c>
      <c r="AX132" t="s">
        <v>1695</v>
      </c>
      <c r="AY132" t="s">
        <v>1694</v>
      </c>
      <c r="AZ132" t="s">
        <v>1694</v>
      </c>
      <c r="BA132" t="s">
        <v>1694</v>
      </c>
      <c r="BB132" t="s">
        <v>1697</v>
      </c>
      <c r="BC132" t="s">
        <v>1697</v>
      </c>
      <c r="BD132" s="11" t="s">
        <v>1697</v>
      </c>
      <c r="BE132" t="s">
        <v>1734</v>
      </c>
      <c r="BF132" t="s">
        <v>1734</v>
      </c>
      <c r="BG132">
        <v>20</v>
      </c>
      <c r="BH132" s="12" t="s">
        <v>1708</v>
      </c>
      <c r="BI132" t="b">
        <v>1</v>
      </c>
      <c r="BJ132">
        <f t="shared" si="2"/>
        <v>1</v>
      </c>
    </row>
    <row r="133" spans="1:62" x14ac:dyDescent="0.2">
      <c r="A133" s="5" t="s">
        <v>30</v>
      </c>
      <c r="B133" s="6">
        <v>38420</v>
      </c>
      <c r="C133" s="7">
        <v>33.394500000000001</v>
      </c>
      <c r="D133" s="7">
        <v>-111.654911</v>
      </c>
      <c r="E133" s="17">
        <v>435</v>
      </c>
      <c r="F133" t="s">
        <v>1706</v>
      </c>
      <c r="G133" t="s">
        <v>1724</v>
      </c>
      <c r="H133" t="s">
        <v>1724</v>
      </c>
      <c r="I133">
        <v>1</v>
      </c>
      <c r="J133" s="8">
        <v>12.72593713449368</v>
      </c>
      <c r="K133" s="8">
        <v>64.137736812976854</v>
      </c>
      <c r="L133" s="8">
        <v>23.136326052529469</v>
      </c>
      <c r="M133" s="8">
        <v>0.68998929184360969</v>
      </c>
      <c r="N133" s="8">
        <v>2.8643055233692469</v>
      </c>
      <c r="O133" s="8">
        <v>0.16099750143017563</v>
      </c>
      <c r="P133" s="8">
        <v>2.5000000000000001E-3</v>
      </c>
      <c r="Q133" s="8">
        <v>4.4882798595652273</v>
      </c>
      <c r="R133" s="8">
        <v>3.3169123945770558</v>
      </c>
      <c r="S133" s="8">
        <v>0.18</v>
      </c>
      <c r="T133" s="8">
        <v>0.156</v>
      </c>
      <c r="U133" s="8">
        <v>0.155</v>
      </c>
      <c r="V133" s="8">
        <v>6.8000000000000005E-2</v>
      </c>
      <c r="W133" s="8">
        <v>2.4999999999999994E-2</v>
      </c>
      <c r="X133" s="8">
        <v>8.7999999999999995E-2</v>
      </c>
      <c r="Y133" s="8">
        <v>1.5873015873015737</v>
      </c>
      <c r="Z133" s="8">
        <v>1.4141414141414197</v>
      </c>
      <c r="AA133" s="8">
        <v>7.3</v>
      </c>
      <c r="AB133">
        <v>0.13</v>
      </c>
      <c r="AC133" s="8">
        <v>10.6575963718821</v>
      </c>
      <c r="AD133" s="8">
        <v>11.515151515151501</v>
      </c>
      <c r="AE133" s="8">
        <v>1.6E-2</v>
      </c>
      <c r="AF133" s="8">
        <v>1.6E-2</v>
      </c>
      <c r="AG133" s="8">
        <v>1.3918564349962126</v>
      </c>
      <c r="AH133" s="8">
        <v>11.25</v>
      </c>
      <c r="AI133" s="8">
        <v>9.75</v>
      </c>
      <c r="AJ133" t="s">
        <v>1694</v>
      </c>
      <c r="AK133" t="s">
        <v>1694</v>
      </c>
      <c r="AL133" t="s">
        <v>1694</v>
      </c>
      <c r="AM133" t="s">
        <v>1694</v>
      </c>
      <c r="AN133" t="s">
        <v>1694</v>
      </c>
      <c r="AO133" t="s">
        <v>1694</v>
      </c>
      <c r="AP133" t="s">
        <v>1695</v>
      </c>
      <c r="AQ133" t="s">
        <v>1694</v>
      </c>
      <c r="AR133" t="s">
        <v>1694</v>
      </c>
      <c r="AS133" t="s">
        <v>1694</v>
      </c>
      <c r="AT133" t="s">
        <v>1694</v>
      </c>
      <c r="AU133" t="s">
        <v>1706</v>
      </c>
      <c r="AV133" t="s">
        <v>1723</v>
      </c>
      <c r="AW133" t="s">
        <v>1706</v>
      </c>
      <c r="AX133" t="s">
        <v>1706</v>
      </c>
      <c r="AY133" t="s">
        <v>1723</v>
      </c>
      <c r="AZ133" t="s">
        <v>1706</v>
      </c>
      <c r="BA133" t="s">
        <v>1700</v>
      </c>
      <c r="BB133" t="s">
        <v>1706</v>
      </c>
      <c r="BC133" t="s">
        <v>1723</v>
      </c>
      <c r="BD133" t="s">
        <v>1706</v>
      </c>
      <c r="BE133" t="s">
        <v>1706</v>
      </c>
      <c r="BF133" t="s">
        <v>1723</v>
      </c>
      <c r="BG133">
        <v>30</v>
      </c>
      <c r="BH133" s="12" t="s">
        <v>1709</v>
      </c>
      <c r="BI133" t="b">
        <v>0</v>
      </c>
      <c r="BJ133">
        <f t="shared" si="2"/>
        <v>0</v>
      </c>
    </row>
    <row r="134" spans="1:62" x14ac:dyDescent="0.2">
      <c r="A134" s="5" t="s">
        <v>30</v>
      </c>
      <c r="B134" s="6">
        <v>40336</v>
      </c>
      <c r="C134" s="7">
        <v>33.394500000000001</v>
      </c>
      <c r="D134" s="7">
        <v>-111.654911</v>
      </c>
      <c r="E134" s="17">
        <v>435</v>
      </c>
      <c r="F134" t="s">
        <v>1706</v>
      </c>
      <c r="G134" t="s">
        <v>1728</v>
      </c>
      <c r="H134" t="s">
        <v>1728</v>
      </c>
      <c r="I134">
        <v>1</v>
      </c>
      <c r="J134" s="8">
        <v>9.6577415871190819</v>
      </c>
      <c r="K134" s="8">
        <v>59.055447520574539</v>
      </c>
      <c r="L134" s="8">
        <v>31.286810892306377</v>
      </c>
      <c r="M134" s="8">
        <v>0.23673311342865558</v>
      </c>
      <c r="N134" s="8">
        <v>0.45065069326177221</v>
      </c>
      <c r="O134" s="8">
        <v>1.076779378805925</v>
      </c>
      <c r="P134" s="8">
        <v>1.1745682962673849</v>
      </c>
      <c r="Q134" s="8">
        <v>11.267061735325665</v>
      </c>
      <c r="R134" s="8">
        <v>9.6775623249898572</v>
      </c>
      <c r="S134" s="8">
        <v>0.13600000000000001</v>
      </c>
      <c r="T134" s="8">
        <v>0.16400000000000001</v>
      </c>
      <c r="U134" s="8">
        <v>3.4000000000000002E-2</v>
      </c>
      <c r="V134" s="8">
        <v>4.4999999999999998E-2</v>
      </c>
      <c r="W134" s="8">
        <v>0.10200000000000001</v>
      </c>
      <c r="X134" s="8">
        <v>0.11900000000000001</v>
      </c>
      <c r="Y134" s="8">
        <v>1.7408123791102486</v>
      </c>
      <c r="Z134" s="8">
        <v>1.4742014742014864</v>
      </c>
      <c r="AA134" s="8">
        <v>8.09</v>
      </c>
      <c r="AB134">
        <v>0.22500000000000001</v>
      </c>
      <c r="AC134" s="8">
        <v>6.1895551257253443</v>
      </c>
      <c r="AD134" s="8">
        <v>6.6339066339066237</v>
      </c>
      <c r="AE134" s="8">
        <v>1.7999999999999999E-2</v>
      </c>
      <c r="AF134" s="8">
        <v>1.9E-2</v>
      </c>
      <c r="AG134" s="8">
        <v>1.4928625064571253</v>
      </c>
      <c r="AH134" s="8">
        <v>7.5555555555555562</v>
      </c>
      <c r="AI134" s="8">
        <v>9.1111111111111125</v>
      </c>
      <c r="AJ134" t="s">
        <v>1694</v>
      </c>
      <c r="AK134" t="s">
        <v>1694</v>
      </c>
      <c r="AL134" t="s">
        <v>1694</v>
      </c>
      <c r="AM134" t="s">
        <v>1694</v>
      </c>
      <c r="AN134" t="s">
        <v>1694</v>
      </c>
      <c r="AO134" t="s">
        <v>1694</v>
      </c>
      <c r="AP134" t="s">
        <v>1695</v>
      </c>
      <c r="AQ134" t="s">
        <v>1694</v>
      </c>
      <c r="AR134" t="s">
        <v>1694</v>
      </c>
      <c r="AS134" t="s">
        <v>1694</v>
      </c>
      <c r="AT134" t="s">
        <v>1694</v>
      </c>
      <c r="AU134" t="s">
        <v>1706</v>
      </c>
      <c r="AV134" t="s">
        <v>1723</v>
      </c>
      <c r="AW134" t="s">
        <v>1706</v>
      </c>
      <c r="AX134" t="s">
        <v>1706</v>
      </c>
      <c r="AY134" t="s">
        <v>1723</v>
      </c>
      <c r="AZ134" t="s">
        <v>1706</v>
      </c>
      <c r="BA134" t="s">
        <v>1700</v>
      </c>
      <c r="BB134" t="s">
        <v>1706</v>
      </c>
      <c r="BC134" t="s">
        <v>1723</v>
      </c>
      <c r="BD134" t="s">
        <v>1706</v>
      </c>
      <c r="BE134" t="s">
        <v>1706</v>
      </c>
      <c r="BF134" t="s">
        <v>1723</v>
      </c>
      <c r="BG134">
        <v>35</v>
      </c>
      <c r="BH134" s="12" t="s">
        <v>1709</v>
      </c>
      <c r="BI134" t="b">
        <v>0</v>
      </c>
      <c r="BJ134">
        <f t="shared" si="2"/>
        <v>0</v>
      </c>
    </row>
    <row r="135" spans="1:62" x14ac:dyDescent="0.2">
      <c r="A135" s="5" t="s">
        <v>30</v>
      </c>
      <c r="B135" s="6">
        <v>42184</v>
      </c>
      <c r="C135" s="7">
        <v>33.394500000000001</v>
      </c>
      <c r="D135" s="7">
        <v>-111.654911</v>
      </c>
      <c r="E135" s="17">
        <v>435</v>
      </c>
      <c r="F135" t="s">
        <v>1706</v>
      </c>
      <c r="G135" t="s">
        <v>1728</v>
      </c>
      <c r="H135" t="s">
        <v>1728</v>
      </c>
      <c r="I135">
        <v>1</v>
      </c>
      <c r="J135">
        <v>7.8489497862168696</v>
      </c>
      <c r="K135">
        <v>73.986645098117904</v>
      </c>
      <c r="L135">
        <v>18.1644051156652</v>
      </c>
      <c r="M135">
        <v>1.44523987331947</v>
      </c>
      <c r="N135">
        <v>0.99680761452885702</v>
      </c>
      <c r="O135">
        <v>40.713700036102502</v>
      </c>
      <c r="P135">
        <v>3.2381617223442301</v>
      </c>
      <c r="Q135">
        <v>11.6841422675278</v>
      </c>
      <c r="R135">
        <v>2.83150190965952</v>
      </c>
      <c r="S135">
        <v>0.81599999999999995</v>
      </c>
      <c r="T135">
        <v>0.17499999999999999</v>
      </c>
      <c r="U135">
        <v>0.51</v>
      </c>
      <c r="V135">
        <v>8.5999999999999993E-2</v>
      </c>
      <c r="W135">
        <v>0.30599999999999999</v>
      </c>
      <c r="X135">
        <v>8.8999999999999996E-2</v>
      </c>
      <c r="Y135">
        <v>1.24416796267496</v>
      </c>
      <c r="Z135">
        <v>0.89766606822263395</v>
      </c>
      <c r="AA135">
        <v>8.33</v>
      </c>
      <c r="AB135">
        <v>0.38600000000000001</v>
      </c>
      <c r="AC135">
        <v>10.975609756097599</v>
      </c>
      <c r="AD135">
        <v>11.0778443113772</v>
      </c>
      <c r="AE135">
        <v>0.06</v>
      </c>
      <c r="AF135">
        <v>4.4999999999999998E-2</v>
      </c>
      <c r="AG135">
        <v>1.5066555498109626</v>
      </c>
      <c r="AH135">
        <v>13.6</v>
      </c>
      <c r="AI135">
        <v>3.8888888888888902</v>
      </c>
      <c r="AJ135" t="s">
        <v>1694</v>
      </c>
      <c r="AK135" t="s">
        <v>1694</v>
      </c>
      <c r="AL135" t="s">
        <v>1694</v>
      </c>
      <c r="AM135" t="s">
        <v>1694</v>
      </c>
      <c r="AN135" t="s">
        <v>1694</v>
      </c>
      <c r="AO135" t="s">
        <v>1694</v>
      </c>
      <c r="AP135" t="s">
        <v>1697</v>
      </c>
      <c r="AQ135" t="s">
        <v>1697</v>
      </c>
      <c r="AR135" t="s">
        <v>1694</v>
      </c>
      <c r="AS135" t="s">
        <v>1694</v>
      </c>
      <c r="AT135" t="s">
        <v>1694</v>
      </c>
      <c r="AU135" t="s">
        <v>1706</v>
      </c>
      <c r="AV135" t="s">
        <v>1723</v>
      </c>
      <c r="AW135" t="s">
        <v>1706</v>
      </c>
      <c r="AX135" t="s">
        <v>1706</v>
      </c>
      <c r="AY135" t="s">
        <v>1723</v>
      </c>
      <c r="AZ135" t="s">
        <v>1706</v>
      </c>
      <c r="BA135" t="s">
        <v>1700</v>
      </c>
      <c r="BB135" t="s">
        <v>1706</v>
      </c>
      <c r="BC135" t="s">
        <v>1723</v>
      </c>
      <c r="BD135" t="s">
        <v>1706</v>
      </c>
      <c r="BE135" t="s">
        <v>1706</v>
      </c>
      <c r="BF135" t="s">
        <v>1723</v>
      </c>
      <c r="BG135">
        <v>40</v>
      </c>
      <c r="BH135" s="12" t="s">
        <v>1709</v>
      </c>
      <c r="BI135" t="b">
        <v>0</v>
      </c>
      <c r="BJ135">
        <f t="shared" si="2"/>
        <v>0</v>
      </c>
    </row>
    <row r="136" spans="1:62" x14ac:dyDescent="0.2">
      <c r="A136" s="5" t="s">
        <v>30</v>
      </c>
      <c r="B136" s="6">
        <v>45047</v>
      </c>
      <c r="C136" s="7">
        <v>33.394500000000001</v>
      </c>
      <c r="D136" s="7">
        <v>-111.654911</v>
      </c>
      <c r="E136" s="17">
        <v>435</v>
      </c>
      <c r="F136" t="s">
        <v>1706</v>
      </c>
      <c r="G136" t="s">
        <v>1724</v>
      </c>
      <c r="H136" t="s">
        <v>1724</v>
      </c>
      <c r="I136">
        <v>1</v>
      </c>
      <c r="J136" t="s">
        <v>1697</v>
      </c>
      <c r="K136" t="s">
        <v>1697</v>
      </c>
      <c r="L136" t="s">
        <v>1697</v>
      </c>
      <c r="M136" t="s">
        <v>1697</v>
      </c>
      <c r="N136" t="s">
        <v>1697</v>
      </c>
      <c r="O136" t="s">
        <v>1697</v>
      </c>
      <c r="P136" t="s">
        <v>1697</v>
      </c>
      <c r="Q136" t="s">
        <v>1697</v>
      </c>
      <c r="R136" t="s">
        <v>1697</v>
      </c>
      <c r="S136" t="s">
        <v>1697</v>
      </c>
      <c r="T136" t="s">
        <v>1697</v>
      </c>
      <c r="U136" t="s">
        <v>1697</v>
      </c>
      <c r="V136" t="s">
        <v>1697</v>
      </c>
      <c r="W136" t="s">
        <v>1697</v>
      </c>
      <c r="X136" t="s">
        <v>1697</v>
      </c>
      <c r="Y136" t="s">
        <v>1697</v>
      </c>
      <c r="Z136" t="s">
        <v>1697</v>
      </c>
      <c r="AA136" t="s">
        <v>1697</v>
      </c>
      <c r="AB136" t="s">
        <v>1697</v>
      </c>
      <c r="AC136" t="s">
        <v>1697</v>
      </c>
      <c r="AD136" t="s">
        <v>1697</v>
      </c>
      <c r="AE136" t="s">
        <v>1697</v>
      </c>
      <c r="AF136" t="s">
        <v>1697</v>
      </c>
      <c r="AG136" t="s">
        <v>1697</v>
      </c>
      <c r="AH136" t="s">
        <v>1697</v>
      </c>
      <c r="AI136" t="s">
        <v>1697</v>
      </c>
      <c r="AJ136" t="s">
        <v>1694</v>
      </c>
      <c r="AK136" t="s">
        <v>1694</v>
      </c>
      <c r="AL136" t="s">
        <v>1694</v>
      </c>
      <c r="AM136" t="s">
        <v>1694</v>
      </c>
      <c r="AN136" t="s">
        <v>1694</v>
      </c>
      <c r="AO136" t="s">
        <v>1694</v>
      </c>
      <c r="AP136" t="s">
        <v>1697</v>
      </c>
      <c r="AQ136" t="s">
        <v>1697</v>
      </c>
      <c r="AR136" t="s">
        <v>1694</v>
      </c>
      <c r="AS136" t="s">
        <v>1694</v>
      </c>
      <c r="AT136" t="s">
        <v>1694</v>
      </c>
      <c r="AU136" t="s">
        <v>1706</v>
      </c>
      <c r="AV136" t="s">
        <v>1723</v>
      </c>
      <c r="AW136" t="s">
        <v>1706</v>
      </c>
      <c r="AX136" t="s">
        <v>1706</v>
      </c>
      <c r="AY136" t="s">
        <v>1723</v>
      </c>
      <c r="AZ136" t="s">
        <v>1706</v>
      </c>
      <c r="BA136" t="s">
        <v>1700</v>
      </c>
      <c r="BB136" t="s">
        <v>1706</v>
      </c>
      <c r="BC136" t="s">
        <v>1723</v>
      </c>
      <c r="BD136" t="s">
        <v>1706</v>
      </c>
      <c r="BE136" t="s">
        <v>1706</v>
      </c>
      <c r="BF136" t="s">
        <v>1723</v>
      </c>
      <c r="BG136" s="6" t="s">
        <v>1697</v>
      </c>
      <c r="BH136" s="6" t="s">
        <v>1697</v>
      </c>
      <c r="BI136" t="b">
        <v>1</v>
      </c>
      <c r="BJ136">
        <f t="shared" si="2"/>
        <v>1</v>
      </c>
    </row>
    <row r="137" spans="1:62" x14ac:dyDescent="0.2">
      <c r="A137" s="5" t="s">
        <v>31</v>
      </c>
      <c r="B137" s="6">
        <v>38420</v>
      </c>
      <c r="C137" s="7">
        <v>33.377752999999998</v>
      </c>
      <c r="D137" s="7">
        <v>-111.65114199999999</v>
      </c>
      <c r="E137" s="17">
        <v>428</v>
      </c>
      <c r="F137" t="s">
        <v>1706</v>
      </c>
      <c r="G137" t="s">
        <v>1710</v>
      </c>
      <c r="H137" t="s">
        <v>1710</v>
      </c>
      <c r="I137">
        <v>1</v>
      </c>
      <c r="J137" s="8">
        <v>20.658232170039405</v>
      </c>
      <c r="K137" s="8">
        <v>60.674890754759346</v>
      </c>
      <c r="L137" s="8">
        <v>18.666877075201256</v>
      </c>
      <c r="M137" s="8">
        <v>1.4182581941919565</v>
      </c>
      <c r="N137" s="8">
        <v>2.3492748338618377</v>
      </c>
      <c r="O137" s="8">
        <v>0.36874713048990876</v>
      </c>
      <c r="P137" s="8">
        <v>0.91151863553839285</v>
      </c>
      <c r="Q137" s="8">
        <v>6.1587240039718081</v>
      </c>
      <c r="R137" s="8">
        <v>6.8200388136942678</v>
      </c>
      <c r="S137" s="8">
        <v>0.44500000000000001</v>
      </c>
      <c r="T137" s="8">
        <v>0.24399999999999999</v>
      </c>
      <c r="U137" s="8">
        <v>6.8000000000000005E-2</v>
      </c>
      <c r="V137" s="8">
        <v>0.17100000000000001</v>
      </c>
      <c r="W137" s="8">
        <v>0.377</v>
      </c>
      <c r="X137" s="8">
        <v>7.2999999999999982E-2</v>
      </c>
      <c r="Y137" s="8">
        <v>2.3554603854389793</v>
      </c>
      <c r="Z137" s="8">
        <v>1.6666666666666559</v>
      </c>
      <c r="AA137" s="8">
        <v>7.98</v>
      </c>
      <c r="AB137">
        <v>0.30199999999999999</v>
      </c>
      <c r="AC137" s="8">
        <v>11.991434689507505</v>
      </c>
      <c r="AD137" s="8">
        <v>12.083333333333348</v>
      </c>
      <c r="AE137" s="8">
        <v>0.04</v>
      </c>
      <c r="AF137" s="8">
        <v>0.02</v>
      </c>
      <c r="AG137" s="8">
        <v>1.6893634063608474</v>
      </c>
      <c r="AH137" s="8">
        <v>11.125</v>
      </c>
      <c r="AI137" s="8">
        <v>6.1</v>
      </c>
      <c r="AJ137" t="s">
        <v>1694</v>
      </c>
      <c r="AK137" t="s">
        <v>1694</v>
      </c>
      <c r="AL137" t="s">
        <v>1694</v>
      </c>
      <c r="AM137" t="s">
        <v>1694</v>
      </c>
      <c r="AN137" t="s">
        <v>1694</v>
      </c>
      <c r="AO137" t="s">
        <v>1694</v>
      </c>
      <c r="AP137" t="s">
        <v>1695</v>
      </c>
      <c r="AQ137" t="s">
        <v>1694</v>
      </c>
      <c r="AR137" t="s">
        <v>1694</v>
      </c>
      <c r="AS137" t="s">
        <v>1694</v>
      </c>
      <c r="AT137" t="s">
        <v>1694</v>
      </c>
      <c r="AU137" t="s">
        <v>1695</v>
      </c>
      <c r="AV137" t="s">
        <v>1694</v>
      </c>
      <c r="AW137" t="s">
        <v>1694</v>
      </c>
      <c r="AX137" t="s">
        <v>1695</v>
      </c>
      <c r="AY137" t="s">
        <v>1694</v>
      </c>
      <c r="AZ137" t="s">
        <v>1694</v>
      </c>
      <c r="BA137" t="s">
        <v>1700</v>
      </c>
      <c r="BB137" t="s">
        <v>1695</v>
      </c>
      <c r="BC137" t="s">
        <v>1694</v>
      </c>
      <c r="BD137" t="s">
        <v>1694</v>
      </c>
      <c r="BE137" t="s">
        <v>1695</v>
      </c>
      <c r="BF137" t="s">
        <v>1711</v>
      </c>
      <c r="BG137">
        <v>5</v>
      </c>
      <c r="BH137" t="s">
        <v>1708</v>
      </c>
      <c r="BI137" t="b">
        <v>0</v>
      </c>
      <c r="BJ137">
        <f t="shared" si="2"/>
        <v>0</v>
      </c>
    </row>
    <row r="138" spans="1:62" x14ac:dyDescent="0.2">
      <c r="A138" s="5" t="s">
        <v>31</v>
      </c>
      <c r="B138" s="6">
        <v>40249</v>
      </c>
      <c r="C138" s="7">
        <v>33.377752999999998</v>
      </c>
      <c r="D138" s="7">
        <v>-111.65114199999999</v>
      </c>
      <c r="E138" s="17">
        <v>428</v>
      </c>
      <c r="F138" t="s">
        <v>1706</v>
      </c>
      <c r="G138" t="s">
        <v>1710</v>
      </c>
      <c r="H138" t="s">
        <v>1710</v>
      </c>
      <c r="I138">
        <v>1</v>
      </c>
      <c r="J138" s="8">
        <v>19.325836681008735</v>
      </c>
      <c r="K138" s="8">
        <v>58.567549851875292</v>
      </c>
      <c r="L138" s="8">
        <v>22.106613467115977</v>
      </c>
      <c r="M138" s="8">
        <v>0.63529389089371724</v>
      </c>
      <c r="N138" s="8">
        <v>8.6534109398144636</v>
      </c>
      <c r="O138" s="8">
        <v>3.9108621138582591</v>
      </c>
      <c r="P138" s="8">
        <v>1.6192499344119622</v>
      </c>
      <c r="Q138" s="8">
        <v>12.874474424016812</v>
      </c>
      <c r="R138" s="8">
        <v>8.3524912928431991</v>
      </c>
      <c r="S138" s="8">
        <v>0.84399999999999997</v>
      </c>
      <c r="T138" s="8">
        <v>0.53600000000000003</v>
      </c>
      <c r="U138" s="8">
        <v>8.5000000000000006E-2</v>
      </c>
      <c r="V138" s="8">
        <v>0.30399999999999999</v>
      </c>
      <c r="W138" s="8">
        <v>0.75900000000000001</v>
      </c>
      <c r="X138" s="8">
        <v>0.23200000000000004</v>
      </c>
      <c r="Y138" s="8">
        <v>4.073319755600818</v>
      </c>
      <c r="Z138" s="8">
        <v>2.6717557251908506</v>
      </c>
      <c r="AA138" s="8">
        <v>8.27</v>
      </c>
      <c r="AB138">
        <v>0.29599999999999999</v>
      </c>
      <c r="AC138" s="8">
        <v>9.775967413441963</v>
      </c>
      <c r="AD138" s="8">
        <v>7.0610687022900613</v>
      </c>
      <c r="AE138" s="8">
        <v>7.4999999999999997E-2</v>
      </c>
      <c r="AF138" s="8">
        <v>2.5000000000000001E-2</v>
      </c>
      <c r="AG138" s="8">
        <v>1.615910237676653</v>
      </c>
      <c r="AH138" s="8">
        <v>11.253333333333334</v>
      </c>
      <c r="AI138" s="8">
        <v>7.1466666666666674</v>
      </c>
      <c r="AJ138" t="s">
        <v>1694</v>
      </c>
      <c r="AK138" t="s">
        <v>1694</v>
      </c>
      <c r="AL138" t="s">
        <v>1694</v>
      </c>
      <c r="AM138" t="s">
        <v>1694</v>
      </c>
      <c r="AN138" t="s">
        <v>1694</v>
      </c>
      <c r="AO138" t="s">
        <v>1694</v>
      </c>
      <c r="AP138" t="s">
        <v>1695</v>
      </c>
      <c r="AQ138" t="s">
        <v>1694</v>
      </c>
      <c r="AR138" t="s">
        <v>1694</v>
      </c>
      <c r="AS138" t="s">
        <v>1694</v>
      </c>
      <c r="AT138" t="s">
        <v>1694</v>
      </c>
      <c r="AU138" t="s">
        <v>1695</v>
      </c>
      <c r="AV138" t="s">
        <v>1694</v>
      </c>
      <c r="AW138" t="s">
        <v>1694</v>
      </c>
      <c r="AX138" t="s">
        <v>1695</v>
      </c>
      <c r="AY138" t="s">
        <v>1694</v>
      </c>
      <c r="AZ138" t="s">
        <v>1694</v>
      </c>
      <c r="BA138" t="s">
        <v>1700</v>
      </c>
      <c r="BB138" t="s">
        <v>1695</v>
      </c>
      <c r="BC138" t="s">
        <v>1694</v>
      </c>
      <c r="BD138" t="s">
        <v>1694</v>
      </c>
      <c r="BE138" t="s">
        <v>1695</v>
      </c>
      <c r="BF138" t="s">
        <v>1711</v>
      </c>
      <c r="BG138">
        <v>10</v>
      </c>
      <c r="BH138" t="s">
        <v>1708</v>
      </c>
      <c r="BI138" t="b">
        <v>0</v>
      </c>
      <c r="BJ138">
        <f t="shared" si="2"/>
        <v>0</v>
      </c>
    </row>
    <row r="139" spans="1:62" x14ac:dyDescent="0.2">
      <c r="A139" s="5" t="s">
        <v>31</v>
      </c>
      <c r="B139" s="6">
        <v>42164</v>
      </c>
      <c r="C139" s="7">
        <v>33.377752999999998</v>
      </c>
      <c r="D139" s="7">
        <v>-111.65114199999999</v>
      </c>
      <c r="E139" s="17">
        <v>428</v>
      </c>
      <c r="F139" t="s">
        <v>1706</v>
      </c>
      <c r="G139" t="s">
        <v>1710</v>
      </c>
      <c r="H139" t="s">
        <v>1710</v>
      </c>
      <c r="I139">
        <v>1</v>
      </c>
      <c r="J139">
        <v>14.225561570342901</v>
      </c>
      <c r="K139">
        <v>59.5526646045276</v>
      </c>
      <c r="L139">
        <v>26.2217738251295</v>
      </c>
      <c r="M139">
        <v>2.5995893430010701</v>
      </c>
      <c r="N139" t="s">
        <v>1697</v>
      </c>
      <c r="O139">
        <v>65.912168503188497</v>
      </c>
      <c r="P139" t="s">
        <v>1697</v>
      </c>
      <c r="Q139">
        <v>4.4567742609315601</v>
      </c>
      <c r="R139" t="s">
        <v>1697</v>
      </c>
      <c r="S139">
        <v>1.3640000000000001</v>
      </c>
      <c r="T139" t="s">
        <v>1697</v>
      </c>
      <c r="U139">
        <v>8.2000000000000003E-2</v>
      </c>
      <c r="V139" t="s">
        <v>1697</v>
      </c>
      <c r="W139">
        <v>1.282</v>
      </c>
      <c r="X139" t="s">
        <v>1697</v>
      </c>
      <c r="Y139">
        <v>3.0630630630630602</v>
      </c>
      <c r="Z139" t="s">
        <v>1697</v>
      </c>
      <c r="AA139">
        <v>8.09</v>
      </c>
      <c r="AB139">
        <v>0.72499999999999998</v>
      </c>
      <c r="AC139">
        <v>12.612612612612599</v>
      </c>
      <c r="AD139" t="s">
        <v>1697</v>
      </c>
      <c r="AE139">
        <v>0.13900000000000001</v>
      </c>
      <c r="AF139" t="s">
        <v>1697</v>
      </c>
      <c r="AG139">
        <v>1.2721340281156202</v>
      </c>
      <c r="AH139">
        <v>9.8129496402877692</v>
      </c>
      <c r="AI139" t="s">
        <v>1697</v>
      </c>
      <c r="AJ139" t="s">
        <v>1694</v>
      </c>
      <c r="AK139" t="s">
        <v>1694</v>
      </c>
      <c r="AL139" t="s">
        <v>1694</v>
      </c>
      <c r="AM139" t="s">
        <v>1694</v>
      </c>
      <c r="AN139" t="s">
        <v>1694</v>
      </c>
      <c r="AO139" t="s">
        <v>1694</v>
      </c>
      <c r="AP139" t="s">
        <v>1695</v>
      </c>
      <c r="AQ139" t="s">
        <v>1694</v>
      </c>
      <c r="AR139" t="s">
        <v>1694</v>
      </c>
      <c r="AS139" t="s">
        <v>1694</v>
      </c>
      <c r="AT139" t="s">
        <v>1694</v>
      </c>
      <c r="AU139" t="s">
        <v>1695</v>
      </c>
      <c r="AV139" t="s">
        <v>1694</v>
      </c>
      <c r="AW139" t="s">
        <v>1694</v>
      </c>
      <c r="AX139" t="s">
        <v>1695</v>
      </c>
      <c r="AY139" t="s">
        <v>1694</v>
      </c>
      <c r="AZ139" t="s">
        <v>1694</v>
      </c>
      <c r="BA139" t="s">
        <v>1700</v>
      </c>
      <c r="BB139" t="s">
        <v>1695</v>
      </c>
      <c r="BC139" t="s">
        <v>1694</v>
      </c>
      <c r="BD139" t="s">
        <v>1694</v>
      </c>
      <c r="BE139" t="s">
        <v>1695</v>
      </c>
      <c r="BF139" t="s">
        <v>1711</v>
      </c>
      <c r="BG139">
        <v>15</v>
      </c>
      <c r="BH139" t="s">
        <v>1708</v>
      </c>
      <c r="BI139" t="b">
        <v>0</v>
      </c>
      <c r="BJ139">
        <f t="shared" si="2"/>
        <v>0</v>
      </c>
    </row>
    <row r="140" spans="1:62" x14ac:dyDescent="0.2">
      <c r="A140" s="5" t="s">
        <v>32</v>
      </c>
      <c r="B140" s="6">
        <v>36642</v>
      </c>
      <c r="C140" s="7">
        <v>33.326011000000001</v>
      </c>
      <c r="D140" s="7">
        <v>-111.658986</v>
      </c>
      <c r="E140" s="17">
        <v>413</v>
      </c>
      <c r="F140" t="s">
        <v>1694</v>
      </c>
      <c r="G140" t="s">
        <v>1694</v>
      </c>
      <c r="H140" t="s">
        <v>1694</v>
      </c>
      <c r="I140">
        <v>0</v>
      </c>
      <c r="J140" s="8">
        <v>13.034390625717993</v>
      </c>
      <c r="K140" s="8">
        <v>80.813371159719566</v>
      </c>
      <c r="L140" s="8">
        <v>6.1522382145624448</v>
      </c>
      <c r="M140" s="8">
        <v>5.1655832088457725</v>
      </c>
      <c r="N140" s="8">
        <v>5.9996147009105796</v>
      </c>
      <c r="O140" s="8">
        <v>36.673258152734711</v>
      </c>
      <c r="P140" s="8">
        <v>101.78437135262647</v>
      </c>
      <c r="Q140" s="8">
        <v>9.2817470695732798</v>
      </c>
      <c r="R140" s="8">
        <v>7.9599184391688107</v>
      </c>
      <c r="S140" s="8">
        <v>0.27200000000000002</v>
      </c>
      <c r="T140" s="8">
        <v>0.191</v>
      </c>
      <c r="U140" s="8">
        <v>4.8000000000000001E-2</v>
      </c>
      <c r="V140" s="8">
        <v>1.9E-2</v>
      </c>
      <c r="W140" s="8">
        <v>0.224</v>
      </c>
      <c r="X140" s="8">
        <v>0.17199999999999999</v>
      </c>
      <c r="Y140" s="8">
        <v>2.1848000000000001</v>
      </c>
      <c r="Z140" s="8">
        <v>2.3113199999999998</v>
      </c>
      <c r="AA140" s="9">
        <v>7.15</v>
      </c>
      <c r="AB140" s="10">
        <v>0.39850000000000002</v>
      </c>
      <c r="AC140" s="8">
        <v>1.8976599999999999</v>
      </c>
      <c r="AD140" s="8">
        <v>3.74823</v>
      </c>
      <c r="AE140" s="8">
        <v>4.1000000000000002E-2</v>
      </c>
      <c r="AF140" s="8">
        <v>3.5999999999999997E-2</v>
      </c>
      <c r="AG140" s="8">
        <v>1.5776610610014958</v>
      </c>
      <c r="AH140" s="8">
        <v>6.6341463414634152</v>
      </c>
      <c r="AI140" s="8">
        <v>4.6585365853658534</v>
      </c>
      <c r="AJ140" t="s">
        <v>1694</v>
      </c>
      <c r="AK140" t="s">
        <v>1694</v>
      </c>
      <c r="AL140" t="s">
        <v>1694</v>
      </c>
      <c r="AM140" t="s">
        <v>1694</v>
      </c>
      <c r="AN140" t="s">
        <v>1694</v>
      </c>
      <c r="AO140" t="s">
        <v>1694</v>
      </c>
      <c r="AP140" t="s">
        <v>1695</v>
      </c>
      <c r="AQ140" t="s">
        <v>1694</v>
      </c>
      <c r="AR140" t="s">
        <v>1694</v>
      </c>
      <c r="AS140" t="s">
        <v>1694</v>
      </c>
      <c r="AT140" t="s">
        <v>1694</v>
      </c>
      <c r="AU140" t="s">
        <v>1695</v>
      </c>
      <c r="AV140" t="s">
        <v>1694</v>
      </c>
      <c r="AW140" t="s">
        <v>1694</v>
      </c>
      <c r="AX140" t="s">
        <v>1695</v>
      </c>
      <c r="AY140" t="s">
        <v>1694</v>
      </c>
      <c r="AZ140" t="s">
        <v>1694</v>
      </c>
      <c r="BA140" t="s">
        <v>1694</v>
      </c>
      <c r="BB140" t="s">
        <v>1695</v>
      </c>
      <c r="BC140" t="s">
        <v>1694</v>
      </c>
      <c r="BD140" t="s">
        <v>1694</v>
      </c>
      <c r="BE140" t="s">
        <v>1695</v>
      </c>
      <c r="BF140" t="s">
        <v>1694</v>
      </c>
      <c r="BG140" t="s">
        <v>1697</v>
      </c>
      <c r="BH140" t="s">
        <v>1698</v>
      </c>
      <c r="BI140" t="b">
        <v>0</v>
      </c>
      <c r="BJ140">
        <f t="shared" si="2"/>
        <v>0</v>
      </c>
    </row>
    <row r="141" spans="1:62" x14ac:dyDescent="0.2">
      <c r="A141" s="5" t="s">
        <v>32</v>
      </c>
      <c r="B141" s="6">
        <v>38442</v>
      </c>
      <c r="C141" s="7">
        <v>33.326011000000001</v>
      </c>
      <c r="D141" s="7">
        <v>-111.658986</v>
      </c>
      <c r="E141" s="17">
        <v>413</v>
      </c>
      <c r="F141" t="s">
        <v>1694</v>
      </c>
      <c r="G141" t="s">
        <v>1694</v>
      </c>
      <c r="H141" t="s">
        <v>1694</v>
      </c>
      <c r="I141">
        <v>0</v>
      </c>
      <c r="J141" s="8">
        <v>14.611672485707073</v>
      </c>
      <c r="K141" s="8">
        <v>60.608313009076035</v>
      </c>
      <c r="L141" s="8">
        <v>24.780014505216897</v>
      </c>
      <c r="M141" s="8">
        <v>2.2208668985925102</v>
      </c>
      <c r="N141" s="8">
        <v>17.762415725775526</v>
      </c>
      <c r="O141" s="8">
        <v>4.710929784893203</v>
      </c>
      <c r="P141" s="8">
        <v>586.66310725051312</v>
      </c>
      <c r="Q141" s="8">
        <v>15.217320897353698</v>
      </c>
      <c r="R141" s="8">
        <v>18.120850756139273</v>
      </c>
      <c r="S141" s="8">
        <v>0.16300000000000001</v>
      </c>
      <c r="T141" s="8">
        <v>0.99199999999999999</v>
      </c>
      <c r="U141" s="8">
        <v>6.4000000000000001E-2</v>
      </c>
      <c r="V141" s="8">
        <v>0.308</v>
      </c>
      <c r="W141" s="8">
        <v>9.9000000000000005E-2</v>
      </c>
      <c r="X141" s="8">
        <v>0.68399999999999994</v>
      </c>
      <c r="Y141" s="8">
        <v>2.3195876288659756</v>
      </c>
      <c r="Z141" s="8">
        <v>4.8695652173913082</v>
      </c>
      <c r="AA141" s="8">
        <v>7.87</v>
      </c>
      <c r="AB141">
        <v>0.19600000000000001</v>
      </c>
      <c r="AC141" s="8">
        <v>2.8350515463917607</v>
      </c>
      <c r="AD141" s="8">
        <v>10.434782608695645</v>
      </c>
      <c r="AE141" s="8">
        <v>1.7000000000000001E-2</v>
      </c>
      <c r="AF141" s="8">
        <v>0.104</v>
      </c>
      <c r="AG141" s="8">
        <v>1.3026572911642018</v>
      </c>
      <c r="AH141" s="8">
        <v>9.5882352941176467</v>
      </c>
      <c r="AI141" s="8">
        <v>58.352941176470587</v>
      </c>
      <c r="AJ141" t="s">
        <v>1694</v>
      </c>
      <c r="AK141" t="s">
        <v>1694</v>
      </c>
      <c r="AL141" t="s">
        <v>1694</v>
      </c>
      <c r="AM141" t="s">
        <v>1694</v>
      </c>
      <c r="AN141" t="s">
        <v>1694</v>
      </c>
      <c r="AO141" t="s">
        <v>1694</v>
      </c>
      <c r="AP141" t="s">
        <v>1695</v>
      </c>
      <c r="AQ141" t="s">
        <v>1694</v>
      </c>
      <c r="AR141" t="s">
        <v>1694</v>
      </c>
      <c r="AS141" t="s">
        <v>1694</v>
      </c>
      <c r="AT141" t="s">
        <v>1694</v>
      </c>
      <c r="AU141" t="s">
        <v>1695</v>
      </c>
      <c r="AV141" t="s">
        <v>1694</v>
      </c>
      <c r="AW141" t="s">
        <v>1694</v>
      </c>
      <c r="AX141" t="s">
        <v>1695</v>
      </c>
      <c r="AY141" t="s">
        <v>1694</v>
      </c>
      <c r="AZ141" t="s">
        <v>1694</v>
      </c>
      <c r="BA141" t="s">
        <v>1694</v>
      </c>
      <c r="BB141" t="s">
        <v>1695</v>
      </c>
      <c r="BC141" t="s">
        <v>1694</v>
      </c>
      <c r="BD141" t="s">
        <v>1694</v>
      </c>
      <c r="BE141" t="s">
        <v>1695</v>
      </c>
      <c r="BF141" t="s">
        <v>1694</v>
      </c>
      <c r="BG141" t="s">
        <v>1697</v>
      </c>
      <c r="BH141" t="s">
        <v>1698</v>
      </c>
      <c r="BI141" t="b">
        <v>0</v>
      </c>
      <c r="BJ141">
        <f t="shared" si="2"/>
        <v>0</v>
      </c>
    </row>
    <row r="142" spans="1:62" x14ac:dyDescent="0.2">
      <c r="A142" s="5" t="s">
        <v>32</v>
      </c>
      <c r="B142" s="6">
        <v>40297</v>
      </c>
      <c r="C142" s="7">
        <v>33.326011000000001</v>
      </c>
      <c r="D142" s="7">
        <v>-111.658986</v>
      </c>
      <c r="E142" s="17">
        <v>413</v>
      </c>
      <c r="F142" t="s">
        <v>1694</v>
      </c>
      <c r="G142" t="s">
        <v>1694</v>
      </c>
      <c r="H142" t="s">
        <v>1694</v>
      </c>
      <c r="I142">
        <v>0</v>
      </c>
      <c r="J142" s="8">
        <v>17.046401260788318</v>
      </c>
      <c r="K142" s="8">
        <v>65.019242889894443</v>
      </c>
      <c r="L142" s="8">
        <v>17.934355849317242</v>
      </c>
      <c r="M142" s="8">
        <v>1.0039906033828636</v>
      </c>
      <c r="N142" s="8">
        <v>1.9044737770886082</v>
      </c>
      <c r="O142" s="8">
        <v>6.5623153931256732</v>
      </c>
      <c r="P142" s="8">
        <v>107.67601739693282</v>
      </c>
      <c r="Q142" s="8">
        <v>23.194340923968117</v>
      </c>
      <c r="R142" s="8">
        <v>11.171680156475118</v>
      </c>
      <c r="S142" s="8">
        <v>0.23799999999999999</v>
      </c>
      <c r="T142" s="8">
        <v>0.152</v>
      </c>
      <c r="U142" s="8">
        <v>8.9999999999999993E-3</v>
      </c>
      <c r="V142" s="8">
        <v>7.0000000000000001E-3</v>
      </c>
      <c r="W142" s="8">
        <v>0.22899999999999998</v>
      </c>
      <c r="X142" s="8">
        <v>0.14499999999999999</v>
      </c>
      <c r="Y142" s="8">
        <v>2.5117739403453436</v>
      </c>
      <c r="Z142" s="8">
        <v>2.5222551928783372</v>
      </c>
      <c r="AA142" s="8">
        <v>7.52</v>
      </c>
      <c r="AB142">
        <v>0.69699999999999995</v>
      </c>
      <c r="AC142" s="8">
        <v>1.7268445839874604</v>
      </c>
      <c r="AD142" s="8">
        <v>2.5222551928783372</v>
      </c>
      <c r="AE142" s="8">
        <v>3.1E-2</v>
      </c>
      <c r="AF142" s="8">
        <v>2.7E-2</v>
      </c>
      <c r="AG142" s="8">
        <v>1.4262471659362075</v>
      </c>
      <c r="AH142" s="8">
        <v>7.6774193548387091</v>
      </c>
      <c r="AI142" s="8">
        <v>4.903225806451613</v>
      </c>
      <c r="AJ142" t="s">
        <v>1694</v>
      </c>
      <c r="AK142" t="s">
        <v>1694</v>
      </c>
      <c r="AL142" t="s">
        <v>1694</v>
      </c>
      <c r="AM142" t="s">
        <v>1694</v>
      </c>
      <c r="AN142" t="s">
        <v>1694</v>
      </c>
      <c r="AO142" t="s">
        <v>1694</v>
      </c>
      <c r="AP142" t="s">
        <v>1695</v>
      </c>
      <c r="AQ142" t="s">
        <v>1694</v>
      </c>
      <c r="AR142" t="s">
        <v>1694</v>
      </c>
      <c r="AS142" t="s">
        <v>1694</v>
      </c>
      <c r="AT142" t="s">
        <v>1694</v>
      </c>
      <c r="AU142" t="s">
        <v>1695</v>
      </c>
      <c r="AV142" t="s">
        <v>1694</v>
      </c>
      <c r="AW142" t="s">
        <v>1694</v>
      </c>
      <c r="AX142" t="s">
        <v>1695</v>
      </c>
      <c r="AY142" t="s">
        <v>1694</v>
      </c>
      <c r="AZ142" t="s">
        <v>1694</v>
      </c>
      <c r="BA142" t="s">
        <v>1694</v>
      </c>
      <c r="BB142" t="s">
        <v>1695</v>
      </c>
      <c r="BC142" t="s">
        <v>1694</v>
      </c>
      <c r="BD142" t="s">
        <v>1694</v>
      </c>
      <c r="BE142" t="s">
        <v>1695</v>
      </c>
      <c r="BF142" t="s">
        <v>1694</v>
      </c>
      <c r="BG142" t="s">
        <v>1697</v>
      </c>
      <c r="BH142" t="s">
        <v>1698</v>
      </c>
      <c r="BI142" t="b">
        <v>0</v>
      </c>
      <c r="BJ142">
        <f t="shared" si="2"/>
        <v>0</v>
      </c>
    </row>
    <row r="143" spans="1:62" x14ac:dyDescent="0.2">
      <c r="A143" s="5" t="s">
        <v>32</v>
      </c>
      <c r="B143" s="6">
        <v>42055</v>
      </c>
      <c r="C143" s="7">
        <v>33.326011000000001</v>
      </c>
      <c r="D143" s="7">
        <v>-111.658986</v>
      </c>
      <c r="E143" s="17">
        <v>413</v>
      </c>
      <c r="F143" t="s">
        <v>1697</v>
      </c>
      <c r="G143" t="s">
        <v>1697</v>
      </c>
      <c r="H143" t="s">
        <v>1697</v>
      </c>
      <c r="I143" t="s">
        <v>1697</v>
      </c>
      <c r="J143">
        <v>8.2104004790781104</v>
      </c>
      <c r="K143">
        <v>68.851705472813407</v>
      </c>
      <c r="L143">
        <v>22.9378940481085</v>
      </c>
      <c r="M143">
        <v>6.2579233274131401</v>
      </c>
      <c r="N143">
        <v>4.9997967444238398</v>
      </c>
      <c r="O143">
        <v>97.409265249336102</v>
      </c>
      <c r="P143">
        <v>175.85491997628699</v>
      </c>
      <c r="Q143">
        <v>6.4678800484289702</v>
      </c>
      <c r="R143">
        <v>9.3154670482696993</v>
      </c>
      <c r="S143">
        <v>0.185</v>
      </c>
      <c r="T143">
        <v>0.19700000000000001</v>
      </c>
      <c r="U143">
        <v>5.0000000000000001E-3</v>
      </c>
      <c r="V143">
        <v>4.1000000000000002E-2</v>
      </c>
      <c r="W143">
        <v>0.18</v>
      </c>
      <c r="X143">
        <v>0.156</v>
      </c>
      <c r="Y143">
        <v>1.6666666666666701</v>
      </c>
      <c r="Z143">
        <v>1.3555787278414899</v>
      </c>
      <c r="AA143">
        <v>7.65</v>
      </c>
      <c r="AB143">
        <v>0.29899999999999999</v>
      </c>
      <c r="AC143">
        <v>3.8383838383838298</v>
      </c>
      <c r="AD143">
        <v>3.9402173913043601</v>
      </c>
      <c r="AE143">
        <v>4.1000000000000002E-2</v>
      </c>
      <c r="AF143">
        <v>6.4000000000000001E-2</v>
      </c>
      <c r="AG143">
        <v>1.5386078290276648</v>
      </c>
      <c r="AH143">
        <v>4.51219512195122</v>
      </c>
      <c r="AI143">
        <v>3.078125</v>
      </c>
      <c r="AJ143" t="s">
        <v>1694</v>
      </c>
      <c r="AK143" t="s">
        <v>1694</v>
      </c>
      <c r="AL143" t="s">
        <v>1694</v>
      </c>
      <c r="AM143" t="s">
        <v>1694</v>
      </c>
      <c r="AN143" t="s">
        <v>1694</v>
      </c>
      <c r="AO143" t="s">
        <v>1694</v>
      </c>
      <c r="AP143" t="s">
        <v>1695</v>
      </c>
      <c r="AQ143" t="s">
        <v>1694</v>
      </c>
      <c r="AR143" t="s">
        <v>1694</v>
      </c>
      <c r="AS143" t="s">
        <v>1694</v>
      </c>
      <c r="AT143" t="s">
        <v>1694</v>
      </c>
      <c r="AU143" t="s">
        <v>1695</v>
      </c>
      <c r="AV143" t="s">
        <v>1694</v>
      </c>
      <c r="AW143" t="s">
        <v>1694</v>
      </c>
      <c r="AX143" t="s">
        <v>1695</v>
      </c>
      <c r="AY143" t="s">
        <v>1694</v>
      </c>
      <c r="AZ143" t="s">
        <v>1694</v>
      </c>
      <c r="BA143" t="s">
        <v>1694</v>
      </c>
      <c r="BB143" t="s">
        <v>1695</v>
      </c>
      <c r="BC143" t="s">
        <v>1694</v>
      </c>
      <c r="BD143" t="s">
        <v>1694</v>
      </c>
      <c r="BE143" t="s">
        <v>1695</v>
      </c>
      <c r="BF143" t="s">
        <v>1694</v>
      </c>
      <c r="BG143" t="s">
        <v>1697</v>
      </c>
      <c r="BH143" t="s">
        <v>1698</v>
      </c>
      <c r="BI143" t="b">
        <v>1</v>
      </c>
      <c r="BJ143">
        <f t="shared" si="2"/>
        <v>1</v>
      </c>
    </row>
    <row r="144" spans="1:62" x14ac:dyDescent="0.2">
      <c r="A144" s="5" t="s">
        <v>33</v>
      </c>
      <c r="B144" s="6">
        <v>36588</v>
      </c>
      <c r="C144" s="7">
        <v>33.218589000000001</v>
      </c>
      <c r="D144" s="7">
        <v>-111.626672</v>
      </c>
      <c r="E144" s="17">
        <v>431</v>
      </c>
      <c r="F144" t="s">
        <v>1703</v>
      </c>
      <c r="G144" t="s">
        <v>1738</v>
      </c>
      <c r="H144" t="s">
        <v>1744</v>
      </c>
      <c r="I144">
        <v>0</v>
      </c>
      <c r="J144" s="8">
        <v>22.688209212885905</v>
      </c>
      <c r="K144" s="8">
        <v>31.388121002190474</v>
      </c>
      <c r="L144" s="8">
        <v>45.923669784923618</v>
      </c>
      <c r="M144" s="8">
        <v>6.6482373274101878</v>
      </c>
      <c r="N144" s="8">
        <v>2.776244020261923</v>
      </c>
      <c r="O144" s="8">
        <v>14.309538538635552</v>
      </c>
      <c r="P144" s="8">
        <v>0.60424292390353251</v>
      </c>
      <c r="Q144" s="8">
        <v>26.327646478586011</v>
      </c>
      <c r="R144" s="8">
        <v>6.5839016144743381</v>
      </c>
      <c r="S144" s="8">
        <v>1.595</v>
      </c>
      <c r="T144" s="8">
        <v>0.57199999999999995</v>
      </c>
      <c r="U144" s="8">
        <v>0.05</v>
      </c>
      <c r="V144" s="8">
        <v>2.5999999999999999E-2</v>
      </c>
      <c r="W144" s="8">
        <v>1.5449999999999999</v>
      </c>
      <c r="X144" s="8">
        <v>0.54600000000000004</v>
      </c>
      <c r="Y144" s="8">
        <v>5.5070899999999998</v>
      </c>
      <c r="Z144" s="8">
        <v>3.5034299999999998</v>
      </c>
      <c r="AA144" s="9">
        <v>7.36</v>
      </c>
      <c r="AB144" s="10">
        <v>0.59199999999999997</v>
      </c>
      <c r="AC144" s="8">
        <v>9.3763799999999993</v>
      </c>
      <c r="AD144" s="8">
        <v>10.87087</v>
      </c>
      <c r="AE144" s="8">
        <v>0.16600000000000001</v>
      </c>
      <c r="AF144" s="8">
        <v>6.7000000000000004E-2</v>
      </c>
      <c r="AG144" s="8">
        <v>1.4645207387235233</v>
      </c>
      <c r="AH144" s="8">
        <v>9.6084337349397586</v>
      </c>
      <c r="AI144" s="8">
        <v>3.4457831325301198</v>
      </c>
      <c r="AJ144" t="s">
        <v>1694</v>
      </c>
      <c r="AK144" t="s">
        <v>1694</v>
      </c>
      <c r="AL144" t="s">
        <v>1694</v>
      </c>
      <c r="AM144" t="s">
        <v>1694</v>
      </c>
      <c r="AN144" t="s">
        <v>1694</v>
      </c>
      <c r="AO144" t="s">
        <v>1694</v>
      </c>
      <c r="AP144" t="s">
        <v>1702</v>
      </c>
      <c r="AQ144" t="s">
        <v>1725</v>
      </c>
      <c r="AR144" t="s">
        <v>1703</v>
      </c>
      <c r="AS144" t="s">
        <v>1702</v>
      </c>
      <c r="AT144" t="s">
        <v>1703</v>
      </c>
      <c r="AU144" t="s">
        <v>1697</v>
      </c>
      <c r="AV144" t="s">
        <v>1697</v>
      </c>
      <c r="AW144" t="s">
        <v>1703</v>
      </c>
      <c r="AX144" t="s">
        <v>1695</v>
      </c>
      <c r="AY144" t="s">
        <v>1711</v>
      </c>
      <c r="AZ144" t="s">
        <v>1703</v>
      </c>
      <c r="BA144" t="s">
        <v>1702</v>
      </c>
      <c r="BB144" t="s">
        <v>1704</v>
      </c>
      <c r="BC144" t="s">
        <v>1725</v>
      </c>
      <c r="BD144" t="s">
        <v>1703</v>
      </c>
      <c r="BE144" t="s">
        <v>1704</v>
      </c>
      <c r="BF144" t="s">
        <v>1725</v>
      </c>
      <c r="BG144">
        <v>45</v>
      </c>
      <c r="BH144" s="12" t="s">
        <v>1708</v>
      </c>
      <c r="BI144" t="b">
        <v>0</v>
      </c>
      <c r="BJ144">
        <f t="shared" si="2"/>
        <v>0</v>
      </c>
    </row>
    <row r="145" spans="1:62" x14ac:dyDescent="0.2">
      <c r="A145" s="5" t="s">
        <v>33</v>
      </c>
      <c r="B145" s="6">
        <v>38495</v>
      </c>
      <c r="C145" s="7">
        <v>33.218589000000001</v>
      </c>
      <c r="D145" s="7">
        <v>-111.626672</v>
      </c>
      <c r="E145" s="17">
        <v>431</v>
      </c>
      <c r="F145" t="s">
        <v>1706</v>
      </c>
      <c r="G145" t="s">
        <v>1724</v>
      </c>
      <c r="H145" t="s">
        <v>1724</v>
      </c>
      <c r="I145">
        <v>1</v>
      </c>
      <c r="J145" s="8">
        <v>24.299280010616584</v>
      </c>
      <c r="K145" s="8">
        <v>34.27760859586806</v>
      </c>
      <c r="L145" s="8">
        <v>41.423111393515356</v>
      </c>
      <c r="M145" s="8">
        <v>5.5740387678003325</v>
      </c>
      <c r="N145" s="8">
        <v>3.6643414439484134</v>
      </c>
      <c r="O145" s="8">
        <v>395.52122974898697</v>
      </c>
      <c r="P145" s="8">
        <v>412.32169293155891</v>
      </c>
      <c r="Q145" s="8">
        <v>9.6619957793549283</v>
      </c>
      <c r="R145" s="8">
        <v>20.458812649289605</v>
      </c>
      <c r="S145" s="8">
        <v>0.60599999999999998</v>
      </c>
      <c r="T145" s="8">
        <v>0.54</v>
      </c>
      <c r="U145" s="8">
        <v>8.3000000000000004E-2</v>
      </c>
      <c r="V145" s="8">
        <v>5.5E-2</v>
      </c>
      <c r="W145" s="8">
        <v>0.52300000000000002</v>
      </c>
      <c r="X145" s="8">
        <v>0.48500000000000004</v>
      </c>
      <c r="Y145" s="8">
        <v>4.1025641025640835</v>
      </c>
      <c r="Z145" s="8">
        <v>4.8811013767208857</v>
      </c>
      <c r="AA145" s="8">
        <v>7.72</v>
      </c>
      <c r="AB145">
        <v>0.68100000000000005</v>
      </c>
      <c r="AC145" s="8">
        <v>6.2820512820512864</v>
      </c>
      <c r="AD145" s="8">
        <v>11.514392991239047</v>
      </c>
      <c r="AE145" s="8">
        <v>0.11700000000000001</v>
      </c>
      <c r="AF145" s="8">
        <v>0.12</v>
      </c>
      <c r="AG145" s="8">
        <v>1.4863840315615064</v>
      </c>
      <c r="AH145" s="8">
        <v>5.1794871794871788</v>
      </c>
      <c r="AI145" s="8">
        <v>4.6153846153846159</v>
      </c>
      <c r="AJ145" t="s">
        <v>1694</v>
      </c>
      <c r="AK145" t="s">
        <v>1694</v>
      </c>
      <c r="AL145" t="s">
        <v>1694</v>
      </c>
      <c r="AM145" t="s">
        <v>1694</v>
      </c>
      <c r="AN145" t="s">
        <v>1694</v>
      </c>
      <c r="AO145" t="s">
        <v>1694</v>
      </c>
      <c r="AP145" t="s">
        <v>1702</v>
      </c>
      <c r="AQ145" t="s">
        <v>1725</v>
      </c>
      <c r="AR145" t="s">
        <v>1703</v>
      </c>
      <c r="AS145" t="s">
        <v>1702</v>
      </c>
      <c r="AT145" t="s">
        <v>1703</v>
      </c>
      <c r="AU145" t="s">
        <v>1697</v>
      </c>
      <c r="AV145" t="s">
        <v>1697</v>
      </c>
      <c r="AW145" t="s">
        <v>1703</v>
      </c>
      <c r="AX145" t="s">
        <v>1695</v>
      </c>
      <c r="AY145" t="s">
        <v>1711</v>
      </c>
      <c r="AZ145" t="s">
        <v>1703</v>
      </c>
      <c r="BA145" t="s">
        <v>1702</v>
      </c>
      <c r="BB145" t="s">
        <v>1704</v>
      </c>
      <c r="BC145" t="s">
        <v>1725</v>
      </c>
      <c r="BD145" t="s">
        <v>1703</v>
      </c>
      <c r="BE145" t="s">
        <v>1704</v>
      </c>
      <c r="BF145" t="s">
        <v>1725</v>
      </c>
      <c r="BG145">
        <v>5</v>
      </c>
      <c r="BH145" s="12" t="s">
        <v>1708</v>
      </c>
      <c r="BI145" t="b">
        <v>0</v>
      </c>
      <c r="BJ145">
        <f t="shared" si="2"/>
        <v>0</v>
      </c>
    </row>
    <row r="146" spans="1:62" x14ac:dyDescent="0.2">
      <c r="A146" s="5" t="s">
        <v>33</v>
      </c>
      <c r="B146" s="6">
        <v>40296</v>
      </c>
      <c r="C146" s="7">
        <v>33.218589000000001</v>
      </c>
      <c r="D146" s="7">
        <v>-111.626672</v>
      </c>
      <c r="E146" s="17">
        <v>431</v>
      </c>
      <c r="F146" t="s">
        <v>1706</v>
      </c>
      <c r="G146" t="s">
        <v>1728</v>
      </c>
      <c r="H146" t="s">
        <v>1728</v>
      </c>
      <c r="I146">
        <v>1</v>
      </c>
      <c r="J146" s="8" t="s">
        <v>1697</v>
      </c>
      <c r="K146" s="8" t="s">
        <v>1697</v>
      </c>
      <c r="L146" s="8" t="s">
        <v>1697</v>
      </c>
      <c r="M146" s="8">
        <v>5.0000000000000001E-3</v>
      </c>
      <c r="N146" s="8">
        <v>1.0785059113545687</v>
      </c>
      <c r="O146" s="8">
        <v>147.83675436465279</v>
      </c>
      <c r="P146" s="8">
        <v>105.3807302697594</v>
      </c>
      <c r="Q146" s="8">
        <v>22.541667348397961</v>
      </c>
      <c r="R146" s="8">
        <v>34.451192927845234</v>
      </c>
      <c r="S146" s="8">
        <v>0.56999999999999995</v>
      </c>
      <c r="T146" s="8">
        <v>0.55600000000000005</v>
      </c>
      <c r="U146" s="8">
        <v>7.3999999999999996E-2</v>
      </c>
      <c r="V146" s="8">
        <v>0.108</v>
      </c>
      <c r="W146" s="8">
        <v>0.49599999999999994</v>
      </c>
      <c r="X146" s="8">
        <v>0.44800000000000006</v>
      </c>
      <c r="Y146" s="8">
        <v>4.0238450074515573</v>
      </c>
      <c r="Z146" s="8">
        <v>4.2005420054200604</v>
      </c>
      <c r="AA146" s="8">
        <v>7.89</v>
      </c>
      <c r="AB146">
        <v>0.443</v>
      </c>
      <c r="AC146" s="8">
        <v>7.6005961251862848</v>
      </c>
      <c r="AD146" s="8">
        <v>11.78861788617885</v>
      </c>
      <c r="AE146" s="8">
        <v>7.0000000000000007E-2</v>
      </c>
      <c r="AF146" s="8">
        <v>6.4000000000000001E-2</v>
      </c>
      <c r="AG146" s="8">
        <v>1.4203041468291937</v>
      </c>
      <c r="AH146" s="8">
        <v>8.1428571428571406</v>
      </c>
      <c r="AI146" s="8">
        <v>7.9428571428571431</v>
      </c>
      <c r="AJ146" t="s">
        <v>1694</v>
      </c>
      <c r="AK146" t="s">
        <v>1694</v>
      </c>
      <c r="AL146" t="s">
        <v>1694</v>
      </c>
      <c r="AM146" t="s">
        <v>1694</v>
      </c>
      <c r="AN146" t="s">
        <v>1694</v>
      </c>
      <c r="AO146" t="s">
        <v>1694</v>
      </c>
      <c r="AP146" t="s">
        <v>1702</v>
      </c>
      <c r="AQ146" t="s">
        <v>1725</v>
      </c>
      <c r="AR146" t="s">
        <v>1703</v>
      </c>
      <c r="AS146" t="s">
        <v>1702</v>
      </c>
      <c r="AT146" t="s">
        <v>1703</v>
      </c>
      <c r="AU146" t="s">
        <v>1697</v>
      </c>
      <c r="AV146" t="s">
        <v>1697</v>
      </c>
      <c r="AW146" t="s">
        <v>1703</v>
      </c>
      <c r="AX146" t="s">
        <v>1695</v>
      </c>
      <c r="AY146" t="s">
        <v>1711</v>
      </c>
      <c r="AZ146" t="s">
        <v>1703</v>
      </c>
      <c r="BA146" t="s">
        <v>1702</v>
      </c>
      <c r="BB146" t="s">
        <v>1704</v>
      </c>
      <c r="BC146" t="s">
        <v>1725</v>
      </c>
      <c r="BD146" t="s">
        <v>1703</v>
      </c>
      <c r="BE146" t="s">
        <v>1704</v>
      </c>
      <c r="BF146" t="s">
        <v>1725</v>
      </c>
      <c r="BG146">
        <v>10</v>
      </c>
      <c r="BH146" s="12" t="s">
        <v>1708</v>
      </c>
      <c r="BI146" t="b">
        <v>0</v>
      </c>
      <c r="BJ146">
        <f t="shared" si="2"/>
        <v>0</v>
      </c>
    </row>
    <row r="147" spans="1:62" x14ac:dyDescent="0.2">
      <c r="A147" s="5" t="s">
        <v>33</v>
      </c>
      <c r="B147" s="6">
        <v>42146</v>
      </c>
      <c r="C147" s="7">
        <v>33.218589000000001</v>
      </c>
      <c r="D147" s="7">
        <v>-111.626672</v>
      </c>
      <c r="E147" s="17">
        <v>431</v>
      </c>
      <c r="F147" t="s">
        <v>1706</v>
      </c>
      <c r="G147" t="s">
        <v>1724</v>
      </c>
      <c r="H147" t="s">
        <v>1724</v>
      </c>
      <c r="I147">
        <v>1</v>
      </c>
      <c r="J147">
        <v>19.770658767850399</v>
      </c>
      <c r="K147">
        <v>33.879725110831998</v>
      </c>
      <c r="L147">
        <v>46.349616121317602</v>
      </c>
      <c r="M147">
        <v>32.9943372066816</v>
      </c>
      <c r="N147">
        <v>8.4418013298244805</v>
      </c>
      <c r="O147">
        <v>337.70674552721101</v>
      </c>
      <c r="P147">
        <v>2197.1811680365099</v>
      </c>
      <c r="Q147">
        <v>6.8806055971775102</v>
      </c>
      <c r="R147">
        <v>17.2261707127318</v>
      </c>
      <c r="S147">
        <v>0.624</v>
      </c>
      <c r="T147">
        <v>0.55600000000000005</v>
      </c>
      <c r="U147">
        <v>6.2E-2</v>
      </c>
      <c r="V147">
        <v>0.17199999999999999</v>
      </c>
      <c r="W147">
        <v>0.56200000000000006</v>
      </c>
      <c r="X147">
        <v>0.38400000000000001</v>
      </c>
      <c r="Y147">
        <v>2.0979020979021001</v>
      </c>
      <c r="Z147">
        <v>1.9769357495881399</v>
      </c>
      <c r="AA147">
        <v>7.65</v>
      </c>
      <c r="AB147">
        <v>9.4700000000000006</v>
      </c>
      <c r="AC147">
        <v>7.4898785425101</v>
      </c>
      <c r="AD147">
        <v>9.6354166666666803</v>
      </c>
      <c r="AE147">
        <v>0.19500000000000001</v>
      </c>
      <c r="AF147">
        <v>0.125</v>
      </c>
      <c r="AG147">
        <v>1.513333028002986</v>
      </c>
      <c r="AH147">
        <v>3.2</v>
      </c>
      <c r="AI147">
        <v>4.4480000000000004</v>
      </c>
      <c r="AJ147" t="s">
        <v>1694</v>
      </c>
      <c r="AK147" t="s">
        <v>1694</v>
      </c>
      <c r="AL147" t="s">
        <v>1694</v>
      </c>
      <c r="AM147" t="s">
        <v>1694</v>
      </c>
      <c r="AN147" t="s">
        <v>1694</v>
      </c>
      <c r="AO147" t="s">
        <v>1694</v>
      </c>
      <c r="AP147" t="s">
        <v>1702</v>
      </c>
      <c r="AQ147" t="s">
        <v>1725</v>
      </c>
      <c r="AR147" t="s">
        <v>1703</v>
      </c>
      <c r="AS147" t="s">
        <v>1702</v>
      </c>
      <c r="AT147" t="s">
        <v>1703</v>
      </c>
      <c r="AU147" t="s">
        <v>1697</v>
      </c>
      <c r="AV147" t="s">
        <v>1697</v>
      </c>
      <c r="AW147" t="s">
        <v>1703</v>
      </c>
      <c r="AX147" t="s">
        <v>1695</v>
      </c>
      <c r="AY147" t="s">
        <v>1711</v>
      </c>
      <c r="AZ147" t="s">
        <v>1703</v>
      </c>
      <c r="BA147" t="s">
        <v>1702</v>
      </c>
      <c r="BB147" t="s">
        <v>1704</v>
      </c>
      <c r="BC147" t="s">
        <v>1725</v>
      </c>
      <c r="BD147" t="s">
        <v>1703</v>
      </c>
      <c r="BE147" t="s">
        <v>1704</v>
      </c>
      <c r="BF147" t="s">
        <v>1725</v>
      </c>
      <c r="BG147">
        <v>15</v>
      </c>
      <c r="BH147" s="12" t="s">
        <v>1708</v>
      </c>
      <c r="BI147" t="b">
        <v>0</v>
      </c>
      <c r="BJ147">
        <f t="shared" si="2"/>
        <v>0</v>
      </c>
    </row>
    <row r="148" spans="1:62" x14ac:dyDescent="0.2">
      <c r="A148" s="5" t="s">
        <v>33</v>
      </c>
      <c r="B148" s="6">
        <v>45077</v>
      </c>
      <c r="C148" s="7">
        <v>33.218589000000001</v>
      </c>
      <c r="D148" s="7">
        <v>-111.626672</v>
      </c>
      <c r="E148" s="17">
        <v>431</v>
      </c>
      <c r="F148" t="s">
        <v>1706</v>
      </c>
      <c r="G148" t="s">
        <v>1724</v>
      </c>
      <c r="H148" t="s">
        <v>1724</v>
      </c>
      <c r="I148">
        <v>1</v>
      </c>
      <c r="J148" t="s">
        <v>1697</v>
      </c>
      <c r="K148" t="s">
        <v>1697</v>
      </c>
      <c r="L148" t="s">
        <v>1697</v>
      </c>
      <c r="M148" t="s">
        <v>1697</v>
      </c>
      <c r="N148" t="s">
        <v>1697</v>
      </c>
      <c r="O148" t="s">
        <v>1697</v>
      </c>
      <c r="P148" t="s">
        <v>1697</v>
      </c>
      <c r="Q148" t="s">
        <v>1697</v>
      </c>
      <c r="R148" t="s">
        <v>1697</v>
      </c>
      <c r="S148" t="s">
        <v>1697</v>
      </c>
      <c r="T148" t="s">
        <v>1697</v>
      </c>
      <c r="U148" t="s">
        <v>1697</v>
      </c>
      <c r="V148" t="s">
        <v>1697</v>
      </c>
      <c r="W148" t="s">
        <v>1697</v>
      </c>
      <c r="X148" t="s">
        <v>1697</v>
      </c>
      <c r="Y148" t="s">
        <v>1697</v>
      </c>
      <c r="Z148" t="s">
        <v>1697</v>
      </c>
      <c r="AA148" t="s">
        <v>1697</v>
      </c>
      <c r="AB148" t="s">
        <v>1697</v>
      </c>
      <c r="AC148" t="s">
        <v>1697</v>
      </c>
      <c r="AD148" t="s">
        <v>1697</v>
      </c>
      <c r="AE148" t="s">
        <v>1697</v>
      </c>
      <c r="AF148" t="s">
        <v>1697</v>
      </c>
      <c r="AG148" t="s">
        <v>1697</v>
      </c>
      <c r="AH148" t="s">
        <v>1697</v>
      </c>
      <c r="AI148" t="s">
        <v>1697</v>
      </c>
      <c r="AJ148" t="s">
        <v>1694</v>
      </c>
      <c r="AK148" t="s">
        <v>1694</v>
      </c>
      <c r="AL148" t="s">
        <v>1694</v>
      </c>
      <c r="AM148" t="s">
        <v>1694</v>
      </c>
      <c r="AN148" t="s">
        <v>1694</v>
      </c>
      <c r="AO148" t="s">
        <v>1694</v>
      </c>
      <c r="AP148" t="s">
        <v>1702</v>
      </c>
      <c r="AQ148" t="s">
        <v>1725</v>
      </c>
      <c r="AR148" t="s">
        <v>1703</v>
      </c>
      <c r="AS148" t="s">
        <v>1702</v>
      </c>
      <c r="AT148" t="s">
        <v>1703</v>
      </c>
      <c r="AU148" t="s">
        <v>1697</v>
      </c>
      <c r="AV148" t="s">
        <v>1697</v>
      </c>
      <c r="AW148" t="s">
        <v>1703</v>
      </c>
      <c r="AX148" t="s">
        <v>1695</v>
      </c>
      <c r="AY148" t="s">
        <v>1711</v>
      </c>
      <c r="AZ148" t="s">
        <v>1703</v>
      </c>
      <c r="BA148" t="s">
        <v>1702</v>
      </c>
      <c r="BB148" t="s">
        <v>1704</v>
      </c>
      <c r="BC148" t="s">
        <v>1725</v>
      </c>
      <c r="BD148" t="s">
        <v>1703</v>
      </c>
      <c r="BE148" t="s">
        <v>1704</v>
      </c>
      <c r="BF148" t="s">
        <v>1725</v>
      </c>
      <c r="BG148" s="6" t="s">
        <v>1697</v>
      </c>
      <c r="BH148" s="6" t="s">
        <v>1697</v>
      </c>
      <c r="BI148" t="b">
        <v>0</v>
      </c>
      <c r="BJ148">
        <f t="shared" si="2"/>
        <v>0</v>
      </c>
    </row>
    <row r="149" spans="1:62" x14ac:dyDescent="0.2">
      <c r="A149" s="5" t="s">
        <v>856</v>
      </c>
      <c r="B149" s="6">
        <v>38503</v>
      </c>
      <c r="C149" s="7">
        <v>33.765107999999998</v>
      </c>
      <c r="D149" s="7">
        <v>-111.61275000000001</v>
      </c>
      <c r="E149" s="17">
        <v>712</v>
      </c>
      <c r="F149" t="s">
        <v>1694</v>
      </c>
      <c r="G149" t="s">
        <v>1694</v>
      </c>
      <c r="H149" t="s">
        <v>1694</v>
      </c>
      <c r="I149">
        <v>0</v>
      </c>
      <c r="J149" s="8" t="s">
        <v>1697</v>
      </c>
      <c r="K149" s="8" t="s">
        <v>1697</v>
      </c>
      <c r="L149" s="8" t="s">
        <v>1697</v>
      </c>
      <c r="M149" s="8">
        <v>1.1881911176896645</v>
      </c>
      <c r="N149" s="8">
        <v>0.55161358015660666</v>
      </c>
      <c r="O149" s="8">
        <v>2.0331270236023151</v>
      </c>
      <c r="P149" s="8">
        <v>0.87568655849861321</v>
      </c>
      <c r="Q149" s="8">
        <v>10.295360331826968</v>
      </c>
      <c r="R149" s="8">
        <v>6.2221483981779917</v>
      </c>
      <c r="S149" s="8">
        <v>0.52600000000000002</v>
      </c>
      <c r="T149" s="8">
        <v>0.30199999999999999</v>
      </c>
      <c r="U149" s="8">
        <v>6.7000000000000004E-2</v>
      </c>
      <c r="V149" s="8">
        <v>7.0999999999999994E-2</v>
      </c>
      <c r="W149" s="8">
        <v>0.45900000000000002</v>
      </c>
      <c r="X149" s="8">
        <v>0.23099999999999998</v>
      </c>
      <c r="Y149" s="8">
        <v>2.5675675675675849</v>
      </c>
      <c r="Z149" s="8">
        <v>2.359882005899681</v>
      </c>
      <c r="AA149" s="8">
        <v>6.62</v>
      </c>
      <c r="AB149">
        <v>9.6000000000000002E-2</v>
      </c>
      <c r="AC149" s="8">
        <v>0.94594594594592574</v>
      </c>
      <c r="AD149" s="8">
        <v>1.7699115044247937</v>
      </c>
      <c r="AE149" s="8">
        <v>4.7E-2</v>
      </c>
      <c r="AF149" s="8">
        <v>2.3E-2</v>
      </c>
      <c r="AG149" s="8">
        <v>1.3882228932285172</v>
      </c>
      <c r="AH149" s="8">
        <v>11.191489361702128</v>
      </c>
      <c r="AI149" s="8">
        <v>6.4255319148936172</v>
      </c>
      <c r="AJ149" t="s">
        <v>1694</v>
      </c>
      <c r="AK149" t="s">
        <v>1694</v>
      </c>
      <c r="AL149" t="s">
        <v>1694</v>
      </c>
      <c r="AM149" t="s">
        <v>1694</v>
      </c>
      <c r="AN149" t="s">
        <v>1694</v>
      </c>
      <c r="AO149" t="s">
        <v>1694</v>
      </c>
      <c r="AP149" t="s">
        <v>1695</v>
      </c>
      <c r="AQ149" t="s">
        <v>1694</v>
      </c>
      <c r="AR149" t="s">
        <v>1694</v>
      </c>
      <c r="AS149" t="s">
        <v>1694</v>
      </c>
      <c r="AT149" t="s">
        <v>1694</v>
      </c>
      <c r="AU149" t="s">
        <v>1695</v>
      </c>
      <c r="AV149" t="s">
        <v>1694</v>
      </c>
      <c r="AW149" t="s">
        <v>1694</v>
      </c>
      <c r="AX149" t="s">
        <v>1695</v>
      </c>
      <c r="AY149" t="s">
        <v>1694</v>
      </c>
      <c r="AZ149" t="s">
        <v>1694</v>
      </c>
      <c r="BA149" t="s">
        <v>1694</v>
      </c>
      <c r="BB149" t="s">
        <v>1695</v>
      </c>
      <c r="BC149" t="s">
        <v>1694</v>
      </c>
      <c r="BD149" t="s">
        <v>1694</v>
      </c>
      <c r="BE149" t="s">
        <v>1695</v>
      </c>
      <c r="BF149" t="s">
        <v>1694</v>
      </c>
      <c r="BG149" t="s">
        <v>1697</v>
      </c>
      <c r="BH149" t="s">
        <v>1698</v>
      </c>
      <c r="BI149" t="b">
        <v>0</v>
      </c>
      <c r="BJ149">
        <f t="shared" si="2"/>
        <v>0</v>
      </c>
    </row>
    <row r="150" spans="1:62" x14ac:dyDescent="0.2">
      <c r="A150" s="5" t="s">
        <v>856</v>
      </c>
      <c r="B150" s="6">
        <v>40301</v>
      </c>
      <c r="C150" s="7">
        <v>33.765107999999998</v>
      </c>
      <c r="D150" s="7">
        <v>-111.61275000000001</v>
      </c>
      <c r="E150" s="17">
        <v>712</v>
      </c>
      <c r="F150" t="s">
        <v>1694</v>
      </c>
      <c r="G150" t="s">
        <v>1694</v>
      </c>
      <c r="H150" t="s">
        <v>1694</v>
      </c>
      <c r="I150">
        <v>0</v>
      </c>
      <c r="J150" s="8">
        <v>5.1256719732192133</v>
      </c>
      <c r="K150" s="8">
        <v>87.043552049485598</v>
      </c>
      <c r="L150" s="8">
        <v>7.8307759772951897</v>
      </c>
      <c r="M150" s="8">
        <v>9.5477021256631198E-2</v>
      </c>
      <c r="N150" s="8">
        <v>5.0000000000000001E-3</v>
      </c>
      <c r="O150" s="8">
        <v>1.0248450905528303E-2</v>
      </c>
      <c r="P150" s="8">
        <v>2.5000000000000001E-3</v>
      </c>
      <c r="Q150" s="8">
        <v>14.248334999593695</v>
      </c>
      <c r="R150" s="8">
        <v>6.1750099284501347</v>
      </c>
      <c r="S150" s="8">
        <v>0.27200000000000002</v>
      </c>
      <c r="T150" s="8">
        <v>0.23100000000000001</v>
      </c>
      <c r="U150" s="8">
        <v>2.1999999999999999E-2</v>
      </c>
      <c r="V150" s="8">
        <v>2.1999999999999999E-2</v>
      </c>
      <c r="W150" s="8">
        <v>0.25</v>
      </c>
      <c r="X150" s="8">
        <v>0.20900000000000002</v>
      </c>
      <c r="Y150" s="8">
        <v>2.2135416666666656</v>
      </c>
      <c r="Z150" s="8">
        <v>2.3064250411861704</v>
      </c>
      <c r="AA150" s="8">
        <v>7.26</v>
      </c>
      <c r="AB150">
        <v>0.215</v>
      </c>
      <c r="AC150" s="8">
        <v>1.8229166666666741</v>
      </c>
      <c r="AD150" s="8">
        <v>2.3064250411861704</v>
      </c>
      <c r="AE150" s="8">
        <v>3.1E-2</v>
      </c>
      <c r="AF150" s="8">
        <v>2.1999999999999999E-2</v>
      </c>
      <c r="AG150" s="8">
        <v>0.87783396979173922</v>
      </c>
      <c r="AH150" s="8">
        <v>8.7741935483870979</v>
      </c>
      <c r="AI150" s="8">
        <v>7.4516129032258069</v>
      </c>
      <c r="AJ150" t="s">
        <v>1694</v>
      </c>
      <c r="AK150" t="s">
        <v>1694</v>
      </c>
      <c r="AL150" t="s">
        <v>1694</v>
      </c>
      <c r="AM150" t="s">
        <v>1694</v>
      </c>
      <c r="AN150" t="s">
        <v>1694</v>
      </c>
      <c r="AO150" t="s">
        <v>1694</v>
      </c>
      <c r="AP150" t="s">
        <v>1695</v>
      </c>
      <c r="AQ150" t="s">
        <v>1694</v>
      </c>
      <c r="AR150" t="s">
        <v>1694</v>
      </c>
      <c r="AS150" t="s">
        <v>1694</v>
      </c>
      <c r="AT150" t="s">
        <v>1694</v>
      </c>
      <c r="AU150" t="s">
        <v>1695</v>
      </c>
      <c r="AV150" t="s">
        <v>1694</v>
      </c>
      <c r="AW150" t="s">
        <v>1694</v>
      </c>
      <c r="AX150" t="s">
        <v>1695</v>
      </c>
      <c r="AY150" t="s">
        <v>1694</v>
      </c>
      <c r="AZ150" t="s">
        <v>1694</v>
      </c>
      <c r="BA150" t="s">
        <v>1694</v>
      </c>
      <c r="BB150" t="s">
        <v>1695</v>
      </c>
      <c r="BC150" t="s">
        <v>1694</v>
      </c>
      <c r="BD150" t="s">
        <v>1694</v>
      </c>
      <c r="BE150" t="s">
        <v>1695</v>
      </c>
      <c r="BF150" t="s">
        <v>1694</v>
      </c>
      <c r="BG150" t="s">
        <v>1697</v>
      </c>
      <c r="BH150" t="s">
        <v>1698</v>
      </c>
      <c r="BI150" t="b">
        <v>0</v>
      </c>
      <c r="BJ150">
        <f t="shared" si="2"/>
        <v>0</v>
      </c>
    </row>
    <row r="151" spans="1:62" x14ac:dyDescent="0.2">
      <c r="A151" s="5" t="s">
        <v>34</v>
      </c>
      <c r="B151" s="6">
        <v>36636</v>
      </c>
      <c r="C151" s="7">
        <v>33.610219000000001</v>
      </c>
      <c r="D151" s="7">
        <v>-111.621903</v>
      </c>
      <c r="E151" s="17">
        <v>519</v>
      </c>
      <c r="F151" t="s">
        <v>1694</v>
      </c>
      <c r="G151" t="s">
        <v>1694</v>
      </c>
      <c r="H151" t="s">
        <v>1694</v>
      </c>
      <c r="I151">
        <v>0</v>
      </c>
      <c r="J151" s="8">
        <v>24.244871032621386</v>
      </c>
      <c r="K151" s="8">
        <v>59.990212042594528</v>
      </c>
      <c r="L151" s="8">
        <v>15.764916924784089</v>
      </c>
      <c r="M151" s="8">
        <v>3.2063955213004034</v>
      </c>
      <c r="N151" s="8">
        <v>2.5055795823492653</v>
      </c>
      <c r="O151" s="8">
        <v>3.4270467413182994</v>
      </c>
      <c r="P151" s="8">
        <v>4.6346026645146052</v>
      </c>
      <c r="Q151" s="8">
        <v>13.078959434817364</v>
      </c>
      <c r="R151" s="8">
        <v>9.2140682752508152</v>
      </c>
      <c r="S151" s="8">
        <v>0.67900000000000005</v>
      </c>
      <c r="T151" s="8">
        <v>1.07</v>
      </c>
      <c r="U151" s="8">
        <v>0.23</v>
      </c>
      <c r="V151" s="8">
        <v>0.52300000000000002</v>
      </c>
      <c r="W151" s="8">
        <v>0.44900000000000001</v>
      </c>
      <c r="X151" s="8">
        <v>0.54700000000000004</v>
      </c>
      <c r="Y151" s="8">
        <v>2.7848099999999998</v>
      </c>
      <c r="Z151" s="8">
        <v>2.5853199999999998</v>
      </c>
      <c r="AA151" s="9">
        <v>7.25</v>
      </c>
      <c r="AB151" s="10">
        <v>0.26250000000000001</v>
      </c>
      <c r="AC151" s="8">
        <v>2.15517</v>
      </c>
      <c r="AD151" s="8">
        <v>3.4438800000000001</v>
      </c>
      <c r="AE151" s="8">
        <v>9.5000000000000001E-2</v>
      </c>
      <c r="AF151" s="8">
        <v>4.3999999999999997E-2</v>
      </c>
      <c r="AG151" s="8">
        <v>1.4640154763887927</v>
      </c>
      <c r="AH151" s="8">
        <v>7.147368421052632</v>
      </c>
      <c r="AI151" s="8">
        <v>11.263157894736842</v>
      </c>
      <c r="AJ151" t="s">
        <v>1694</v>
      </c>
      <c r="AK151" t="s">
        <v>1694</v>
      </c>
      <c r="AL151" t="s">
        <v>1694</v>
      </c>
      <c r="AM151" t="s">
        <v>1694</v>
      </c>
      <c r="AN151" t="s">
        <v>1694</v>
      </c>
      <c r="AO151" t="s">
        <v>1694</v>
      </c>
      <c r="AP151" t="s">
        <v>1695</v>
      </c>
      <c r="AQ151" t="s">
        <v>1694</v>
      </c>
      <c r="AR151" t="s">
        <v>1694</v>
      </c>
      <c r="AS151" t="s">
        <v>1694</v>
      </c>
      <c r="AT151" t="s">
        <v>1694</v>
      </c>
      <c r="AU151" t="s">
        <v>1695</v>
      </c>
      <c r="AV151" t="s">
        <v>1694</v>
      </c>
      <c r="AW151" t="s">
        <v>1694</v>
      </c>
      <c r="AX151" t="s">
        <v>1695</v>
      </c>
      <c r="AY151" t="s">
        <v>1694</v>
      </c>
      <c r="AZ151" t="s">
        <v>1694</v>
      </c>
      <c r="BA151" t="s">
        <v>1700</v>
      </c>
      <c r="BB151" t="s">
        <v>1695</v>
      </c>
      <c r="BC151" t="s">
        <v>1694</v>
      </c>
      <c r="BD151" t="s">
        <v>1694</v>
      </c>
      <c r="BE151" t="s">
        <v>1695</v>
      </c>
      <c r="BF151" t="s">
        <v>1694</v>
      </c>
      <c r="BG151" t="s">
        <v>1697</v>
      </c>
      <c r="BH151" t="s">
        <v>1698</v>
      </c>
      <c r="BI151" t="b">
        <v>0</v>
      </c>
      <c r="BJ151">
        <f t="shared" si="2"/>
        <v>0</v>
      </c>
    </row>
    <row r="152" spans="1:62" x14ac:dyDescent="0.2">
      <c r="A152" s="5" t="s">
        <v>34</v>
      </c>
      <c r="B152" s="6">
        <v>38442</v>
      </c>
      <c r="C152" s="7">
        <v>33.610219000000001</v>
      </c>
      <c r="D152" s="7">
        <v>-111.621903</v>
      </c>
      <c r="E152" s="17">
        <v>519</v>
      </c>
      <c r="F152" t="s">
        <v>1694</v>
      </c>
      <c r="G152" t="s">
        <v>1694</v>
      </c>
      <c r="H152" t="s">
        <v>1694</v>
      </c>
      <c r="I152">
        <v>0</v>
      </c>
      <c r="J152" s="8">
        <v>14.539380419183683</v>
      </c>
      <c r="K152" s="8">
        <v>66.197718740068709</v>
      </c>
      <c r="L152" s="8">
        <v>19.262900840747605</v>
      </c>
      <c r="M152" s="8">
        <v>1.7774230869659315</v>
      </c>
      <c r="N152" s="8">
        <v>1.1620075661959057</v>
      </c>
      <c r="O152" s="8">
        <v>0.66488789549466332</v>
      </c>
      <c r="P152" s="8">
        <v>0.69036920109286171</v>
      </c>
      <c r="Q152" s="8">
        <v>7.5385309339253475</v>
      </c>
      <c r="R152" s="8">
        <v>1.0515905576433537</v>
      </c>
      <c r="S152" s="8">
        <v>0.439</v>
      </c>
      <c r="T152" s="8">
        <v>0.97199999999999998</v>
      </c>
      <c r="U152" s="8">
        <v>2.1999999999999999E-2</v>
      </c>
      <c r="V152" s="8">
        <v>0.72599999999999998</v>
      </c>
      <c r="W152" s="8">
        <v>0.41699999999999998</v>
      </c>
      <c r="X152" s="8">
        <v>0.246</v>
      </c>
      <c r="Y152" s="8">
        <v>3.9560439560439495</v>
      </c>
      <c r="Z152" s="8">
        <v>3.2200357781753239</v>
      </c>
      <c r="AA152" s="8">
        <v>7.37</v>
      </c>
      <c r="AB152">
        <v>0.17499999999999999</v>
      </c>
      <c r="AC152" s="8">
        <v>4.615384615384615</v>
      </c>
      <c r="AD152" s="8">
        <v>8.4078711985688681</v>
      </c>
      <c r="AE152" s="8">
        <v>4.2000000000000003E-2</v>
      </c>
      <c r="AF152" s="8">
        <v>3.7999999999999999E-2</v>
      </c>
      <c r="AG152" s="8">
        <v>1.2579487285601136</v>
      </c>
      <c r="AH152" s="8">
        <v>10.452380952380953</v>
      </c>
      <c r="AI152" s="8">
        <v>23.142857142857142</v>
      </c>
      <c r="AJ152" t="s">
        <v>1694</v>
      </c>
      <c r="AK152" t="s">
        <v>1694</v>
      </c>
      <c r="AL152" t="s">
        <v>1694</v>
      </c>
      <c r="AM152" t="s">
        <v>1694</v>
      </c>
      <c r="AN152" t="s">
        <v>1694</v>
      </c>
      <c r="AO152" t="s">
        <v>1694</v>
      </c>
      <c r="AP152" t="s">
        <v>1695</v>
      </c>
      <c r="AQ152" t="s">
        <v>1694</v>
      </c>
      <c r="AR152" t="s">
        <v>1694</v>
      </c>
      <c r="AS152" t="s">
        <v>1694</v>
      </c>
      <c r="AT152" t="s">
        <v>1694</v>
      </c>
      <c r="AU152" t="s">
        <v>1695</v>
      </c>
      <c r="AV152" t="s">
        <v>1694</v>
      </c>
      <c r="AW152" t="s">
        <v>1694</v>
      </c>
      <c r="AX152" t="s">
        <v>1695</v>
      </c>
      <c r="AY152" t="s">
        <v>1694</v>
      </c>
      <c r="AZ152" t="s">
        <v>1694</v>
      </c>
      <c r="BA152" t="s">
        <v>1700</v>
      </c>
      <c r="BB152" t="s">
        <v>1695</v>
      </c>
      <c r="BC152" t="s">
        <v>1694</v>
      </c>
      <c r="BD152" t="s">
        <v>1694</v>
      </c>
      <c r="BE152" t="s">
        <v>1695</v>
      </c>
      <c r="BF152" t="s">
        <v>1694</v>
      </c>
      <c r="BG152" t="s">
        <v>1697</v>
      </c>
      <c r="BH152" t="s">
        <v>1698</v>
      </c>
      <c r="BI152" t="b">
        <v>0</v>
      </c>
      <c r="BJ152">
        <f t="shared" si="2"/>
        <v>0</v>
      </c>
    </row>
    <row r="153" spans="1:62" x14ac:dyDescent="0.2">
      <c r="A153" s="5" t="s">
        <v>34</v>
      </c>
      <c r="B153" s="6">
        <v>40288</v>
      </c>
      <c r="C153" s="7">
        <v>33.610219000000001</v>
      </c>
      <c r="D153" s="7">
        <v>-111.621903</v>
      </c>
      <c r="E153" s="17">
        <v>519</v>
      </c>
      <c r="F153" t="s">
        <v>1694</v>
      </c>
      <c r="G153" t="s">
        <v>1694</v>
      </c>
      <c r="H153" t="s">
        <v>1694</v>
      </c>
      <c r="I153">
        <v>0</v>
      </c>
      <c r="J153" s="8">
        <v>16.496296821250318</v>
      </c>
      <c r="K153" s="8">
        <v>70.005695670918058</v>
      </c>
      <c r="L153" s="8">
        <v>13.49800750783163</v>
      </c>
      <c r="M153" s="8">
        <v>0.89156091789542236</v>
      </c>
      <c r="N153" s="8">
        <v>0.4196983720728219</v>
      </c>
      <c r="O153" s="8">
        <v>0.5562393337312147</v>
      </c>
      <c r="P153" s="8">
        <v>0.17447231176207342</v>
      </c>
      <c r="Q153" s="8">
        <v>13.438170655939178</v>
      </c>
      <c r="R153" s="8">
        <v>2.5000000000000001E-3</v>
      </c>
      <c r="S153" s="8">
        <v>0.89800000000000002</v>
      </c>
      <c r="T153" s="8">
        <v>0.42399999999999999</v>
      </c>
      <c r="U153" s="8">
        <v>0.58599999999999997</v>
      </c>
      <c r="V153" s="8">
        <v>0.189</v>
      </c>
      <c r="W153" s="8">
        <v>0.31200000000000006</v>
      </c>
      <c r="X153" s="8">
        <v>0.23499999999999999</v>
      </c>
      <c r="Y153" s="8">
        <v>3.5714285714285623</v>
      </c>
      <c r="Z153" s="8">
        <v>3.8043478260869561</v>
      </c>
      <c r="AA153" s="8">
        <v>7.24</v>
      </c>
      <c r="AB153">
        <v>0.25600000000000001</v>
      </c>
      <c r="AC153" s="8">
        <v>2.0676691729323369</v>
      </c>
      <c r="AD153" s="8">
        <v>3.8043478260869561</v>
      </c>
      <c r="AE153" s="8">
        <v>3.6999999999999998E-2</v>
      </c>
      <c r="AF153" s="8">
        <v>2.1999999999999999E-2</v>
      </c>
      <c r="AG153" s="8">
        <v>1.5412110143012401</v>
      </c>
      <c r="AH153" s="8">
        <v>24.270270270270274</v>
      </c>
      <c r="AI153" s="8">
        <v>11.45945945945946</v>
      </c>
      <c r="AJ153" t="s">
        <v>1694</v>
      </c>
      <c r="AK153" t="s">
        <v>1694</v>
      </c>
      <c r="AL153" t="s">
        <v>1694</v>
      </c>
      <c r="AM153" t="s">
        <v>1694</v>
      </c>
      <c r="AN153" t="s">
        <v>1694</v>
      </c>
      <c r="AO153" t="s">
        <v>1694</v>
      </c>
      <c r="AP153" t="s">
        <v>1695</v>
      </c>
      <c r="AQ153" t="s">
        <v>1694</v>
      </c>
      <c r="AR153" t="s">
        <v>1694</v>
      </c>
      <c r="AS153" t="s">
        <v>1694</v>
      </c>
      <c r="AT153" t="s">
        <v>1694</v>
      </c>
      <c r="AU153" t="s">
        <v>1695</v>
      </c>
      <c r="AV153" t="s">
        <v>1694</v>
      </c>
      <c r="AW153" t="s">
        <v>1694</v>
      </c>
      <c r="AX153" t="s">
        <v>1695</v>
      </c>
      <c r="AY153" t="s">
        <v>1694</v>
      </c>
      <c r="AZ153" t="s">
        <v>1694</v>
      </c>
      <c r="BA153" t="s">
        <v>1700</v>
      </c>
      <c r="BB153" t="s">
        <v>1695</v>
      </c>
      <c r="BC153" t="s">
        <v>1694</v>
      </c>
      <c r="BD153" t="s">
        <v>1694</v>
      </c>
      <c r="BE153" t="s">
        <v>1695</v>
      </c>
      <c r="BF153" t="s">
        <v>1694</v>
      </c>
      <c r="BG153" t="s">
        <v>1697</v>
      </c>
      <c r="BH153" t="s">
        <v>1698</v>
      </c>
      <c r="BI153" t="b">
        <v>0</v>
      </c>
      <c r="BJ153">
        <f t="shared" si="2"/>
        <v>0</v>
      </c>
    </row>
    <row r="154" spans="1:62" x14ac:dyDescent="0.2">
      <c r="A154" s="5" t="s">
        <v>34</v>
      </c>
      <c r="B154" s="6">
        <v>42058</v>
      </c>
      <c r="C154" s="7">
        <v>33.610219000000001</v>
      </c>
      <c r="D154" s="7">
        <v>-111.621903</v>
      </c>
      <c r="E154" s="17">
        <v>519</v>
      </c>
      <c r="F154" t="s">
        <v>1694</v>
      </c>
      <c r="G154" t="s">
        <v>1694</v>
      </c>
      <c r="H154" t="s">
        <v>1694</v>
      </c>
      <c r="I154">
        <v>0</v>
      </c>
      <c r="J154">
        <v>11.013315401603499</v>
      </c>
      <c r="K154">
        <v>80.797414854683794</v>
      </c>
      <c r="L154">
        <v>8.1892697437126891</v>
      </c>
      <c r="M154">
        <v>4.0124258866482503</v>
      </c>
      <c r="N154">
        <v>2.0269826933091801</v>
      </c>
      <c r="O154">
        <v>1.7519042603675401</v>
      </c>
      <c r="P154">
        <v>1.0729990954489901</v>
      </c>
      <c r="Q154">
        <v>8.6951573626392609</v>
      </c>
      <c r="R154">
        <v>4.4491404686963696</v>
      </c>
      <c r="S154">
        <v>1.143</v>
      </c>
      <c r="T154">
        <v>2.1160000000000001</v>
      </c>
      <c r="U154">
        <v>0.59</v>
      </c>
      <c r="V154">
        <v>1.41</v>
      </c>
      <c r="W154">
        <v>0.55300000000000005</v>
      </c>
      <c r="X154">
        <v>0.70599999999999996</v>
      </c>
      <c r="Y154">
        <v>2.1301775147929001</v>
      </c>
      <c r="Z154">
        <v>2.1592442645074201</v>
      </c>
      <c r="AA154">
        <v>6.53</v>
      </c>
      <c r="AB154">
        <v>0.25700000000000001</v>
      </c>
      <c r="AC154">
        <v>3.7096774193548501</v>
      </c>
      <c r="AD154">
        <v>3.6608863198458499</v>
      </c>
      <c r="AE154">
        <v>8.6999999999999994E-2</v>
      </c>
      <c r="AF154">
        <v>5.8000000000000003E-2</v>
      </c>
      <c r="AG154">
        <v>1.5236806022382998</v>
      </c>
      <c r="AH154">
        <v>13.137931034482801</v>
      </c>
      <c r="AI154">
        <v>36.482758620689701</v>
      </c>
      <c r="AJ154" t="s">
        <v>1694</v>
      </c>
      <c r="AK154" t="s">
        <v>1694</v>
      </c>
      <c r="AL154" t="s">
        <v>1694</v>
      </c>
      <c r="AM154" t="s">
        <v>1694</v>
      </c>
      <c r="AN154" t="s">
        <v>1694</v>
      </c>
      <c r="AO154" t="s">
        <v>1694</v>
      </c>
      <c r="AP154" t="s">
        <v>1695</v>
      </c>
      <c r="AQ154" t="s">
        <v>1694</v>
      </c>
      <c r="AR154" t="s">
        <v>1694</v>
      </c>
      <c r="AS154" t="s">
        <v>1694</v>
      </c>
      <c r="AT154" t="s">
        <v>1694</v>
      </c>
      <c r="AU154" t="s">
        <v>1695</v>
      </c>
      <c r="AV154" t="s">
        <v>1694</v>
      </c>
      <c r="AW154" t="s">
        <v>1694</v>
      </c>
      <c r="AX154" t="s">
        <v>1695</v>
      </c>
      <c r="AY154" t="s">
        <v>1694</v>
      </c>
      <c r="AZ154" t="s">
        <v>1694</v>
      </c>
      <c r="BA154" t="s">
        <v>1700</v>
      </c>
      <c r="BB154" t="s">
        <v>1695</v>
      </c>
      <c r="BC154" t="s">
        <v>1694</v>
      </c>
      <c r="BD154" t="s">
        <v>1694</v>
      </c>
      <c r="BE154" t="s">
        <v>1695</v>
      </c>
      <c r="BF154" t="s">
        <v>1694</v>
      </c>
      <c r="BG154" t="s">
        <v>1697</v>
      </c>
      <c r="BH154" t="s">
        <v>1698</v>
      </c>
      <c r="BI154" t="b">
        <v>0</v>
      </c>
      <c r="BJ154">
        <f t="shared" si="2"/>
        <v>0</v>
      </c>
    </row>
    <row r="155" spans="1:62" x14ac:dyDescent="0.2">
      <c r="A155" s="5" t="s">
        <v>34</v>
      </c>
      <c r="B155" s="6">
        <v>45023</v>
      </c>
      <c r="C155" s="7">
        <v>33.610219000000001</v>
      </c>
      <c r="D155" s="7">
        <v>-111.621903</v>
      </c>
      <c r="E155" s="17">
        <v>519</v>
      </c>
      <c r="F155" t="s">
        <v>1694</v>
      </c>
      <c r="G155" t="s">
        <v>1694</v>
      </c>
      <c r="H155" t="s">
        <v>1694</v>
      </c>
      <c r="I155">
        <v>0</v>
      </c>
      <c r="J155" s="6" t="s">
        <v>1697</v>
      </c>
      <c r="K155" s="6" t="s">
        <v>1697</v>
      </c>
      <c r="L155" s="6" t="s">
        <v>1697</v>
      </c>
      <c r="M155" s="6" t="s">
        <v>1697</v>
      </c>
      <c r="N155" s="6" t="s">
        <v>1697</v>
      </c>
      <c r="O155" s="6" t="s">
        <v>1697</v>
      </c>
      <c r="P155" s="6" t="s">
        <v>1697</v>
      </c>
      <c r="Q155" s="6" t="s">
        <v>1697</v>
      </c>
      <c r="R155" s="6" t="s">
        <v>1697</v>
      </c>
      <c r="S155" s="6" t="s">
        <v>1697</v>
      </c>
      <c r="T155" s="6" t="s">
        <v>1697</v>
      </c>
      <c r="U155" s="6" t="s">
        <v>1697</v>
      </c>
      <c r="V155" s="6" t="s">
        <v>1697</v>
      </c>
      <c r="W155" s="6" t="s">
        <v>1697</v>
      </c>
      <c r="X155" s="6" t="s">
        <v>1697</v>
      </c>
      <c r="Y155" s="6" t="s">
        <v>1697</v>
      </c>
      <c r="Z155" s="6" t="s">
        <v>1697</v>
      </c>
      <c r="AA155" s="6" t="s">
        <v>1697</v>
      </c>
      <c r="AB155" s="6" t="s">
        <v>1697</v>
      </c>
      <c r="AC155" s="6" t="s">
        <v>1697</v>
      </c>
      <c r="AD155" s="6" t="s">
        <v>1697</v>
      </c>
      <c r="AE155" s="6" t="s">
        <v>1697</v>
      </c>
      <c r="AF155" s="6" t="s">
        <v>1697</v>
      </c>
      <c r="AG155" s="6" t="s">
        <v>1697</v>
      </c>
      <c r="AH155" s="6" t="s">
        <v>1697</v>
      </c>
      <c r="AI155" s="6" t="s">
        <v>1697</v>
      </c>
      <c r="AJ155" t="s">
        <v>1694</v>
      </c>
      <c r="AK155" t="s">
        <v>1694</v>
      </c>
      <c r="AL155" t="s">
        <v>1694</v>
      </c>
      <c r="AM155" t="s">
        <v>1694</v>
      </c>
      <c r="AN155" t="s">
        <v>1694</v>
      </c>
      <c r="AO155" t="s">
        <v>1694</v>
      </c>
      <c r="AP155" t="s">
        <v>1695</v>
      </c>
      <c r="AQ155" t="s">
        <v>1694</v>
      </c>
      <c r="AR155" t="s">
        <v>1694</v>
      </c>
      <c r="AS155" t="s">
        <v>1694</v>
      </c>
      <c r="AT155" t="s">
        <v>1694</v>
      </c>
      <c r="AU155" t="s">
        <v>1695</v>
      </c>
      <c r="AV155" t="s">
        <v>1694</v>
      </c>
      <c r="AW155" t="s">
        <v>1694</v>
      </c>
      <c r="AX155" t="s">
        <v>1695</v>
      </c>
      <c r="AY155" t="s">
        <v>1694</v>
      </c>
      <c r="AZ155" t="s">
        <v>1694</v>
      </c>
      <c r="BA155" t="s">
        <v>1700</v>
      </c>
      <c r="BB155" t="s">
        <v>1695</v>
      </c>
      <c r="BC155" t="s">
        <v>1694</v>
      </c>
      <c r="BD155" t="s">
        <v>1694</v>
      </c>
      <c r="BE155" t="s">
        <v>1695</v>
      </c>
      <c r="BF155" t="s">
        <v>1694</v>
      </c>
      <c r="BG155" s="6" t="s">
        <v>1697</v>
      </c>
      <c r="BH155" s="6" t="s">
        <v>1697</v>
      </c>
      <c r="BI155" t="b">
        <v>1</v>
      </c>
      <c r="BJ155">
        <f t="shared" si="2"/>
        <v>1</v>
      </c>
    </row>
    <row r="156" spans="1:62" x14ac:dyDescent="0.2">
      <c r="A156" s="5" t="s">
        <v>35</v>
      </c>
      <c r="B156" s="6">
        <v>36293</v>
      </c>
      <c r="C156" s="7">
        <v>33.534722000000002</v>
      </c>
      <c r="D156" s="7">
        <v>-111.596592</v>
      </c>
      <c r="E156" s="17">
        <v>482</v>
      </c>
      <c r="F156" t="s">
        <v>1694</v>
      </c>
      <c r="G156" t="s">
        <v>1694</v>
      </c>
      <c r="H156" t="s">
        <v>1694</v>
      </c>
      <c r="I156">
        <v>0</v>
      </c>
      <c r="J156" t="s">
        <v>1697</v>
      </c>
      <c r="K156" t="s">
        <v>1697</v>
      </c>
      <c r="L156" t="s">
        <v>1697</v>
      </c>
      <c r="M156" t="s">
        <v>1697</v>
      </c>
      <c r="N156" t="s">
        <v>1697</v>
      </c>
      <c r="O156" t="s">
        <v>1697</v>
      </c>
      <c r="P156" t="s">
        <v>1697</v>
      </c>
      <c r="Q156" t="s">
        <v>1697</v>
      </c>
      <c r="R156" t="s">
        <v>1697</v>
      </c>
      <c r="S156" t="s">
        <v>1697</v>
      </c>
      <c r="T156" t="s">
        <v>1697</v>
      </c>
      <c r="U156" t="s">
        <v>1697</v>
      </c>
      <c r="V156" t="s">
        <v>1697</v>
      </c>
      <c r="W156" t="s">
        <v>1697</v>
      </c>
      <c r="X156" t="s">
        <v>1697</v>
      </c>
      <c r="Y156" t="s">
        <v>1697</v>
      </c>
      <c r="Z156" t="s">
        <v>1697</v>
      </c>
      <c r="AA156" t="s">
        <v>1697</v>
      </c>
      <c r="AB156" t="s">
        <v>1697</v>
      </c>
      <c r="AC156" t="s">
        <v>1697</v>
      </c>
      <c r="AD156" t="s">
        <v>1697</v>
      </c>
      <c r="AE156" t="s">
        <v>1697</v>
      </c>
      <c r="AF156" t="s">
        <v>1697</v>
      </c>
      <c r="AG156" t="s">
        <v>1697</v>
      </c>
      <c r="AH156" t="s">
        <v>1697</v>
      </c>
      <c r="AI156" t="s">
        <v>1697</v>
      </c>
      <c r="AJ156" t="s">
        <v>1694</v>
      </c>
      <c r="AK156" t="s">
        <v>1694</v>
      </c>
      <c r="AL156" t="s">
        <v>1694</v>
      </c>
      <c r="AM156" t="s">
        <v>1694</v>
      </c>
      <c r="AN156" t="s">
        <v>1694</v>
      </c>
      <c r="AO156" t="s">
        <v>1694</v>
      </c>
      <c r="AP156" t="s">
        <v>1695</v>
      </c>
      <c r="AQ156" t="s">
        <v>1694</v>
      </c>
      <c r="AR156" t="s">
        <v>1694</v>
      </c>
      <c r="AS156" t="s">
        <v>1694</v>
      </c>
      <c r="AT156" t="s">
        <v>1694</v>
      </c>
      <c r="AU156" t="s">
        <v>1695</v>
      </c>
      <c r="AV156" t="s">
        <v>1694</v>
      </c>
      <c r="AW156" t="s">
        <v>1694</v>
      </c>
      <c r="AX156" t="s">
        <v>1695</v>
      </c>
      <c r="AY156" t="s">
        <v>1694</v>
      </c>
      <c r="AZ156" t="s">
        <v>1694</v>
      </c>
      <c r="BA156" t="s">
        <v>1694</v>
      </c>
      <c r="BB156" t="s">
        <v>1695</v>
      </c>
      <c r="BC156" t="s">
        <v>1694</v>
      </c>
      <c r="BD156" t="s">
        <v>1694</v>
      </c>
      <c r="BE156" t="s">
        <v>1695</v>
      </c>
      <c r="BF156" t="s">
        <v>1694</v>
      </c>
      <c r="BG156" s="6" t="s">
        <v>1697</v>
      </c>
      <c r="BH156" s="6" t="s">
        <v>1697</v>
      </c>
      <c r="BI156" t="b">
        <v>0</v>
      </c>
      <c r="BJ156">
        <f t="shared" si="2"/>
        <v>0</v>
      </c>
    </row>
    <row r="157" spans="1:62" x14ac:dyDescent="0.2">
      <c r="A157" s="5" t="s">
        <v>35</v>
      </c>
      <c r="B157" s="6">
        <v>36658</v>
      </c>
      <c r="C157" s="7">
        <v>33.534722000000002</v>
      </c>
      <c r="D157" s="7">
        <v>-111.596592</v>
      </c>
      <c r="E157" s="17">
        <v>482</v>
      </c>
      <c r="F157" t="s">
        <v>1694</v>
      </c>
      <c r="G157" t="s">
        <v>1694</v>
      </c>
      <c r="H157" t="s">
        <v>1694</v>
      </c>
      <c r="I157">
        <v>0</v>
      </c>
      <c r="J157" s="8">
        <v>4.4244785646106859</v>
      </c>
      <c r="K157" s="8">
        <v>74.524079552920398</v>
      </c>
      <c r="L157" s="8">
        <v>21.051441882468922</v>
      </c>
      <c r="M157" s="8">
        <v>3.2660707514153677</v>
      </c>
      <c r="N157" s="8">
        <v>2.0278870804004483</v>
      </c>
      <c r="O157" s="8">
        <v>3.6754840926980981</v>
      </c>
      <c r="P157" s="8">
        <v>2.5065793357024777</v>
      </c>
      <c r="Q157" s="8">
        <v>28.23237320074821</v>
      </c>
      <c r="R157" s="8">
        <v>7.6066360477670525</v>
      </c>
      <c r="S157" s="8">
        <v>0.60499999999999998</v>
      </c>
      <c r="T157" s="8">
        <v>0.34</v>
      </c>
      <c r="U157" s="8">
        <v>3.6999999999999998E-2</v>
      </c>
      <c r="V157" s="8">
        <v>3.1E-2</v>
      </c>
      <c r="W157" s="8">
        <v>0.56799999999999995</v>
      </c>
      <c r="X157" s="8">
        <v>0.309</v>
      </c>
      <c r="Y157" s="8">
        <v>1.9914700000000001</v>
      </c>
      <c r="Z157" s="8">
        <v>1.43472</v>
      </c>
      <c r="AA157" s="9">
        <v>6.76</v>
      </c>
      <c r="AB157" s="10">
        <v>0.108</v>
      </c>
      <c r="AC157" s="8">
        <v>0.92025000000000001</v>
      </c>
      <c r="AD157" s="8">
        <v>1.39798</v>
      </c>
      <c r="AE157" s="8">
        <v>5.5E-2</v>
      </c>
      <c r="AF157" s="8">
        <v>3.1E-2</v>
      </c>
      <c r="AG157" s="8">
        <v>1.8047247150590235</v>
      </c>
      <c r="AH157" s="8">
        <v>11</v>
      </c>
      <c r="AI157" s="8">
        <v>6.1818181818181825</v>
      </c>
      <c r="AJ157" t="s">
        <v>1694</v>
      </c>
      <c r="AK157" t="s">
        <v>1694</v>
      </c>
      <c r="AL157" t="s">
        <v>1694</v>
      </c>
      <c r="AM157" t="s">
        <v>1694</v>
      </c>
      <c r="AN157" t="s">
        <v>1694</v>
      </c>
      <c r="AO157" t="s">
        <v>1694</v>
      </c>
      <c r="AP157" t="s">
        <v>1695</v>
      </c>
      <c r="AQ157" t="s">
        <v>1694</v>
      </c>
      <c r="AR157" t="s">
        <v>1694</v>
      </c>
      <c r="AS157" t="s">
        <v>1694</v>
      </c>
      <c r="AT157" t="s">
        <v>1694</v>
      </c>
      <c r="AU157" t="s">
        <v>1695</v>
      </c>
      <c r="AV157" t="s">
        <v>1694</v>
      </c>
      <c r="AW157" t="s">
        <v>1694</v>
      </c>
      <c r="AX157" t="s">
        <v>1695</v>
      </c>
      <c r="AY157" t="s">
        <v>1694</v>
      </c>
      <c r="AZ157" t="s">
        <v>1694</v>
      </c>
      <c r="BA157" t="s">
        <v>1694</v>
      </c>
      <c r="BB157" t="s">
        <v>1695</v>
      </c>
      <c r="BC157" t="s">
        <v>1694</v>
      </c>
      <c r="BD157" t="s">
        <v>1694</v>
      </c>
      <c r="BE157" t="s">
        <v>1695</v>
      </c>
      <c r="BF157" t="s">
        <v>1694</v>
      </c>
      <c r="BG157" t="s">
        <v>1697</v>
      </c>
      <c r="BH157" t="s">
        <v>1698</v>
      </c>
      <c r="BI157" t="b">
        <v>0</v>
      </c>
      <c r="BJ157">
        <f t="shared" si="2"/>
        <v>0</v>
      </c>
    </row>
    <row r="158" spans="1:62" x14ac:dyDescent="0.2">
      <c r="A158" s="5" t="s">
        <v>35</v>
      </c>
      <c r="B158" s="6">
        <v>38442</v>
      </c>
      <c r="C158" s="7">
        <v>33.534722000000002</v>
      </c>
      <c r="D158" s="7">
        <v>-111.596592</v>
      </c>
      <c r="E158" s="17">
        <v>482</v>
      </c>
      <c r="F158" t="s">
        <v>1694</v>
      </c>
      <c r="G158" t="s">
        <v>1694</v>
      </c>
      <c r="H158" t="s">
        <v>1694</v>
      </c>
      <c r="I158">
        <v>0</v>
      </c>
      <c r="J158" s="8">
        <v>8.6606027414769216</v>
      </c>
      <c r="K158" s="8">
        <v>83.738749375325995</v>
      </c>
      <c r="L158" s="8">
        <v>7.6006478831970838</v>
      </c>
      <c r="M158" s="8">
        <v>2.9148165306017577</v>
      </c>
      <c r="N158" s="8">
        <v>2.3393089382449772</v>
      </c>
      <c r="O158" s="8">
        <v>1.0347598683636237</v>
      </c>
      <c r="P158" s="8">
        <v>0.69448234104147777</v>
      </c>
      <c r="Q158" s="8">
        <v>19.243448939895099</v>
      </c>
      <c r="R158" s="8">
        <v>2.8895651047533408</v>
      </c>
      <c r="S158" s="8">
        <v>0.56100000000000005</v>
      </c>
      <c r="T158" s="8">
        <v>0.26800000000000002</v>
      </c>
      <c r="U158" s="8">
        <v>1.7999999999999999E-2</v>
      </c>
      <c r="V158" s="8">
        <v>7.3999999999999996E-2</v>
      </c>
      <c r="W158" s="8">
        <v>0.54300000000000004</v>
      </c>
      <c r="X158" s="8">
        <v>0.19400000000000001</v>
      </c>
      <c r="Y158" s="8">
        <v>2.0833333333333171</v>
      </c>
      <c r="Z158" s="8">
        <v>2.4828767123287601</v>
      </c>
      <c r="AA158" s="8">
        <v>7.38</v>
      </c>
      <c r="AB158">
        <v>0.14099999999999999</v>
      </c>
      <c r="AC158" s="8">
        <v>3.2051282051282222</v>
      </c>
      <c r="AD158" s="8">
        <v>2.5684931506849376</v>
      </c>
      <c r="AE158" s="8">
        <v>5.0999999999999997E-2</v>
      </c>
      <c r="AF158" s="8">
        <v>2.1999999999999999E-2</v>
      </c>
      <c r="AG158" s="8">
        <v>1.4201918899996644</v>
      </c>
      <c r="AH158" s="8">
        <v>11.000000000000002</v>
      </c>
      <c r="AI158" s="8">
        <v>5.2549019607843146</v>
      </c>
      <c r="AJ158" t="s">
        <v>1694</v>
      </c>
      <c r="AK158" t="s">
        <v>1694</v>
      </c>
      <c r="AL158" t="s">
        <v>1694</v>
      </c>
      <c r="AM158" t="s">
        <v>1694</v>
      </c>
      <c r="AN158" t="s">
        <v>1694</v>
      </c>
      <c r="AO158" t="s">
        <v>1694</v>
      </c>
      <c r="AP158" t="s">
        <v>1695</v>
      </c>
      <c r="AQ158" t="s">
        <v>1694</v>
      </c>
      <c r="AR158" t="s">
        <v>1694</v>
      </c>
      <c r="AS158" t="s">
        <v>1694</v>
      </c>
      <c r="AT158" t="s">
        <v>1694</v>
      </c>
      <c r="AU158" t="s">
        <v>1695</v>
      </c>
      <c r="AV158" t="s">
        <v>1694</v>
      </c>
      <c r="AW158" t="s">
        <v>1694</v>
      </c>
      <c r="AX158" t="s">
        <v>1695</v>
      </c>
      <c r="AY158" t="s">
        <v>1694</v>
      </c>
      <c r="AZ158" t="s">
        <v>1694</v>
      </c>
      <c r="BA158" t="s">
        <v>1694</v>
      </c>
      <c r="BB158" t="s">
        <v>1695</v>
      </c>
      <c r="BC158" t="s">
        <v>1694</v>
      </c>
      <c r="BD158" t="s">
        <v>1694</v>
      </c>
      <c r="BE158" t="s">
        <v>1695</v>
      </c>
      <c r="BF158" t="s">
        <v>1694</v>
      </c>
      <c r="BG158" t="s">
        <v>1697</v>
      </c>
      <c r="BH158" t="s">
        <v>1698</v>
      </c>
      <c r="BI158" t="b">
        <v>0</v>
      </c>
      <c r="BJ158">
        <f t="shared" si="2"/>
        <v>0</v>
      </c>
    </row>
    <row r="159" spans="1:62" x14ac:dyDescent="0.2">
      <c r="A159" s="5" t="s">
        <v>35</v>
      </c>
      <c r="B159" s="6">
        <v>40270</v>
      </c>
      <c r="C159" s="7">
        <v>33.534722000000002</v>
      </c>
      <c r="D159" s="7">
        <v>-111.596592</v>
      </c>
      <c r="E159" s="17">
        <v>482</v>
      </c>
      <c r="F159" t="s">
        <v>1694</v>
      </c>
      <c r="G159" t="s">
        <v>1694</v>
      </c>
      <c r="H159" t="s">
        <v>1694</v>
      </c>
      <c r="I159">
        <v>0</v>
      </c>
      <c r="J159" s="8">
        <v>7.5919825875326641</v>
      </c>
      <c r="K159" s="8">
        <v>71.434647197796494</v>
      </c>
      <c r="L159" s="8">
        <v>20.973370214670837</v>
      </c>
      <c r="M159" s="8">
        <v>0.18033389590190341</v>
      </c>
      <c r="N159" s="8">
        <v>6.4211490003626734E-2</v>
      </c>
      <c r="O159" s="8">
        <v>2.5153869600050904</v>
      </c>
      <c r="P159" s="8">
        <v>1.3354747618650298</v>
      </c>
      <c r="Q159" s="8">
        <v>36.298968745919609</v>
      </c>
      <c r="R159" s="8">
        <v>10.139537100301505</v>
      </c>
      <c r="S159" s="8">
        <v>0.44700000000000001</v>
      </c>
      <c r="T159" s="8">
        <v>0.191</v>
      </c>
      <c r="U159" s="8">
        <v>2.7E-2</v>
      </c>
      <c r="V159" s="8">
        <v>2.7E-2</v>
      </c>
      <c r="W159" s="8">
        <v>0.42</v>
      </c>
      <c r="X159" s="8">
        <v>0.16400000000000001</v>
      </c>
      <c r="Y159" s="8">
        <v>2.3160762942779285</v>
      </c>
      <c r="Z159" s="8">
        <v>1.7994858611825264</v>
      </c>
      <c r="AA159" s="8">
        <v>7.57</v>
      </c>
      <c r="AB159">
        <v>0.155</v>
      </c>
      <c r="AC159" s="8">
        <v>2.8610354223433361</v>
      </c>
      <c r="AD159" s="8">
        <v>4.6272493573264706</v>
      </c>
      <c r="AE159" s="8">
        <v>3.7999999999999999E-2</v>
      </c>
      <c r="AF159" s="8">
        <v>1.7999999999999999E-2</v>
      </c>
      <c r="AG159" s="8">
        <v>1.5078969547733974</v>
      </c>
      <c r="AH159" s="8">
        <v>11.763157894736842</v>
      </c>
      <c r="AI159" s="8">
        <v>5.0263157894736841</v>
      </c>
      <c r="AJ159" t="s">
        <v>1694</v>
      </c>
      <c r="AK159" t="s">
        <v>1694</v>
      </c>
      <c r="AL159" t="s">
        <v>1694</v>
      </c>
      <c r="AM159" t="s">
        <v>1694</v>
      </c>
      <c r="AN159" t="s">
        <v>1694</v>
      </c>
      <c r="AO159" t="s">
        <v>1694</v>
      </c>
      <c r="AP159" t="s">
        <v>1695</v>
      </c>
      <c r="AQ159" t="s">
        <v>1694</v>
      </c>
      <c r="AR159" t="s">
        <v>1694</v>
      </c>
      <c r="AS159" t="s">
        <v>1694</v>
      </c>
      <c r="AT159" t="s">
        <v>1694</v>
      </c>
      <c r="AU159" t="s">
        <v>1695</v>
      </c>
      <c r="AV159" t="s">
        <v>1694</v>
      </c>
      <c r="AW159" t="s">
        <v>1694</v>
      </c>
      <c r="AX159" t="s">
        <v>1695</v>
      </c>
      <c r="AY159" t="s">
        <v>1694</v>
      </c>
      <c r="AZ159" t="s">
        <v>1694</v>
      </c>
      <c r="BA159" t="s">
        <v>1694</v>
      </c>
      <c r="BB159" t="s">
        <v>1695</v>
      </c>
      <c r="BC159" t="s">
        <v>1694</v>
      </c>
      <c r="BD159" t="s">
        <v>1694</v>
      </c>
      <c r="BE159" t="s">
        <v>1695</v>
      </c>
      <c r="BF159" t="s">
        <v>1694</v>
      </c>
      <c r="BG159" t="s">
        <v>1697</v>
      </c>
      <c r="BH159" t="s">
        <v>1698</v>
      </c>
      <c r="BI159" t="b">
        <v>0</v>
      </c>
      <c r="BJ159">
        <f t="shared" si="2"/>
        <v>0</v>
      </c>
    </row>
    <row r="160" spans="1:62" x14ac:dyDescent="0.2">
      <c r="A160" s="5" t="s">
        <v>35</v>
      </c>
      <c r="B160" s="6">
        <v>42059</v>
      </c>
      <c r="C160" s="7">
        <v>33.534722000000002</v>
      </c>
      <c r="D160" s="7">
        <v>-111.596592</v>
      </c>
      <c r="E160" s="17">
        <v>482</v>
      </c>
      <c r="F160" t="s">
        <v>1694</v>
      </c>
      <c r="G160" t="s">
        <v>1694</v>
      </c>
      <c r="H160" t="s">
        <v>1694</v>
      </c>
      <c r="I160">
        <v>0</v>
      </c>
      <c r="J160">
        <v>2.7289051706171099</v>
      </c>
      <c r="K160">
        <v>92.954918104931807</v>
      </c>
      <c r="L160">
        <v>4.3161767244510401</v>
      </c>
      <c r="M160">
        <v>9.7846302170869102</v>
      </c>
      <c r="N160">
        <v>5.3884645827977504</v>
      </c>
      <c r="O160">
        <v>8.1128843508509494</v>
      </c>
      <c r="P160">
        <v>3.3590428568089901</v>
      </c>
      <c r="Q160">
        <v>13.0557221311955</v>
      </c>
      <c r="R160">
        <v>4.9564927743879501</v>
      </c>
      <c r="S160">
        <v>0.84899999999999998</v>
      </c>
      <c r="T160">
        <v>0.29199999999999998</v>
      </c>
      <c r="U160">
        <v>2.4E-2</v>
      </c>
      <c r="V160">
        <v>1.7000000000000001E-2</v>
      </c>
      <c r="W160">
        <v>0.82499999999999996</v>
      </c>
      <c r="X160">
        <v>0.27500000000000002</v>
      </c>
      <c r="Y160">
        <v>1.6563146997929601</v>
      </c>
      <c r="Z160">
        <v>0.95147478591817003</v>
      </c>
      <c r="AA160">
        <v>7.02</v>
      </c>
      <c r="AB160">
        <v>6.3E-2</v>
      </c>
      <c r="AC160">
        <v>1.48448043184885</v>
      </c>
      <c r="AD160">
        <v>1.57384987893463</v>
      </c>
      <c r="AE160">
        <v>9.2999999999999999E-2</v>
      </c>
      <c r="AF160">
        <v>4.2000000000000003E-2</v>
      </c>
      <c r="AG160">
        <v>2.0852046474902584</v>
      </c>
      <c r="AH160">
        <v>9.1290322580645196</v>
      </c>
      <c r="AI160">
        <v>6.9523809523809499</v>
      </c>
      <c r="AJ160" t="s">
        <v>1694</v>
      </c>
      <c r="AK160" t="s">
        <v>1694</v>
      </c>
      <c r="AL160" t="s">
        <v>1694</v>
      </c>
      <c r="AM160" t="s">
        <v>1694</v>
      </c>
      <c r="AN160" t="s">
        <v>1694</v>
      </c>
      <c r="AO160" t="s">
        <v>1694</v>
      </c>
      <c r="AP160" t="s">
        <v>1697</v>
      </c>
      <c r="AQ160" t="s">
        <v>1697</v>
      </c>
      <c r="AR160" t="s">
        <v>1694</v>
      </c>
      <c r="AS160" t="s">
        <v>1694</v>
      </c>
      <c r="AT160" t="s">
        <v>1694</v>
      </c>
      <c r="AU160" t="s">
        <v>1695</v>
      </c>
      <c r="AV160" t="s">
        <v>1694</v>
      </c>
      <c r="AW160" t="s">
        <v>1694</v>
      </c>
      <c r="AX160" t="s">
        <v>1695</v>
      </c>
      <c r="AY160" t="s">
        <v>1694</v>
      </c>
      <c r="AZ160" t="s">
        <v>1694</v>
      </c>
      <c r="BA160" t="s">
        <v>1694</v>
      </c>
      <c r="BB160" t="s">
        <v>1695</v>
      </c>
      <c r="BC160" t="s">
        <v>1694</v>
      </c>
      <c r="BD160" t="s">
        <v>1694</v>
      </c>
      <c r="BE160" t="s">
        <v>1695</v>
      </c>
      <c r="BF160" t="s">
        <v>1694</v>
      </c>
      <c r="BG160" t="s">
        <v>1697</v>
      </c>
      <c r="BH160" t="s">
        <v>1698</v>
      </c>
      <c r="BI160" t="b">
        <v>0</v>
      </c>
      <c r="BJ160">
        <f t="shared" si="2"/>
        <v>0</v>
      </c>
    </row>
    <row r="161" spans="1:62" x14ac:dyDescent="0.2">
      <c r="A161" s="5" t="s">
        <v>35</v>
      </c>
      <c r="B161" s="6">
        <v>45021</v>
      </c>
      <c r="C161" s="7">
        <v>33.534722000000002</v>
      </c>
      <c r="D161" s="7">
        <v>-111.596592</v>
      </c>
      <c r="E161" s="17">
        <v>482</v>
      </c>
      <c r="F161" t="s">
        <v>1694</v>
      </c>
      <c r="G161" t="s">
        <v>1694</v>
      </c>
      <c r="H161" t="s">
        <v>1694</v>
      </c>
      <c r="I161">
        <v>0</v>
      </c>
      <c r="J161" s="6" t="s">
        <v>1697</v>
      </c>
      <c r="K161" s="6" t="s">
        <v>1697</v>
      </c>
      <c r="L161" s="6" t="s">
        <v>1697</v>
      </c>
      <c r="M161" s="6" t="s">
        <v>1697</v>
      </c>
      <c r="N161" s="6" t="s">
        <v>1697</v>
      </c>
      <c r="O161" s="6" t="s">
        <v>1697</v>
      </c>
      <c r="P161" s="6" t="s">
        <v>1697</v>
      </c>
      <c r="Q161" s="6" t="s">
        <v>1697</v>
      </c>
      <c r="R161" s="6" t="s">
        <v>1697</v>
      </c>
      <c r="S161" s="6" t="s">
        <v>1697</v>
      </c>
      <c r="T161" s="6" t="s">
        <v>1697</v>
      </c>
      <c r="U161" s="6" t="s">
        <v>1697</v>
      </c>
      <c r="V161" s="6" t="s">
        <v>1697</v>
      </c>
      <c r="W161" s="6" t="s">
        <v>1697</v>
      </c>
      <c r="X161" s="6" t="s">
        <v>1697</v>
      </c>
      <c r="Y161" s="6" t="s">
        <v>1697</v>
      </c>
      <c r="Z161" s="6" t="s">
        <v>1697</v>
      </c>
      <c r="AA161" s="6" t="s">
        <v>1697</v>
      </c>
      <c r="AB161" s="6" t="s">
        <v>1697</v>
      </c>
      <c r="AC161" s="6" t="s">
        <v>1697</v>
      </c>
      <c r="AD161" s="6" t="s">
        <v>1697</v>
      </c>
      <c r="AE161" s="6" t="s">
        <v>1697</v>
      </c>
      <c r="AF161" s="6" t="s">
        <v>1697</v>
      </c>
      <c r="AG161" s="6" t="s">
        <v>1697</v>
      </c>
      <c r="AH161" s="6" t="s">
        <v>1697</v>
      </c>
      <c r="AI161" s="6" t="s">
        <v>1697</v>
      </c>
      <c r="AJ161" t="s">
        <v>1694</v>
      </c>
      <c r="AK161" t="s">
        <v>1694</v>
      </c>
      <c r="AL161" t="s">
        <v>1694</v>
      </c>
      <c r="AM161" t="s">
        <v>1694</v>
      </c>
      <c r="AN161" t="s">
        <v>1694</v>
      </c>
      <c r="AO161" t="s">
        <v>1694</v>
      </c>
      <c r="AP161" t="s">
        <v>1695</v>
      </c>
      <c r="AQ161" t="s">
        <v>1694</v>
      </c>
      <c r="AR161" t="s">
        <v>1694</v>
      </c>
      <c r="AS161" t="s">
        <v>1694</v>
      </c>
      <c r="AT161" t="s">
        <v>1694</v>
      </c>
      <c r="AU161" t="s">
        <v>1695</v>
      </c>
      <c r="AV161" t="s">
        <v>1694</v>
      </c>
      <c r="AW161" t="s">
        <v>1694</v>
      </c>
      <c r="AX161" t="s">
        <v>1695</v>
      </c>
      <c r="AY161" t="s">
        <v>1694</v>
      </c>
      <c r="AZ161" t="s">
        <v>1694</v>
      </c>
      <c r="BA161" t="s">
        <v>1694</v>
      </c>
      <c r="BB161" t="s">
        <v>1695</v>
      </c>
      <c r="BC161" t="s">
        <v>1694</v>
      </c>
      <c r="BD161" t="s">
        <v>1694</v>
      </c>
      <c r="BE161" t="s">
        <v>1695</v>
      </c>
      <c r="BF161" t="s">
        <v>1694</v>
      </c>
      <c r="BG161" s="6" t="s">
        <v>1697</v>
      </c>
      <c r="BH161" s="6" t="s">
        <v>1697</v>
      </c>
      <c r="BI161" t="b">
        <v>1</v>
      </c>
      <c r="BJ161">
        <f t="shared" si="2"/>
        <v>1</v>
      </c>
    </row>
    <row r="162" spans="1:62" x14ac:dyDescent="0.2">
      <c r="A162" s="5" t="s">
        <v>36</v>
      </c>
      <c r="B162" s="6">
        <v>38422</v>
      </c>
      <c r="C162" s="7">
        <v>33.355843999999998</v>
      </c>
      <c r="D162" s="7">
        <v>-111.617422</v>
      </c>
      <c r="E162" s="17">
        <v>438</v>
      </c>
      <c r="F162" t="s">
        <v>1694</v>
      </c>
      <c r="G162" t="s">
        <v>1694</v>
      </c>
      <c r="H162" t="s">
        <v>1694</v>
      </c>
      <c r="I162">
        <v>0</v>
      </c>
      <c r="J162" s="8">
        <v>15.556965262380114</v>
      </c>
      <c r="K162" s="8">
        <v>65.106132534281187</v>
      </c>
      <c r="L162" s="8">
        <v>19.336902203338695</v>
      </c>
      <c r="M162" s="8">
        <v>2.6852221311802698</v>
      </c>
      <c r="N162" s="8">
        <v>2.8184068640806372</v>
      </c>
      <c r="O162" s="8">
        <v>0.9801060778807984</v>
      </c>
      <c r="P162" s="8">
        <v>10.481789337366562</v>
      </c>
      <c r="Q162" s="8">
        <v>14.104860368862065</v>
      </c>
      <c r="R162" s="8">
        <v>1.8494643735535687</v>
      </c>
      <c r="S162" s="8">
        <v>0.2</v>
      </c>
      <c r="T162" s="8">
        <v>0.14099999999999999</v>
      </c>
      <c r="U162" s="8">
        <v>3.9E-2</v>
      </c>
      <c r="V162" s="8">
        <v>7.9000000000000001E-2</v>
      </c>
      <c r="W162" s="8">
        <v>0.161</v>
      </c>
      <c r="X162" s="8">
        <v>6.1999999999999986E-2</v>
      </c>
      <c r="Y162" s="8">
        <v>2.3842917251051881</v>
      </c>
      <c r="Z162" s="8">
        <v>2.4623803009575882</v>
      </c>
      <c r="AA162" s="8">
        <v>7.62</v>
      </c>
      <c r="AB162">
        <v>0.192</v>
      </c>
      <c r="AC162" s="8">
        <v>5.4698457223001231</v>
      </c>
      <c r="AD162" s="8">
        <v>5.7455540355677144</v>
      </c>
      <c r="AE162" s="8">
        <v>2.5999999999999999E-2</v>
      </c>
      <c r="AF162" s="8">
        <v>0.02</v>
      </c>
      <c r="AG162" s="8">
        <v>1.2672594779228603</v>
      </c>
      <c r="AH162" s="8">
        <v>7.6923076923076934</v>
      </c>
      <c r="AI162" s="8">
        <v>5.4230769230769225</v>
      </c>
      <c r="AJ162" t="s">
        <v>1694</v>
      </c>
      <c r="AK162" t="s">
        <v>1694</v>
      </c>
      <c r="AL162" t="s">
        <v>1694</v>
      </c>
      <c r="AM162" t="s">
        <v>1694</v>
      </c>
      <c r="AN162" t="s">
        <v>1694</v>
      </c>
      <c r="AO162" t="s">
        <v>1694</v>
      </c>
      <c r="AP162" t="s">
        <v>1695</v>
      </c>
      <c r="AQ162" t="s">
        <v>1694</v>
      </c>
      <c r="AR162" t="s">
        <v>1694</v>
      </c>
      <c r="AS162" t="s">
        <v>1694</v>
      </c>
      <c r="AT162" t="s">
        <v>1694</v>
      </c>
      <c r="AU162" t="s">
        <v>1695</v>
      </c>
      <c r="AV162" t="s">
        <v>1694</v>
      </c>
      <c r="AW162" t="s">
        <v>1694</v>
      </c>
      <c r="AX162" t="s">
        <v>1695</v>
      </c>
      <c r="AY162" t="s">
        <v>1694</v>
      </c>
      <c r="AZ162" t="s">
        <v>1694</v>
      </c>
      <c r="BA162" t="s">
        <v>1694</v>
      </c>
      <c r="BB162" t="s">
        <v>1695</v>
      </c>
      <c r="BC162" t="s">
        <v>1694</v>
      </c>
      <c r="BD162" t="s">
        <v>1694</v>
      </c>
      <c r="BE162" t="s">
        <v>1695</v>
      </c>
      <c r="BF162" t="s">
        <v>1694</v>
      </c>
      <c r="BG162" t="s">
        <v>1697</v>
      </c>
      <c r="BH162" t="s">
        <v>1698</v>
      </c>
      <c r="BI162" t="b">
        <v>0</v>
      </c>
      <c r="BJ162">
        <f t="shared" si="2"/>
        <v>0</v>
      </c>
    </row>
    <row r="163" spans="1:62" x14ac:dyDescent="0.2">
      <c r="A163" s="5" t="s">
        <v>36</v>
      </c>
      <c r="B163" s="6">
        <v>40259</v>
      </c>
      <c r="C163" s="7">
        <v>33.355843999999998</v>
      </c>
      <c r="D163" s="7">
        <v>-111.617422</v>
      </c>
      <c r="E163" s="17">
        <v>438</v>
      </c>
      <c r="F163" t="s">
        <v>1694</v>
      </c>
      <c r="G163" t="s">
        <v>1694</v>
      </c>
      <c r="H163" t="s">
        <v>1694</v>
      </c>
      <c r="I163">
        <v>0</v>
      </c>
      <c r="J163" s="8">
        <v>11.142566737909004</v>
      </c>
      <c r="K163" s="8">
        <v>69.342583342197713</v>
      </c>
      <c r="L163" s="8">
        <v>19.51484991989328</v>
      </c>
      <c r="M163" s="8">
        <v>0.73886235327799388</v>
      </c>
      <c r="N163" s="8">
        <v>1.1035786942213692</v>
      </c>
      <c r="O163" s="8">
        <v>1.5325747502491143</v>
      </c>
      <c r="P163" s="8">
        <v>40.382805551507879</v>
      </c>
      <c r="Q163" s="8">
        <v>23.066727460393491</v>
      </c>
      <c r="R163" s="8">
        <v>8.9709826504519103</v>
      </c>
      <c r="S163" s="8">
        <v>0.38700000000000001</v>
      </c>
      <c r="T163" s="8">
        <v>0.14699999999999999</v>
      </c>
      <c r="U163" s="8">
        <v>2.7E-2</v>
      </c>
      <c r="V163" s="8">
        <v>3.3000000000000002E-2</v>
      </c>
      <c r="W163" s="8">
        <v>0.36</v>
      </c>
      <c r="X163" s="8">
        <v>0.11399999999999999</v>
      </c>
      <c r="Y163" s="8">
        <v>2.190580503833508</v>
      </c>
      <c r="Z163" s="8">
        <v>2.621722846441958</v>
      </c>
      <c r="AA163" s="8">
        <v>6.99</v>
      </c>
      <c r="AB163">
        <v>0.32400000000000001</v>
      </c>
      <c r="AC163" s="8">
        <v>2.738225629791895</v>
      </c>
      <c r="AD163" s="8">
        <v>4.1198501872658957</v>
      </c>
      <c r="AE163" s="8">
        <v>2.5999999999999999E-2</v>
      </c>
      <c r="AF163" s="8">
        <v>2.3E-2</v>
      </c>
      <c r="AG163" s="8">
        <v>1.5903116781913631</v>
      </c>
      <c r="AH163" s="8">
        <v>14.884615384615385</v>
      </c>
      <c r="AI163" s="8">
        <v>5.6538461538461542</v>
      </c>
      <c r="AJ163" t="s">
        <v>1694</v>
      </c>
      <c r="AK163" t="s">
        <v>1694</v>
      </c>
      <c r="AL163" t="s">
        <v>1694</v>
      </c>
      <c r="AM163" t="s">
        <v>1694</v>
      </c>
      <c r="AN163" t="s">
        <v>1694</v>
      </c>
      <c r="AO163" t="s">
        <v>1694</v>
      </c>
      <c r="AP163" t="s">
        <v>1695</v>
      </c>
      <c r="AQ163" t="s">
        <v>1694</v>
      </c>
      <c r="AR163" t="s">
        <v>1694</v>
      </c>
      <c r="AS163" t="s">
        <v>1694</v>
      </c>
      <c r="AT163" t="s">
        <v>1694</v>
      </c>
      <c r="AU163" t="s">
        <v>1695</v>
      </c>
      <c r="AV163" t="s">
        <v>1694</v>
      </c>
      <c r="AW163" t="s">
        <v>1694</v>
      </c>
      <c r="AX163" t="s">
        <v>1695</v>
      </c>
      <c r="AY163" t="s">
        <v>1694</v>
      </c>
      <c r="AZ163" t="s">
        <v>1694</v>
      </c>
      <c r="BA163" t="s">
        <v>1694</v>
      </c>
      <c r="BB163" t="s">
        <v>1695</v>
      </c>
      <c r="BC163" t="s">
        <v>1694</v>
      </c>
      <c r="BD163" t="s">
        <v>1694</v>
      </c>
      <c r="BE163" t="s">
        <v>1695</v>
      </c>
      <c r="BF163" t="s">
        <v>1694</v>
      </c>
      <c r="BG163" t="s">
        <v>1697</v>
      </c>
      <c r="BH163" t="s">
        <v>1698</v>
      </c>
      <c r="BI163" t="b">
        <v>0</v>
      </c>
      <c r="BJ163">
        <f t="shared" si="2"/>
        <v>0</v>
      </c>
    </row>
    <row r="164" spans="1:62" x14ac:dyDescent="0.2">
      <c r="A164" s="5" t="s">
        <v>36</v>
      </c>
      <c r="B164" s="6">
        <v>42054</v>
      </c>
      <c r="C164" s="7">
        <v>33.355843999999998</v>
      </c>
      <c r="D164" s="7">
        <v>-111.617422</v>
      </c>
      <c r="E164" s="17">
        <v>438</v>
      </c>
      <c r="F164" t="s">
        <v>1697</v>
      </c>
      <c r="G164" t="s">
        <v>1697</v>
      </c>
      <c r="H164" t="s">
        <v>1697</v>
      </c>
      <c r="I164" t="s">
        <v>1697</v>
      </c>
      <c r="J164">
        <v>8.9526071894216095</v>
      </c>
      <c r="K164">
        <v>68.001058058840599</v>
      </c>
      <c r="L164">
        <v>23.0463347517377</v>
      </c>
      <c r="M164">
        <v>3.4667121825679499</v>
      </c>
      <c r="N164">
        <v>5.4066008959329901</v>
      </c>
      <c r="O164">
        <v>7.6737118624550897E-3</v>
      </c>
      <c r="P164">
        <v>104.40944025260799</v>
      </c>
      <c r="Q164">
        <v>7.0511021840925299</v>
      </c>
      <c r="R164">
        <v>3.2327008952868299</v>
      </c>
      <c r="S164">
        <v>0.17599999999999999</v>
      </c>
      <c r="T164">
        <v>0.13900000000000001</v>
      </c>
      <c r="U164">
        <v>4.1000000000000002E-2</v>
      </c>
      <c r="V164">
        <v>6.0000000000000001E-3</v>
      </c>
      <c r="W164">
        <v>0.13500000000000001</v>
      </c>
      <c r="X164">
        <v>0.13300000000000001</v>
      </c>
      <c r="Y164">
        <v>1.3713080168776499</v>
      </c>
      <c r="Z164">
        <v>1.36363636363637</v>
      </c>
      <c r="AA164">
        <v>7.2</v>
      </c>
      <c r="AB164">
        <v>0.188</v>
      </c>
      <c r="AC164">
        <v>2.7662517289073199</v>
      </c>
      <c r="AD164">
        <v>3.1963470319634602</v>
      </c>
      <c r="AE164">
        <v>4.2000000000000003E-2</v>
      </c>
      <c r="AF164">
        <v>8.1000000000000003E-2</v>
      </c>
      <c r="AG164">
        <v>1.4740130558553541</v>
      </c>
      <c r="AH164">
        <v>4.1904761904761898</v>
      </c>
      <c r="AI164">
        <v>1.7160493827160499</v>
      </c>
      <c r="AJ164" t="s">
        <v>1694</v>
      </c>
      <c r="AK164" t="s">
        <v>1694</v>
      </c>
      <c r="AL164" t="s">
        <v>1694</v>
      </c>
      <c r="AM164" t="s">
        <v>1694</v>
      </c>
      <c r="AN164" t="s">
        <v>1694</v>
      </c>
      <c r="AO164" t="s">
        <v>1694</v>
      </c>
      <c r="AP164" t="s">
        <v>1695</v>
      </c>
      <c r="AQ164" t="s">
        <v>1694</v>
      </c>
      <c r="AR164" t="s">
        <v>1694</v>
      </c>
      <c r="AS164" t="s">
        <v>1694</v>
      </c>
      <c r="AT164" t="s">
        <v>1694</v>
      </c>
      <c r="AU164" t="s">
        <v>1695</v>
      </c>
      <c r="AV164" t="s">
        <v>1694</v>
      </c>
      <c r="AW164" t="s">
        <v>1694</v>
      </c>
      <c r="AX164" t="s">
        <v>1695</v>
      </c>
      <c r="AY164" t="s">
        <v>1694</v>
      </c>
      <c r="AZ164" t="s">
        <v>1694</v>
      </c>
      <c r="BA164" t="s">
        <v>1694</v>
      </c>
      <c r="BB164" t="s">
        <v>1695</v>
      </c>
      <c r="BC164" t="s">
        <v>1694</v>
      </c>
      <c r="BD164" t="s">
        <v>1694</v>
      </c>
      <c r="BE164" t="s">
        <v>1695</v>
      </c>
      <c r="BF164" t="s">
        <v>1694</v>
      </c>
      <c r="BG164" t="s">
        <v>1697</v>
      </c>
      <c r="BH164" t="s">
        <v>1698</v>
      </c>
      <c r="BI164" t="b">
        <v>0</v>
      </c>
      <c r="BJ164">
        <f t="shared" si="2"/>
        <v>0</v>
      </c>
    </row>
    <row r="165" spans="1:62" x14ac:dyDescent="0.2">
      <c r="A165" s="5" t="s">
        <v>37</v>
      </c>
      <c r="B165" s="6">
        <v>38495</v>
      </c>
      <c r="C165" s="7">
        <v>33.253453</v>
      </c>
      <c r="D165" s="7">
        <v>-111.62078099999999</v>
      </c>
      <c r="E165" s="17">
        <v>432</v>
      </c>
      <c r="F165" t="s">
        <v>1703</v>
      </c>
      <c r="G165" t="s">
        <v>1730</v>
      </c>
      <c r="H165" t="s">
        <v>1705</v>
      </c>
      <c r="I165">
        <v>0</v>
      </c>
      <c r="J165" s="8">
        <v>7.6730976697549256</v>
      </c>
      <c r="K165" s="8">
        <v>81.1856819689487</v>
      </c>
      <c r="L165" s="8">
        <v>11.141220361296376</v>
      </c>
      <c r="M165" s="8">
        <v>2.1878248069003967</v>
      </c>
      <c r="N165" s="8">
        <v>1.4340698773730083</v>
      </c>
      <c r="O165" s="8">
        <v>2.1993396743051354</v>
      </c>
      <c r="P165" s="8">
        <v>19.073129369061011</v>
      </c>
      <c r="Q165" s="8">
        <v>7.6270904254457159</v>
      </c>
      <c r="R165" s="8">
        <v>4.6173759158488386</v>
      </c>
      <c r="S165" s="8">
        <v>0.38500000000000001</v>
      </c>
      <c r="T165" s="8">
        <v>0.31</v>
      </c>
      <c r="U165" s="8">
        <v>0.108</v>
      </c>
      <c r="V165" s="8">
        <v>0.16400000000000001</v>
      </c>
      <c r="W165" s="8">
        <v>0.27700000000000002</v>
      </c>
      <c r="X165" s="8">
        <v>0.14599999999999999</v>
      </c>
      <c r="Y165" s="8">
        <v>2.3305084745762779</v>
      </c>
      <c r="Z165" s="8">
        <v>2.5608194622279266</v>
      </c>
      <c r="AA165" s="8">
        <v>8.14</v>
      </c>
      <c r="AB165">
        <v>0.23</v>
      </c>
      <c r="AC165" s="8">
        <v>0.21186440677965646</v>
      </c>
      <c r="AD165" s="8">
        <v>2.1766965428937248</v>
      </c>
      <c r="AE165" s="8">
        <v>3.4000000000000002E-2</v>
      </c>
      <c r="AF165" s="8">
        <v>2.8000000000000001E-2</v>
      </c>
      <c r="AG165" s="8">
        <v>1.2218121473963757</v>
      </c>
      <c r="AH165" s="8">
        <v>11.323529411764705</v>
      </c>
      <c r="AI165" s="8">
        <v>9.117647058823529</v>
      </c>
      <c r="AJ165" t="s">
        <v>1694</v>
      </c>
      <c r="AK165" t="s">
        <v>1694</v>
      </c>
      <c r="AL165" t="s">
        <v>1702</v>
      </c>
      <c r="AM165" t="s">
        <v>1703</v>
      </c>
      <c r="AN165" t="s">
        <v>1702</v>
      </c>
      <c r="AO165" t="s">
        <v>1703</v>
      </c>
      <c r="AP165" t="s">
        <v>1702</v>
      </c>
      <c r="AQ165" t="s">
        <v>1725</v>
      </c>
      <c r="AR165" t="s">
        <v>1703</v>
      </c>
      <c r="AS165" t="s">
        <v>1702</v>
      </c>
      <c r="AT165" t="s">
        <v>1703</v>
      </c>
      <c r="AU165" t="s">
        <v>1704</v>
      </c>
      <c r="AV165" t="s">
        <v>1705</v>
      </c>
      <c r="AW165" t="s">
        <v>1703</v>
      </c>
      <c r="AX165" t="s">
        <v>1704</v>
      </c>
      <c r="AY165" t="s">
        <v>1705</v>
      </c>
      <c r="AZ165" t="s">
        <v>1703</v>
      </c>
      <c r="BA165" t="s">
        <v>1702</v>
      </c>
      <c r="BB165" t="s">
        <v>1704</v>
      </c>
      <c r="BC165" t="s">
        <v>1725</v>
      </c>
      <c r="BD165" t="s">
        <v>1745</v>
      </c>
      <c r="BE165" t="s">
        <v>1704</v>
      </c>
      <c r="BF165" t="s">
        <v>1705</v>
      </c>
      <c r="BG165">
        <v>93</v>
      </c>
      <c r="BH165" s="12" t="s">
        <v>1713</v>
      </c>
      <c r="BI165" t="b">
        <v>0</v>
      </c>
      <c r="BJ165">
        <f t="shared" si="2"/>
        <v>0</v>
      </c>
    </row>
    <row r="166" spans="1:62" x14ac:dyDescent="0.2">
      <c r="A166" s="5" t="s">
        <v>37</v>
      </c>
      <c r="B166" s="6">
        <v>40296</v>
      </c>
      <c r="C166" s="7">
        <v>33.253453</v>
      </c>
      <c r="D166" s="7">
        <v>-111.62078099999999</v>
      </c>
      <c r="E166" s="17">
        <v>432</v>
      </c>
      <c r="F166" t="s">
        <v>1706</v>
      </c>
      <c r="G166" t="s">
        <v>1710</v>
      </c>
      <c r="H166" t="s">
        <v>1710</v>
      </c>
      <c r="I166">
        <v>1</v>
      </c>
      <c r="J166" s="8">
        <v>10.266712008010378</v>
      </c>
      <c r="K166" s="8">
        <v>70.698607717088734</v>
      </c>
      <c r="L166" s="8">
        <v>19.034680274900893</v>
      </c>
      <c r="M166" s="8">
        <v>5.0000000000000001E-3</v>
      </c>
      <c r="N166" s="8">
        <v>5.0000000000000001E-3</v>
      </c>
      <c r="O166" s="8">
        <v>0.52953630764988668</v>
      </c>
      <c r="P166" s="8">
        <v>8.0024088160901616</v>
      </c>
      <c r="Q166" s="8">
        <v>7.0635649284856692</v>
      </c>
      <c r="R166" s="8">
        <v>14.078146006391098</v>
      </c>
      <c r="S166" s="8">
        <v>0.84299999999999997</v>
      </c>
      <c r="T166" s="8">
        <v>0.96299999999999997</v>
      </c>
      <c r="U166" s="8">
        <v>0.76900000000000002</v>
      </c>
      <c r="V166" s="8">
        <v>0.93200000000000005</v>
      </c>
      <c r="W166" s="8">
        <v>7.3999999999999955E-2</v>
      </c>
      <c r="X166" s="8">
        <v>3.0999999999999917E-2</v>
      </c>
      <c r="Y166" s="8">
        <v>1.890359168241976</v>
      </c>
      <c r="Z166" s="8">
        <v>3.1100478468899704</v>
      </c>
      <c r="AA166" s="8">
        <v>8.86</v>
      </c>
      <c r="AB166">
        <v>0.32400000000000001</v>
      </c>
      <c r="AC166" s="8">
        <v>4.1587901701323204</v>
      </c>
      <c r="AD166" s="8">
        <v>6.220095693779899</v>
      </c>
      <c r="AE166" s="8">
        <v>1.6E-2</v>
      </c>
      <c r="AF166" s="8">
        <v>2.4E-2</v>
      </c>
      <c r="AG166" s="8">
        <v>1.2782108195637139</v>
      </c>
      <c r="AH166" s="8">
        <v>52.6875</v>
      </c>
      <c r="AI166" s="8">
        <v>60.1875</v>
      </c>
      <c r="AJ166" t="s">
        <v>1694</v>
      </c>
      <c r="AK166" t="s">
        <v>1694</v>
      </c>
      <c r="AL166" t="s">
        <v>1702</v>
      </c>
      <c r="AM166" t="s">
        <v>1703</v>
      </c>
      <c r="AN166" t="s">
        <v>1702</v>
      </c>
      <c r="AO166" t="s">
        <v>1703</v>
      </c>
      <c r="AP166" t="s">
        <v>1702</v>
      </c>
      <c r="AQ166" t="s">
        <v>1725</v>
      </c>
      <c r="AR166" t="s">
        <v>1703</v>
      </c>
      <c r="AS166" t="s">
        <v>1702</v>
      </c>
      <c r="AT166" t="s">
        <v>1703</v>
      </c>
      <c r="AU166" t="s">
        <v>1704</v>
      </c>
      <c r="AV166" t="s">
        <v>1705</v>
      </c>
      <c r="AW166" t="s">
        <v>1703</v>
      </c>
      <c r="AX166" t="s">
        <v>1704</v>
      </c>
      <c r="AY166" t="s">
        <v>1705</v>
      </c>
      <c r="AZ166" t="s">
        <v>1703</v>
      </c>
      <c r="BA166" t="s">
        <v>1702</v>
      </c>
      <c r="BB166" t="s">
        <v>1704</v>
      </c>
      <c r="BC166" t="s">
        <v>1725</v>
      </c>
      <c r="BD166" t="s">
        <v>1745</v>
      </c>
      <c r="BE166" t="s">
        <v>1704</v>
      </c>
      <c r="BF166" t="s">
        <v>1705</v>
      </c>
      <c r="BG166">
        <v>5</v>
      </c>
      <c r="BH166" t="s">
        <v>1708</v>
      </c>
      <c r="BI166" t="b">
        <v>0</v>
      </c>
      <c r="BJ166">
        <f t="shared" si="2"/>
        <v>0</v>
      </c>
    </row>
    <row r="167" spans="1:62" x14ac:dyDescent="0.2">
      <c r="A167" s="5" t="s">
        <v>37</v>
      </c>
      <c r="B167" s="6">
        <v>42146</v>
      </c>
      <c r="C167" s="7">
        <v>33.253453</v>
      </c>
      <c r="D167" s="7">
        <v>-111.62078099999999</v>
      </c>
      <c r="E167" s="17">
        <v>432</v>
      </c>
      <c r="F167" t="s">
        <v>1706</v>
      </c>
      <c r="G167" t="s">
        <v>1710</v>
      </c>
      <c r="H167" t="s">
        <v>1710</v>
      </c>
      <c r="I167">
        <v>1</v>
      </c>
      <c r="J167">
        <v>7.1600064563597101</v>
      </c>
      <c r="K167">
        <v>69.695398522203206</v>
      </c>
      <c r="L167">
        <v>23.144595021437102</v>
      </c>
      <c r="M167">
        <v>0.71395169853118201</v>
      </c>
      <c r="N167">
        <v>1.4407413973519201</v>
      </c>
      <c r="O167">
        <v>18.082619438780998</v>
      </c>
      <c r="P167">
        <v>47.4668760268002</v>
      </c>
      <c r="Q167">
        <v>17.0348118154627</v>
      </c>
      <c r="R167">
        <v>1.2053280360238201</v>
      </c>
      <c r="S167">
        <v>1.1259999999999999</v>
      </c>
      <c r="T167">
        <v>2.0049999999999999</v>
      </c>
      <c r="U167">
        <v>0.78800000000000003</v>
      </c>
      <c r="V167">
        <v>1.4339999999999999</v>
      </c>
      <c r="W167">
        <v>0.33800000000000002</v>
      </c>
      <c r="X167">
        <v>0.57099999999999995</v>
      </c>
      <c r="Y167">
        <v>1.9077901430842601</v>
      </c>
      <c r="Z167">
        <v>1.7167381974248901</v>
      </c>
      <c r="AA167">
        <v>8.2799999999999994</v>
      </c>
      <c r="AB167">
        <v>2.2400000000000002</v>
      </c>
      <c r="AC167">
        <v>6.4039408866995</v>
      </c>
      <c r="AD167">
        <v>3.1315240083507199</v>
      </c>
      <c r="AE167">
        <v>6.9000000000000006E-2</v>
      </c>
      <c r="AF167">
        <v>0.03</v>
      </c>
      <c r="AG167">
        <v>1.18150006851157</v>
      </c>
      <c r="AH167">
        <v>16.318840579710098</v>
      </c>
      <c r="AI167">
        <v>66.8333333333333</v>
      </c>
      <c r="AJ167" t="s">
        <v>1694</v>
      </c>
      <c r="AK167" t="s">
        <v>1694</v>
      </c>
      <c r="AL167" t="s">
        <v>1702</v>
      </c>
      <c r="AM167" t="s">
        <v>1703</v>
      </c>
      <c r="AN167" t="s">
        <v>1702</v>
      </c>
      <c r="AO167" t="s">
        <v>1703</v>
      </c>
      <c r="AP167" t="s">
        <v>1702</v>
      </c>
      <c r="AQ167" t="s">
        <v>1725</v>
      </c>
      <c r="AR167" t="s">
        <v>1703</v>
      </c>
      <c r="AS167" t="s">
        <v>1702</v>
      </c>
      <c r="AT167" t="s">
        <v>1703</v>
      </c>
      <c r="AU167" t="s">
        <v>1704</v>
      </c>
      <c r="AV167" t="s">
        <v>1705</v>
      </c>
      <c r="AW167" t="s">
        <v>1703</v>
      </c>
      <c r="AX167" t="s">
        <v>1704</v>
      </c>
      <c r="AY167" t="s">
        <v>1705</v>
      </c>
      <c r="AZ167" t="s">
        <v>1703</v>
      </c>
      <c r="BA167" t="s">
        <v>1702</v>
      </c>
      <c r="BB167" t="s">
        <v>1704</v>
      </c>
      <c r="BC167" t="s">
        <v>1725</v>
      </c>
      <c r="BD167" t="s">
        <v>1745</v>
      </c>
      <c r="BE167" t="s">
        <v>1704</v>
      </c>
      <c r="BF167" t="s">
        <v>1705</v>
      </c>
      <c r="BG167">
        <v>10</v>
      </c>
      <c r="BH167" t="s">
        <v>1708</v>
      </c>
      <c r="BI167" t="b">
        <v>0</v>
      </c>
      <c r="BJ167">
        <f t="shared" si="2"/>
        <v>0</v>
      </c>
    </row>
    <row r="168" spans="1:62" x14ac:dyDescent="0.2">
      <c r="A168" s="5" t="s">
        <v>38</v>
      </c>
      <c r="B168" s="6">
        <v>36642</v>
      </c>
      <c r="C168" s="7">
        <v>33.219706000000002</v>
      </c>
      <c r="D168" s="7">
        <v>-111.60534699999999</v>
      </c>
      <c r="E168" s="17">
        <v>438</v>
      </c>
      <c r="F168" t="s">
        <v>1703</v>
      </c>
      <c r="G168" t="s">
        <v>1720</v>
      </c>
      <c r="H168" t="s">
        <v>1721</v>
      </c>
      <c r="I168">
        <v>0</v>
      </c>
      <c r="J168" s="8">
        <v>22.505466602037487</v>
      </c>
      <c r="K168" s="8">
        <v>46.869341036603011</v>
      </c>
      <c r="L168" s="8">
        <v>30.625192361359495</v>
      </c>
      <c r="M168" s="8">
        <v>6.7401691183911163</v>
      </c>
      <c r="N168" s="8">
        <v>1.6479707263953134</v>
      </c>
      <c r="O168" s="8">
        <v>251.92996314763977</v>
      </c>
      <c r="P168" s="8">
        <v>91.213010423660606</v>
      </c>
      <c r="Q168" s="8">
        <v>20.129268328558222</v>
      </c>
      <c r="R168" s="8">
        <v>8.8021042558494997</v>
      </c>
      <c r="S168" s="8">
        <v>0.56100000000000005</v>
      </c>
      <c r="T168" s="8">
        <v>0.46100000000000002</v>
      </c>
      <c r="U168" s="8">
        <v>0.22900000000000001</v>
      </c>
      <c r="V168" s="8">
        <v>0.249</v>
      </c>
      <c r="W168" s="8">
        <v>0.33200000000000002</v>
      </c>
      <c r="X168" s="8">
        <v>0.21199999999999999</v>
      </c>
      <c r="Y168" s="8">
        <v>3.57599</v>
      </c>
      <c r="Z168" s="8">
        <v>2.97376</v>
      </c>
      <c r="AA168" s="9">
        <v>8.75</v>
      </c>
      <c r="AB168" s="10">
        <v>0.42699999999999999</v>
      </c>
      <c r="AC168" s="8">
        <v>4.5879000000000003</v>
      </c>
      <c r="AD168" s="8">
        <v>8.3438199999999991</v>
      </c>
      <c r="AE168" s="8">
        <v>6.3E-2</v>
      </c>
      <c r="AF168" s="8">
        <v>8.3000000000000004E-2</v>
      </c>
      <c r="AG168" s="8">
        <v>1.5065170520492916</v>
      </c>
      <c r="AH168" s="8">
        <v>8.9047619047619051</v>
      </c>
      <c r="AI168" s="8">
        <v>7.3174603174603181</v>
      </c>
      <c r="AJ168" t="s">
        <v>1694</v>
      </c>
      <c r="AK168" t="s">
        <v>1694</v>
      </c>
      <c r="AL168" t="s">
        <v>1694</v>
      </c>
      <c r="AM168" t="s">
        <v>1694</v>
      </c>
      <c r="AN168" t="s">
        <v>1694</v>
      </c>
      <c r="AO168" t="s">
        <v>1694</v>
      </c>
      <c r="AP168" t="s">
        <v>1702</v>
      </c>
      <c r="AQ168" t="s">
        <v>1725</v>
      </c>
      <c r="AR168" t="s">
        <v>1703</v>
      </c>
      <c r="AS168" t="s">
        <v>1702</v>
      </c>
      <c r="AT168" t="s">
        <v>1703</v>
      </c>
      <c r="AU168" t="s">
        <v>1704</v>
      </c>
      <c r="AV168" t="s">
        <v>1697</v>
      </c>
      <c r="AW168" t="s">
        <v>1703</v>
      </c>
      <c r="AX168" t="s">
        <v>1704</v>
      </c>
      <c r="AY168" t="s">
        <v>1705</v>
      </c>
      <c r="AZ168" t="s">
        <v>1703</v>
      </c>
      <c r="BA168" t="s">
        <v>1702</v>
      </c>
      <c r="BB168" t="s">
        <v>1704</v>
      </c>
      <c r="BC168" t="s">
        <v>1725</v>
      </c>
      <c r="BD168" t="s">
        <v>1745</v>
      </c>
      <c r="BE168" t="s">
        <v>1706</v>
      </c>
      <c r="BF168" t="s">
        <v>1746</v>
      </c>
      <c r="BG168">
        <v>5</v>
      </c>
      <c r="BH168" s="12" t="s">
        <v>1708</v>
      </c>
      <c r="BI168" t="b">
        <v>0</v>
      </c>
      <c r="BJ168">
        <f t="shared" si="2"/>
        <v>0</v>
      </c>
    </row>
    <row r="169" spans="1:62" x14ac:dyDescent="0.2">
      <c r="A169" s="5" t="s">
        <v>38</v>
      </c>
      <c r="B169" s="6">
        <v>38495</v>
      </c>
      <c r="C169" s="7">
        <v>33.219706000000002</v>
      </c>
      <c r="D169" s="7">
        <v>-111.60534699999999</v>
      </c>
      <c r="E169" s="17">
        <v>438</v>
      </c>
      <c r="F169" t="s">
        <v>1703</v>
      </c>
      <c r="G169" t="s">
        <v>1720</v>
      </c>
      <c r="H169" t="s">
        <v>1721</v>
      </c>
      <c r="I169">
        <v>0</v>
      </c>
      <c r="J169" s="8">
        <v>15.969560963824033</v>
      </c>
      <c r="K169" s="8">
        <v>46.687353115781299</v>
      </c>
      <c r="L169" s="8">
        <v>37.343085920394671</v>
      </c>
      <c r="M169" s="8">
        <v>4.0274730537379408</v>
      </c>
      <c r="N169" s="8">
        <v>0.68109240190530274</v>
      </c>
      <c r="O169" s="8">
        <v>311.18522266772061</v>
      </c>
      <c r="P169" s="8">
        <v>74.443399528249586</v>
      </c>
      <c r="Q169" s="8">
        <v>7.2795072657860427</v>
      </c>
      <c r="R169" s="8">
        <v>12.899066445460875</v>
      </c>
      <c r="S169" s="8">
        <v>0.56499999999999995</v>
      </c>
      <c r="T169" s="8">
        <v>0.54</v>
      </c>
      <c r="U169" s="8">
        <v>0.157</v>
      </c>
      <c r="V169" s="8">
        <v>9.2999999999999999E-2</v>
      </c>
      <c r="W169" s="8">
        <v>0.40799999999999992</v>
      </c>
      <c r="X169" s="8">
        <v>0.44700000000000006</v>
      </c>
      <c r="Y169" s="8">
        <v>3.6065573770491901</v>
      </c>
      <c r="Z169" s="8">
        <v>3.8759689922480614</v>
      </c>
      <c r="AA169" s="8">
        <v>7.98</v>
      </c>
      <c r="AB169">
        <v>0.83</v>
      </c>
      <c r="AC169" s="8">
        <v>4.5901639344262186</v>
      </c>
      <c r="AD169" s="8">
        <v>8.8372093023255562</v>
      </c>
      <c r="AE169" s="8">
        <v>7.3999999999999996E-2</v>
      </c>
      <c r="AF169" s="8">
        <v>5.6000000000000001E-2</v>
      </c>
      <c r="AG169" s="8">
        <v>1.2390412872903398</v>
      </c>
      <c r="AH169" s="8">
        <v>7.6351351351351351</v>
      </c>
      <c r="AI169" s="8">
        <v>7.2972972972972983</v>
      </c>
      <c r="AJ169" t="s">
        <v>1694</v>
      </c>
      <c r="AK169" t="s">
        <v>1694</v>
      </c>
      <c r="AL169" t="s">
        <v>1694</v>
      </c>
      <c r="AM169" t="s">
        <v>1694</v>
      </c>
      <c r="AN169" t="s">
        <v>1694</v>
      </c>
      <c r="AO169" t="s">
        <v>1694</v>
      </c>
      <c r="AP169" t="s">
        <v>1702</v>
      </c>
      <c r="AQ169" t="s">
        <v>1725</v>
      </c>
      <c r="AR169" t="s">
        <v>1703</v>
      </c>
      <c r="AS169" t="s">
        <v>1702</v>
      </c>
      <c r="AT169" t="s">
        <v>1703</v>
      </c>
      <c r="AU169" t="s">
        <v>1704</v>
      </c>
      <c r="AV169" t="s">
        <v>1697</v>
      </c>
      <c r="AW169" t="s">
        <v>1703</v>
      </c>
      <c r="AX169" t="s">
        <v>1704</v>
      </c>
      <c r="AY169" t="s">
        <v>1705</v>
      </c>
      <c r="AZ169" t="s">
        <v>1703</v>
      </c>
      <c r="BA169" t="s">
        <v>1702</v>
      </c>
      <c r="BB169" t="s">
        <v>1704</v>
      </c>
      <c r="BC169" t="s">
        <v>1725</v>
      </c>
      <c r="BD169" t="s">
        <v>1745</v>
      </c>
      <c r="BE169" t="s">
        <v>1706</v>
      </c>
      <c r="BF169" t="s">
        <v>1746</v>
      </c>
      <c r="BG169">
        <v>10</v>
      </c>
      <c r="BH169" s="12" t="s">
        <v>1708</v>
      </c>
      <c r="BI169" t="b">
        <v>0</v>
      </c>
      <c r="BJ169">
        <f t="shared" si="2"/>
        <v>0</v>
      </c>
    </row>
    <row r="170" spans="1:62" x14ac:dyDescent="0.2">
      <c r="A170" s="5" t="s">
        <v>38</v>
      </c>
      <c r="B170" s="6">
        <v>40296</v>
      </c>
      <c r="C170" s="7">
        <v>33.219706000000002</v>
      </c>
      <c r="D170" s="7">
        <v>-111.60534699999999</v>
      </c>
      <c r="E170" s="17">
        <v>438</v>
      </c>
      <c r="F170" t="s">
        <v>1703</v>
      </c>
      <c r="G170" t="s">
        <v>1720</v>
      </c>
      <c r="H170" t="s">
        <v>1721</v>
      </c>
      <c r="I170">
        <v>0</v>
      </c>
      <c r="J170" s="8">
        <v>14.124134035047009</v>
      </c>
      <c r="K170" s="8">
        <v>54.80354829141536</v>
      </c>
      <c r="L170" s="8">
        <v>31.072317673537626</v>
      </c>
      <c r="M170" s="8">
        <v>3.500026192580417</v>
      </c>
      <c r="N170" s="8">
        <v>5.0000000000000001E-3</v>
      </c>
      <c r="O170" s="8">
        <v>104.03474882404637</v>
      </c>
      <c r="P170" s="8">
        <v>145.05221527520482</v>
      </c>
      <c r="Q170" s="8">
        <v>19.852815946893582</v>
      </c>
      <c r="R170" s="8">
        <v>11.763060263176772</v>
      </c>
      <c r="S170" s="8">
        <v>0.77800000000000002</v>
      </c>
      <c r="T170" s="8">
        <v>0.54800000000000004</v>
      </c>
      <c r="U170" s="8">
        <v>0.254</v>
      </c>
      <c r="V170" s="8">
        <v>0.22</v>
      </c>
      <c r="W170" s="8">
        <v>0.52400000000000002</v>
      </c>
      <c r="X170" s="8">
        <v>0.32800000000000007</v>
      </c>
      <c r="Y170" s="8">
        <v>4.0404040404040309</v>
      </c>
      <c r="Z170" s="8">
        <v>4.0247678018575819</v>
      </c>
      <c r="AA170" s="8">
        <v>7.55</v>
      </c>
      <c r="AB170">
        <v>9.9990000000000006</v>
      </c>
      <c r="AC170" s="8">
        <v>4.0404040404040567</v>
      </c>
      <c r="AD170" s="8">
        <v>7.2755417956656157</v>
      </c>
      <c r="AE170" s="8">
        <v>7.1999999999999995E-2</v>
      </c>
      <c r="AF170" s="8">
        <v>0.05</v>
      </c>
      <c r="AG170" s="8">
        <v>1.4052805238481998</v>
      </c>
      <c r="AH170" s="8">
        <v>10.805555555555557</v>
      </c>
      <c r="AI170" s="8">
        <v>7.6111111111111125</v>
      </c>
      <c r="AJ170" t="s">
        <v>1694</v>
      </c>
      <c r="AK170" t="s">
        <v>1694</v>
      </c>
      <c r="AL170" t="s">
        <v>1694</v>
      </c>
      <c r="AM170" t="s">
        <v>1694</v>
      </c>
      <c r="AN170" t="s">
        <v>1694</v>
      </c>
      <c r="AO170" t="s">
        <v>1694</v>
      </c>
      <c r="AP170" t="s">
        <v>1702</v>
      </c>
      <c r="AQ170" t="s">
        <v>1725</v>
      </c>
      <c r="AR170" t="s">
        <v>1703</v>
      </c>
      <c r="AS170" t="s">
        <v>1702</v>
      </c>
      <c r="AT170" t="s">
        <v>1703</v>
      </c>
      <c r="AU170" t="s">
        <v>1704</v>
      </c>
      <c r="AV170" t="s">
        <v>1697</v>
      </c>
      <c r="AW170" t="s">
        <v>1703</v>
      </c>
      <c r="AX170" t="s">
        <v>1704</v>
      </c>
      <c r="AY170" t="s">
        <v>1705</v>
      </c>
      <c r="AZ170" t="s">
        <v>1703</v>
      </c>
      <c r="BA170" t="s">
        <v>1702</v>
      </c>
      <c r="BB170" t="s">
        <v>1704</v>
      </c>
      <c r="BC170" t="s">
        <v>1725</v>
      </c>
      <c r="BD170" t="s">
        <v>1745</v>
      </c>
      <c r="BE170" t="s">
        <v>1706</v>
      </c>
      <c r="BF170" t="s">
        <v>1746</v>
      </c>
      <c r="BG170">
        <v>15</v>
      </c>
      <c r="BH170" s="12" t="s">
        <v>1708</v>
      </c>
      <c r="BI170" t="b">
        <v>0</v>
      </c>
      <c r="BJ170">
        <f t="shared" si="2"/>
        <v>0</v>
      </c>
    </row>
    <row r="171" spans="1:62" x14ac:dyDescent="0.2">
      <c r="A171" s="5" t="s">
        <v>38</v>
      </c>
      <c r="B171" s="6">
        <v>42150</v>
      </c>
      <c r="C171" s="7">
        <v>33.219706000000002</v>
      </c>
      <c r="D171" s="7">
        <v>-111.60534699999999</v>
      </c>
      <c r="E171" s="17">
        <v>438</v>
      </c>
      <c r="F171" t="s">
        <v>1703</v>
      </c>
      <c r="G171" t="s">
        <v>1720</v>
      </c>
      <c r="H171" t="s">
        <v>1721</v>
      </c>
      <c r="I171">
        <v>0</v>
      </c>
      <c r="J171">
        <v>7.4097524563653101</v>
      </c>
      <c r="K171">
        <v>40.7900163799276</v>
      </c>
      <c r="L171">
        <v>51.800231163707103</v>
      </c>
      <c r="M171">
        <v>26.723834562107999</v>
      </c>
      <c r="N171">
        <v>9.8547592369244104</v>
      </c>
      <c r="O171">
        <v>783.03708797574404</v>
      </c>
      <c r="P171">
        <v>155.52496140868899</v>
      </c>
      <c r="Q171">
        <v>9.80997829511902</v>
      </c>
      <c r="R171">
        <v>2.95865212196661</v>
      </c>
      <c r="S171">
        <v>0.71</v>
      </c>
      <c r="T171">
        <v>0.45900000000000002</v>
      </c>
      <c r="U171">
        <v>0.17499999999999999</v>
      </c>
      <c r="V171">
        <v>0.249</v>
      </c>
      <c r="W171">
        <v>0.53500000000000003</v>
      </c>
      <c r="X171">
        <v>0.21</v>
      </c>
      <c r="Y171">
        <v>2.8391167192429001</v>
      </c>
      <c r="Z171">
        <v>2.2690437601296498</v>
      </c>
      <c r="AA171">
        <v>7.8</v>
      </c>
      <c r="AB171">
        <v>22.6</v>
      </c>
      <c r="AC171">
        <v>7.7694235588972704</v>
      </c>
      <c r="AD171">
        <v>8.3756345177664908</v>
      </c>
      <c r="AE171">
        <v>9.4E-2</v>
      </c>
      <c r="AF171">
        <v>4.3999999999999997E-2</v>
      </c>
      <c r="AG171">
        <v>1.1539187990128921</v>
      </c>
      <c r="AH171">
        <v>7.5531914893616996</v>
      </c>
      <c r="AI171">
        <v>10.431818181818199</v>
      </c>
      <c r="AJ171" t="s">
        <v>1694</v>
      </c>
      <c r="AK171" t="s">
        <v>1694</v>
      </c>
      <c r="AL171" t="s">
        <v>1694</v>
      </c>
      <c r="AM171" t="s">
        <v>1694</v>
      </c>
      <c r="AN171" t="s">
        <v>1694</v>
      </c>
      <c r="AO171" t="s">
        <v>1694</v>
      </c>
      <c r="AP171" t="s">
        <v>1702</v>
      </c>
      <c r="AQ171" t="s">
        <v>1725</v>
      </c>
      <c r="AR171" t="s">
        <v>1703</v>
      </c>
      <c r="AS171" t="s">
        <v>1702</v>
      </c>
      <c r="AT171" t="s">
        <v>1703</v>
      </c>
      <c r="AU171" t="s">
        <v>1697</v>
      </c>
      <c r="AV171" t="s">
        <v>1697</v>
      </c>
      <c r="AW171" t="s">
        <v>1703</v>
      </c>
      <c r="AX171" t="s">
        <v>1704</v>
      </c>
      <c r="AY171" t="s">
        <v>1705</v>
      </c>
      <c r="AZ171" t="s">
        <v>1703</v>
      </c>
      <c r="BA171" t="s">
        <v>1702</v>
      </c>
      <c r="BB171" t="s">
        <v>1704</v>
      </c>
      <c r="BC171" t="s">
        <v>1725</v>
      </c>
      <c r="BD171" t="s">
        <v>1745</v>
      </c>
      <c r="BE171" t="s">
        <v>1706</v>
      </c>
      <c r="BF171" t="s">
        <v>1746</v>
      </c>
      <c r="BG171">
        <v>20</v>
      </c>
      <c r="BH171" t="s">
        <v>1709</v>
      </c>
      <c r="BI171" t="b">
        <v>0</v>
      </c>
      <c r="BJ171">
        <f t="shared" si="2"/>
        <v>0</v>
      </c>
    </row>
    <row r="172" spans="1:62" x14ac:dyDescent="0.2">
      <c r="A172" s="5" t="s">
        <v>38</v>
      </c>
      <c r="B172" s="6">
        <v>45076</v>
      </c>
      <c r="C172" s="7">
        <v>33.219706000000002</v>
      </c>
      <c r="D172" s="7">
        <v>-111.60534699999999</v>
      </c>
      <c r="E172" s="17">
        <v>438</v>
      </c>
      <c r="F172" t="s">
        <v>1703</v>
      </c>
      <c r="G172" t="s">
        <v>1720</v>
      </c>
      <c r="H172" t="s">
        <v>1721</v>
      </c>
      <c r="I172">
        <v>1</v>
      </c>
      <c r="J172" t="s">
        <v>1697</v>
      </c>
      <c r="K172" t="s">
        <v>1697</v>
      </c>
      <c r="L172" t="s">
        <v>1697</v>
      </c>
      <c r="M172" t="s">
        <v>1697</v>
      </c>
      <c r="N172" t="s">
        <v>1697</v>
      </c>
      <c r="O172" t="s">
        <v>1697</v>
      </c>
      <c r="P172" t="s">
        <v>1697</v>
      </c>
      <c r="Q172" t="s">
        <v>1697</v>
      </c>
      <c r="R172" t="s">
        <v>1697</v>
      </c>
      <c r="S172" t="s">
        <v>1697</v>
      </c>
      <c r="T172" t="s">
        <v>1697</v>
      </c>
      <c r="U172" t="s">
        <v>1697</v>
      </c>
      <c r="V172" t="s">
        <v>1697</v>
      </c>
      <c r="W172" t="s">
        <v>1697</v>
      </c>
      <c r="X172" t="s">
        <v>1697</v>
      </c>
      <c r="Y172" t="s">
        <v>1697</v>
      </c>
      <c r="Z172" t="s">
        <v>1697</v>
      </c>
      <c r="AA172" t="s">
        <v>1697</v>
      </c>
      <c r="AB172" t="s">
        <v>1697</v>
      </c>
      <c r="AC172" t="s">
        <v>1697</v>
      </c>
      <c r="AD172" t="s">
        <v>1697</v>
      </c>
      <c r="AE172" t="s">
        <v>1697</v>
      </c>
      <c r="AF172" t="s">
        <v>1697</v>
      </c>
      <c r="AG172" t="s">
        <v>1697</v>
      </c>
      <c r="AH172" t="s">
        <v>1697</v>
      </c>
      <c r="AI172" t="s">
        <v>1697</v>
      </c>
      <c r="AJ172" t="s">
        <v>1694</v>
      </c>
      <c r="AK172" t="s">
        <v>1694</v>
      </c>
      <c r="AL172" t="s">
        <v>1694</v>
      </c>
      <c r="AM172" t="s">
        <v>1694</v>
      </c>
      <c r="AN172" t="s">
        <v>1694</v>
      </c>
      <c r="AO172" t="s">
        <v>1694</v>
      </c>
      <c r="AP172" t="s">
        <v>1702</v>
      </c>
      <c r="AQ172" t="s">
        <v>1725</v>
      </c>
      <c r="AR172" t="s">
        <v>1703</v>
      </c>
      <c r="AS172" t="s">
        <v>1702</v>
      </c>
      <c r="AT172" t="s">
        <v>1703</v>
      </c>
      <c r="AU172" t="s">
        <v>1697</v>
      </c>
      <c r="AV172" t="s">
        <v>1697</v>
      </c>
      <c r="AW172" t="s">
        <v>1703</v>
      </c>
      <c r="AX172" t="s">
        <v>1704</v>
      </c>
      <c r="AY172" t="s">
        <v>1705</v>
      </c>
      <c r="AZ172" t="s">
        <v>1703</v>
      </c>
      <c r="BA172" t="s">
        <v>1702</v>
      </c>
      <c r="BB172" t="s">
        <v>1704</v>
      </c>
      <c r="BC172" t="s">
        <v>1725</v>
      </c>
      <c r="BD172" t="s">
        <v>1745</v>
      </c>
      <c r="BE172" t="s">
        <v>1706</v>
      </c>
      <c r="BF172" t="s">
        <v>1746</v>
      </c>
      <c r="BG172" s="6" t="s">
        <v>1697</v>
      </c>
      <c r="BH172" s="6" t="s">
        <v>1697</v>
      </c>
      <c r="BI172" t="b">
        <v>1</v>
      </c>
      <c r="BJ172">
        <f t="shared" si="2"/>
        <v>1</v>
      </c>
    </row>
    <row r="173" spans="1:62" x14ac:dyDescent="0.2">
      <c r="A173" s="5" t="s">
        <v>39</v>
      </c>
      <c r="B173" s="6">
        <v>38422</v>
      </c>
      <c r="C173" s="7">
        <v>33.348588999999997</v>
      </c>
      <c r="D173" s="7">
        <v>-111.579025</v>
      </c>
      <c r="E173" s="17">
        <v>458</v>
      </c>
      <c r="F173" t="s">
        <v>1694</v>
      </c>
      <c r="G173" t="s">
        <v>1694</v>
      </c>
      <c r="H173" t="s">
        <v>1694</v>
      </c>
      <c r="I173">
        <v>0</v>
      </c>
      <c r="J173" s="8">
        <v>7.723579257645433</v>
      </c>
      <c r="K173" s="8">
        <v>79.106866072299283</v>
      </c>
      <c r="L173" s="8">
        <v>13.169554670055277</v>
      </c>
      <c r="M173" s="8">
        <v>4.5212555483187371</v>
      </c>
      <c r="N173" s="8">
        <v>2.2273231461511358</v>
      </c>
      <c r="O173" s="8">
        <v>0.8725230005527389</v>
      </c>
      <c r="P173" s="8">
        <v>0.55683078653778395</v>
      </c>
      <c r="Q173" s="8">
        <v>16.799165592189002</v>
      </c>
      <c r="R173" s="8">
        <v>2.1858337934287126</v>
      </c>
      <c r="S173" s="8">
        <v>0.36399999999999999</v>
      </c>
      <c r="T173" s="8">
        <v>0.16900000000000001</v>
      </c>
      <c r="U173" s="8">
        <v>0.04</v>
      </c>
      <c r="V173" s="8">
        <v>8.7999999999999995E-2</v>
      </c>
      <c r="W173" s="8">
        <v>0.32400000000000001</v>
      </c>
      <c r="X173" s="8">
        <v>8.1000000000000016E-2</v>
      </c>
      <c r="Y173" s="8">
        <v>2.0519835841313316</v>
      </c>
      <c r="Z173" s="8">
        <v>2.1156558533145073</v>
      </c>
      <c r="AA173" s="8">
        <v>7.69</v>
      </c>
      <c r="AB173">
        <v>0.13400000000000001</v>
      </c>
      <c r="AC173" s="8">
        <v>8.6183310533515591</v>
      </c>
      <c r="AD173" s="8">
        <v>8.6036671368124296</v>
      </c>
      <c r="AE173" s="8">
        <v>4.9000000000000002E-2</v>
      </c>
      <c r="AF173" s="8">
        <v>1.6E-2</v>
      </c>
      <c r="AG173" s="8">
        <v>1.4635902062108732</v>
      </c>
      <c r="AH173" s="8">
        <v>7.4285714285714279</v>
      </c>
      <c r="AI173" s="8">
        <v>3.4489795918367347</v>
      </c>
      <c r="AJ173" t="s">
        <v>1697</v>
      </c>
      <c r="AK173" t="s">
        <v>1694</v>
      </c>
      <c r="AL173" t="s">
        <v>1697</v>
      </c>
      <c r="AM173" t="s">
        <v>1694</v>
      </c>
      <c r="AN173" t="s">
        <v>1697</v>
      </c>
      <c r="AO173" t="s">
        <v>1694</v>
      </c>
      <c r="AP173" t="s">
        <v>1697</v>
      </c>
      <c r="AQ173" t="s">
        <v>1697</v>
      </c>
      <c r="AR173" t="s">
        <v>1694</v>
      </c>
      <c r="AS173" t="s">
        <v>1697</v>
      </c>
      <c r="AT173" t="s">
        <v>1694</v>
      </c>
      <c r="AU173" t="s">
        <v>1697</v>
      </c>
      <c r="AV173" t="s">
        <v>1697</v>
      </c>
      <c r="AW173" t="s">
        <v>1694</v>
      </c>
      <c r="AX173" t="s">
        <v>1697</v>
      </c>
      <c r="AY173" t="s">
        <v>1697</v>
      </c>
      <c r="AZ173" t="s">
        <v>1694</v>
      </c>
      <c r="BA173" t="s">
        <v>1697</v>
      </c>
      <c r="BB173" t="s">
        <v>1697</v>
      </c>
      <c r="BC173" t="s">
        <v>1697</v>
      </c>
      <c r="BD173" t="s">
        <v>1694</v>
      </c>
      <c r="BE173" t="s">
        <v>1697</v>
      </c>
      <c r="BF173" t="s">
        <v>1697</v>
      </c>
      <c r="BG173" t="s">
        <v>1697</v>
      </c>
      <c r="BH173" t="s">
        <v>1698</v>
      </c>
      <c r="BI173" t="b">
        <v>0</v>
      </c>
      <c r="BJ173">
        <f t="shared" si="2"/>
        <v>0</v>
      </c>
    </row>
    <row r="174" spans="1:62" x14ac:dyDescent="0.2">
      <c r="A174" s="5" t="s">
        <v>39</v>
      </c>
      <c r="B174" s="6">
        <v>40259</v>
      </c>
      <c r="C174" s="7">
        <v>33.348588999999997</v>
      </c>
      <c r="D174" s="7">
        <v>-111.579025</v>
      </c>
      <c r="E174" s="17">
        <v>458</v>
      </c>
      <c r="F174" t="s">
        <v>1700</v>
      </c>
      <c r="G174" t="s">
        <v>1736</v>
      </c>
      <c r="H174" t="s">
        <v>1737</v>
      </c>
      <c r="I174">
        <v>1</v>
      </c>
      <c r="J174" s="8">
        <v>23.64007540325801</v>
      </c>
      <c r="K174" s="8">
        <v>43.913568472607054</v>
      </c>
      <c r="L174" s="8">
        <v>32.446356124134937</v>
      </c>
      <c r="M174" s="8">
        <v>0.80720999781317415</v>
      </c>
      <c r="N174" s="8">
        <v>5.0000000000000001E-3</v>
      </c>
      <c r="O174" s="8">
        <v>2.6848885456420915</v>
      </c>
      <c r="P174" s="8">
        <v>35.701860774483897</v>
      </c>
      <c r="Q174" s="8">
        <v>8.3076220784165216</v>
      </c>
      <c r="R174" s="8">
        <v>8.0779967812973688</v>
      </c>
      <c r="S174" s="8">
        <v>0.76300000000000001</v>
      </c>
      <c r="T174" s="8">
        <v>0.56999999999999995</v>
      </c>
      <c r="U174" s="8">
        <v>0.54400000000000004</v>
      </c>
      <c r="V174" s="8">
        <v>0.52800000000000002</v>
      </c>
      <c r="W174" s="8">
        <v>0.21899999999999997</v>
      </c>
      <c r="X174" s="8">
        <v>4.1999999999999926E-2</v>
      </c>
      <c r="Y174" s="8">
        <v>2.7860696517412875</v>
      </c>
      <c r="Z174" s="8">
        <v>2.9229406554472996</v>
      </c>
      <c r="AA174" s="8">
        <v>8.6300000000000008</v>
      </c>
      <c r="AB174">
        <v>0.438</v>
      </c>
      <c r="AC174" s="8">
        <v>10.049751243781111</v>
      </c>
      <c r="AD174" s="8">
        <v>13.81753764393269</v>
      </c>
      <c r="AE174" s="8">
        <v>1.4E-2</v>
      </c>
      <c r="AF174" s="8">
        <v>1.2999999999999999E-2</v>
      </c>
      <c r="AG174" s="8">
        <v>1.5378855665838671</v>
      </c>
      <c r="AH174" s="8">
        <v>54.5</v>
      </c>
      <c r="AI174" s="8">
        <v>40.714285714285708</v>
      </c>
      <c r="AJ174" t="s">
        <v>1697</v>
      </c>
      <c r="AK174" t="s">
        <v>1694</v>
      </c>
      <c r="AL174" t="s">
        <v>1697</v>
      </c>
      <c r="AM174" t="s">
        <v>1694</v>
      </c>
      <c r="AN174" t="s">
        <v>1697</v>
      </c>
      <c r="AO174" t="s">
        <v>1694</v>
      </c>
      <c r="AP174" t="s">
        <v>1697</v>
      </c>
      <c r="AQ174" t="s">
        <v>1697</v>
      </c>
      <c r="AR174" t="s">
        <v>1694</v>
      </c>
      <c r="AS174" t="s">
        <v>1697</v>
      </c>
      <c r="AT174" t="s">
        <v>1694</v>
      </c>
      <c r="AU174" t="s">
        <v>1697</v>
      </c>
      <c r="AV174" t="s">
        <v>1697</v>
      </c>
      <c r="AW174" t="s">
        <v>1694</v>
      </c>
      <c r="AX174" t="s">
        <v>1697</v>
      </c>
      <c r="AY174" t="s">
        <v>1697</v>
      </c>
      <c r="AZ174" t="s">
        <v>1694</v>
      </c>
      <c r="BA174" t="s">
        <v>1697</v>
      </c>
      <c r="BB174" t="s">
        <v>1697</v>
      </c>
      <c r="BC174" t="s">
        <v>1697</v>
      </c>
      <c r="BD174" t="s">
        <v>1694</v>
      </c>
      <c r="BE174" t="s">
        <v>1697</v>
      </c>
      <c r="BF174" t="s">
        <v>1697</v>
      </c>
      <c r="BG174">
        <v>5</v>
      </c>
      <c r="BH174" t="s">
        <v>1708</v>
      </c>
      <c r="BI174" t="b">
        <v>0</v>
      </c>
      <c r="BJ174">
        <f t="shared" si="2"/>
        <v>0</v>
      </c>
    </row>
    <row r="175" spans="1:62" x14ac:dyDescent="0.2">
      <c r="A175" s="5" t="s">
        <v>39</v>
      </c>
      <c r="B175" s="6">
        <v>42054</v>
      </c>
      <c r="C175" s="7">
        <v>33.348588999999997</v>
      </c>
      <c r="D175" s="7">
        <v>-111.579025</v>
      </c>
      <c r="E175" s="17">
        <v>458</v>
      </c>
      <c r="F175" t="s">
        <v>1697</v>
      </c>
      <c r="G175" t="s">
        <v>1697</v>
      </c>
      <c r="H175" t="s">
        <v>1697</v>
      </c>
      <c r="I175" t="s">
        <v>1697</v>
      </c>
      <c r="J175">
        <v>16.499357981093699</v>
      </c>
      <c r="K175">
        <v>56.849146506761699</v>
      </c>
      <c r="L175">
        <v>26.6514955121445</v>
      </c>
      <c r="M175">
        <v>7.6911826557741403</v>
      </c>
      <c r="N175">
        <v>2.6204800773716701</v>
      </c>
      <c r="O175">
        <v>6.3567503337944</v>
      </c>
      <c r="P175">
        <v>23.584320696344999</v>
      </c>
      <c r="Q175">
        <v>3.4143199185898099</v>
      </c>
      <c r="R175">
        <v>2.873630916937</v>
      </c>
      <c r="S175">
        <v>0.28000000000000003</v>
      </c>
      <c r="T175">
        <v>0.29199999999999998</v>
      </c>
      <c r="U175">
        <v>0.27100000000000002</v>
      </c>
      <c r="V175">
        <v>0.251</v>
      </c>
      <c r="W175">
        <v>9.0000000000000097E-3</v>
      </c>
      <c r="X175">
        <v>4.1000000000000002E-2</v>
      </c>
      <c r="Y175">
        <v>0.927152317880787</v>
      </c>
      <c r="Z175">
        <v>0.92378752886836102</v>
      </c>
      <c r="AA175">
        <v>8.26</v>
      </c>
      <c r="AB175">
        <v>0.40500000000000003</v>
      </c>
      <c r="AC175">
        <v>4.1587901701323204</v>
      </c>
      <c r="AD175">
        <v>3.28638497652581</v>
      </c>
      <c r="AE175">
        <v>7.0000000000000001E-3</v>
      </c>
      <c r="AF175">
        <v>5.0999999999999997E-2</v>
      </c>
      <c r="AG175">
        <v>1.8562692178529625</v>
      </c>
      <c r="AH175">
        <v>40</v>
      </c>
      <c r="AI175">
        <v>5.7254901960784297</v>
      </c>
      <c r="AJ175" t="s">
        <v>1697</v>
      </c>
      <c r="AK175" t="s">
        <v>1694</v>
      </c>
      <c r="AL175" t="s">
        <v>1697</v>
      </c>
      <c r="AM175" t="s">
        <v>1694</v>
      </c>
      <c r="AN175" t="s">
        <v>1697</v>
      </c>
      <c r="AO175" t="s">
        <v>1694</v>
      </c>
      <c r="AP175" t="s">
        <v>1697</v>
      </c>
      <c r="AQ175" t="s">
        <v>1697</v>
      </c>
      <c r="AR175" t="s">
        <v>1694</v>
      </c>
      <c r="AS175" t="s">
        <v>1697</v>
      </c>
      <c r="AT175" t="s">
        <v>1694</v>
      </c>
      <c r="AU175" t="s">
        <v>1697</v>
      </c>
      <c r="AV175" t="s">
        <v>1697</v>
      </c>
      <c r="AW175" t="s">
        <v>1694</v>
      </c>
      <c r="AX175" t="s">
        <v>1697</v>
      </c>
      <c r="AY175" t="s">
        <v>1697</v>
      </c>
      <c r="AZ175" t="s">
        <v>1694</v>
      </c>
      <c r="BA175" t="s">
        <v>1697</v>
      </c>
      <c r="BB175" t="s">
        <v>1697</v>
      </c>
      <c r="BC175" t="s">
        <v>1697</v>
      </c>
      <c r="BD175" t="s">
        <v>1694</v>
      </c>
      <c r="BE175" t="s">
        <v>1697</v>
      </c>
      <c r="BF175" t="s">
        <v>1697</v>
      </c>
      <c r="BG175">
        <v>10</v>
      </c>
      <c r="BH175" t="s">
        <v>1708</v>
      </c>
      <c r="BI175" t="b">
        <v>1</v>
      </c>
      <c r="BJ175">
        <f t="shared" si="2"/>
        <v>1</v>
      </c>
    </row>
    <row r="176" spans="1:62" x14ac:dyDescent="0.2">
      <c r="A176" s="5" t="s">
        <v>857</v>
      </c>
      <c r="B176" s="6">
        <v>38440</v>
      </c>
      <c r="C176" s="7">
        <v>33.743464000000003</v>
      </c>
      <c r="D176" s="7">
        <v>-112.782528</v>
      </c>
      <c r="E176" s="17">
        <v>510</v>
      </c>
      <c r="F176" t="s">
        <v>1694</v>
      </c>
      <c r="G176" s="11" t="s">
        <v>1694</v>
      </c>
      <c r="H176" t="s">
        <v>1694</v>
      </c>
      <c r="I176">
        <v>0</v>
      </c>
      <c r="J176" s="8">
        <v>12.245829482807665</v>
      </c>
      <c r="K176" s="8">
        <v>67.206396932861594</v>
      </c>
      <c r="L176" s="8">
        <v>20.547773584330741</v>
      </c>
      <c r="M176" s="8">
        <v>1.4481206033320557</v>
      </c>
      <c r="N176" s="8">
        <v>1.2632425492982775</v>
      </c>
      <c r="O176" s="8">
        <v>0.38375195988299465</v>
      </c>
      <c r="P176" s="8">
        <v>0.92142397713521429</v>
      </c>
      <c r="Q176" s="8">
        <v>14.590972252568555</v>
      </c>
      <c r="R176" s="8">
        <v>8.1098706429183878</v>
      </c>
      <c r="S176" s="8">
        <v>0.2</v>
      </c>
      <c r="T176" s="8">
        <v>0.35</v>
      </c>
      <c r="U176" s="8">
        <v>7.8E-2</v>
      </c>
      <c r="V176" s="8">
        <v>7.0000000000000007E-2</v>
      </c>
      <c r="W176" s="8">
        <v>0.12200000000000001</v>
      </c>
      <c r="X176" s="8">
        <v>0.27999999999999997</v>
      </c>
      <c r="Y176" s="8">
        <v>2.2761760242792164</v>
      </c>
      <c r="Z176" s="8">
        <v>2.1126760563380249</v>
      </c>
      <c r="AA176" s="8">
        <v>7.42</v>
      </c>
      <c r="AB176">
        <v>0.13700000000000001</v>
      </c>
      <c r="AC176" s="8">
        <v>3.4901365705614631</v>
      </c>
      <c r="AD176" s="8">
        <v>6.1032863849765207</v>
      </c>
      <c r="AE176" s="8">
        <v>2.4E-2</v>
      </c>
      <c r="AF176" s="8">
        <v>3.1E-2</v>
      </c>
      <c r="AG176" s="8">
        <v>1.4002554783468568</v>
      </c>
      <c r="AH176" s="8">
        <v>8.3333333333333339</v>
      </c>
      <c r="AI176" s="8">
        <v>14.583333333333332</v>
      </c>
      <c r="AJ176" t="s">
        <v>1694</v>
      </c>
      <c r="AK176" t="s">
        <v>1694</v>
      </c>
      <c r="AL176" t="s">
        <v>1694</v>
      </c>
      <c r="AM176" t="s">
        <v>1694</v>
      </c>
      <c r="AN176" t="s">
        <v>1694</v>
      </c>
      <c r="AO176" t="s">
        <v>1694</v>
      </c>
      <c r="AP176" t="s">
        <v>1695</v>
      </c>
      <c r="AQ176" t="s">
        <v>1694</v>
      </c>
      <c r="AR176" t="s">
        <v>1694</v>
      </c>
      <c r="AS176" t="s">
        <v>1694</v>
      </c>
      <c r="AT176" t="s">
        <v>1694</v>
      </c>
      <c r="AU176" t="s">
        <v>1695</v>
      </c>
      <c r="AV176" t="s">
        <v>1694</v>
      </c>
      <c r="AW176" t="s">
        <v>1694</v>
      </c>
      <c r="AX176" t="s">
        <v>1695</v>
      </c>
      <c r="AY176" t="s">
        <v>1694</v>
      </c>
      <c r="AZ176" t="s">
        <v>1694</v>
      </c>
      <c r="BA176" t="s">
        <v>1694</v>
      </c>
      <c r="BB176" t="s">
        <v>1695</v>
      </c>
      <c r="BC176" t="s">
        <v>1694</v>
      </c>
      <c r="BD176" t="s">
        <v>1694</v>
      </c>
      <c r="BE176" t="s">
        <v>1695</v>
      </c>
      <c r="BF176" t="s">
        <v>1694</v>
      </c>
      <c r="BG176" t="s">
        <v>1697</v>
      </c>
      <c r="BH176" t="s">
        <v>1698</v>
      </c>
      <c r="BI176" t="b">
        <v>0</v>
      </c>
      <c r="BJ176">
        <f t="shared" si="2"/>
        <v>0</v>
      </c>
    </row>
    <row r="177" spans="1:62" x14ac:dyDescent="0.2">
      <c r="A177" s="5" t="s">
        <v>857</v>
      </c>
      <c r="B177" s="6">
        <v>40253</v>
      </c>
      <c r="C177" s="7">
        <v>33.743464000000003</v>
      </c>
      <c r="D177" s="7">
        <v>-112.782528</v>
      </c>
      <c r="E177" s="17">
        <v>510</v>
      </c>
      <c r="F177" t="s">
        <v>1694</v>
      </c>
      <c r="G177" s="11" t="s">
        <v>1694</v>
      </c>
      <c r="H177" t="s">
        <v>1694</v>
      </c>
      <c r="I177">
        <v>0</v>
      </c>
      <c r="J177" s="8">
        <v>15.767136591521764</v>
      </c>
      <c r="K177" s="8">
        <v>55.110560736652815</v>
      </c>
      <c r="L177" s="8">
        <v>29.122302671825423</v>
      </c>
      <c r="M177" s="8">
        <v>5.0000000000000001E-3</v>
      </c>
      <c r="N177" s="8">
        <v>5.0000000000000001E-3</v>
      </c>
      <c r="O177" s="8">
        <v>2.6430997375819056</v>
      </c>
      <c r="P177" s="8">
        <v>0.84913194321002183</v>
      </c>
      <c r="Q177" s="8">
        <v>16.492775473814163</v>
      </c>
      <c r="R177" s="8">
        <v>7.388346458248046</v>
      </c>
      <c r="S177" s="8">
        <v>0.16500000000000001</v>
      </c>
      <c r="T177" s="8">
        <v>0.27600000000000002</v>
      </c>
      <c r="U177" s="8">
        <v>2.9000000000000001E-2</v>
      </c>
      <c r="V177" s="8">
        <v>7.5999999999999998E-2</v>
      </c>
      <c r="W177" s="8">
        <v>0.13600000000000001</v>
      </c>
      <c r="X177" s="8">
        <v>0.2</v>
      </c>
      <c r="Y177" s="8">
        <v>2.0618556701030792</v>
      </c>
      <c r="Z177" s="8">
        <v>2.5730994152046858</v>
      </c>
      <c r="AA177" s="8">
        <v>7.39</v>
      </c>
      <c r="AB177">
        <v>0.187</v>
      </c>
      <c r="AC177" s="8">
        <v>4.8109965635739025</v>
      </c>
      <c r="AD177" s="8">
        <v>9.5906432748538037</v>
      </c>
      <c r="AE177" s="8">
        <v>2.5000000000000001E-2</v>
      </c>
      <c r="AF177" s="8">
        <v>2.1999999999999999E-2</v>
      </c>
      <c r="AG177" s="8">
        <v>1.3899098371239902</v>
      </c>
      <c r="AH177" s="8">
        <v>6.6</v>
      </c>
      <c r="AI177" s="8">
        <v>11.040000000000001</v>
      </c>
      <c r="AJ177" t="s">
        <v>1694</v>
      </c>
      <c r="AK177" t="s">
        <v>1694</v>
      </c>
      <c r="AL177" t="s">
        <v>1694</v>
      </c>
      <c r="AM177" t="s">
        <v>1694</v>
      </c>
      <c r="AN177" t="s">
        <v>1694</v>
      </c>
      <c r="AO177" t="s">
        <v>1694</v>
      </c>
      <c r="AP177" t="s">
        <v>1695</v>
      </c>
      <c r="AQ177" t="s">
        <v>1694</v>
      </c>
      <c r="AR177" t="s">
        <v>1694</v>
      </c>
      <c r="AS177" t="s">
        <v>1694</v>
      </c>
      <c r="AT177" t="s">
        <v>1694</v>
      </c>
      <c r="AU177" t="s">
        <v>1695</v>
      </c>
      <c r="AV177" t="s">
        <v>1694</v>
      </c>
      <c r="AW177" t="s">
        <v>1694</v>
      </c>
      <c r="AX177" t="s">
        <v>1695</v>
      </c>
      <c r="AY177" t="s">
        <v>1694</v>
      </c>
      <c r="AZ177" t="s">
        <v>1694</v>
      </c>
      <c r="BA177" t="s">
        <v>1694</v>
      </c>
      <c r="BB177" t="s">
        <v>1695</v>
      </c>
      <c r="BC177" t="s">
        <v>1694</v>
      </c>
      <c r="BD177" t="s">
        <v>1694</v>
      </c>
      <c r="BE177" t="s">
        <v>1695</v>
      </c>
      <c r="BF177" t="s">
        <v>1694</v>
      </c>
      <c r="BG177" t="s">
        <v>1697</v>
      </c>
      <c r="BH177" t="s">
        <v>1698</v>
      </c>
      <c r="BI177" t="b">
        <v>0</v>
      </c>
      <c r="BJ177">
        <f t="shared" si="2"/>
        <v>0</v>
      </c>
    </row>
    <row r="178" spans="1:62" x14ac:dyDescent="0.2">
      <c r="A178" s="5" t="s">
        <v>857</v>
      </c>
      <c r="B178" s="6">
        <v>42081</v>
      </c>
      <c r="C178" s="7">
        <v>33.743464000000003</v>
      </c>
      <c r="D178" s="7">
        <v>-112.782528</v>
      </c>
      <c r="E178" s="17">
        <v>510</v>
      </c>
      <c r="F178" t="s">
        <v>1694</v>
      </c>
      <c r="G178" t="s">
        <v>1694</v>
      </c>
      <c r="H178" t="s">
        <v>1694</v>
      </c>
      <c r="I178">
        <v>0</v>
      </c>
      <c r="J178">
        <v>9.5838868905261894</v>
      </c>
      <c r="K178">
        <v>70.941831790883796</v>
      </c>
      <c r="L178">
        <v>19.474281318589998</v>
      </c>
      <c r="M178">
        <v>1.6959981684546901</v>
      </c>
      <c r="N178">
        <v>1.3017334501434401</v>
      </c>
      <c r="O178">
        <v>1.80617483328508</v>
      </c>
      <c r="P178">
        <v>5.9843579444094201</v>
      </c>
      <c r="Q178">
        <v>5.5017965648647902</v>
      </c>
      <c r="R178">
        <v>1.78614844857934</v>
      </c>
      <c r="S178">
        <v>0.184</v>
      </c>
      <c r="T178">
        <v>0.154</v>
      </c>
      <c r="U178">
        <v>2.4E-2</v>
      </c>
      <c r="V178">
        <v>2.4E-2</v>
      </c>
      <c r="W178">
        <v>0.16</v>
      </c>
      <c r="X178">
        <v>0.13</v>
      </c>
      <c r="Y178">
        <v>1.2974976830398399</v>
      </c>
      <c r="Z178">
        <v>1.3568521031207701</v>
      </c>
      <c r="AA178">
        <v>6.77</v>
      </c>
      <c r="AB178">
        <v>0.19</v>
      </c>
      <c r="AC178">
        <v>1.86697782963827</v>
      </c>
      <c r="AD178">
        <v>3.1067961165048601</v>
      </c>
      <c r="AE178">
        <v>4.8000000000000001E-2</v>
      </c>
      <c r="AF178">
        <v>4.9000000000000002E-2</v>
      </c>
      <c r="AG178">
        <v>1.4891368956254989</v>
      </c>
      <c r="AH178">
        <v>3.8333333333333299</v>
      </c>
      <c r="AI178">
        <v>3.1428571428571401</v>
      </c>
      <c r="AJ178" t="s">
        <v>1694</v>
      </c>
      <c r="AK178" t="s">
        <v>1694</v>
      </c>
      <c r="AL178" t="s">
        <v>1694</v>
      </c>
      <c r="AM178" t="s">
        <v>1694</v>
      </c>
      <c r="AN178" t="s">
        <v>1694</v>
      </c>
      <c r="AO178" t="s">
        <v>1694</v>
      </c>
      <c r="AP178" t="s">
        <v>1697</v>
      </c>
      <c r="AQ178" t="s">
        <v>1697</v>
      </c>
      <c r="AR178" t="s">
        <v>1694</v>
      </c>
      <c r="AS178" t="s">
        <v>1694</v>
      </c>
      <c r="AT178" t="s">
        <v>1694</v>
      </c>
      <c r="AU178" t="s">
        <v>1695</v>
      </c>
      <c r="AV178" t="s">
        <v>1694</v>
      </c>
      <c r="AW178" t="s">
        <v>1694</v>
      </c>
      <c r="AX178" t="s">
        <v>1695</v>
      </c>
      <c r="AY178" t="s">
        <v>1694</v>
      </c>
      <c r="AZ178" t="s">
        <v>1694</v>
      </c>
      <c r="BA178" t="s">
        <v>1694</v>
      </c>
      <c r="BB178" t="s">
        <v>1695</v>
      </c>
      <c r="BC178" t="s">
        <v>1694</v>
      </c>
      <c r="BD178" t="s">
        <v>1694</v>
      </c>
      <c r="BE178" t="s">
        <v>1695</v>
      </c>
      <c r="BF178" t="s">
        <v>1694</v>
      </c>
      <c r="BG178" t="s">
        <v>1697</v>
      </c>
      <c r="BH178" t="s">
        <v>1698</v>
      </c>
      <c r="BI178" t="b">
        <v>0</v>
      </c>
      <c r="BJ178">
        <f t="shared" si="2"/>
        <v>0</v>
      </c>
    </row>
    <row r="179" spans="1:62" x14ac:dyDescent="0.2">
      <c r="A179" s="5" t="s">
        <v>857</v>
      </c>
      <c r="B179" s="6">
        <v>45016</v>
      </c>
      <c r="C179" s="7">
        <v>33.743464000000003</v>
      </c>
      <c r="D179" s="7">
        <v>-112.782528</v>
      </c>
      <c r="E179" s="17">
        <v>510</v>
      </c>
      <c r="F179" t="s">
        <v>1694</v>
      </c>
      <c r="G179" t="s">
        <v>1694</v>
      </c>
      <c r="H179" t="s">
        <v>1694</v>
      </c>
      <c r="I179">
        <v>0</v>
      </c>
      <c r="J179" s="6" t="s">
        <v>1697</v>
      </c>
      <c r="K179" s="6" t="s">
        <v>1697</v>
      </c>
      <c r="L179" s="6" t="s">
        <v>1697</v>
      </c>
      <c r="M179" s="6" t="s">
        <v>1697</v>
      </c>
      <c r="N179" s="6" t="s">
        <v>1697</v>
      </c>
      <c r="O179" s="6" t="s">
        <v>1697</v>
      </c>
      <c r="P179" s="6" t="s">
        <v>1697</v>
      </c>
      <c r="Q179" s="6" t="s">
        <v>1697</v>
      </c>
      <c r="R179" s="6" t="s">
        <v>1697</v>
      </c>
      <c r="S179" s="6" t="s">
        <v>1697</v>
      </c>
      <c r="T179" s="6" t="s">
        <v>1697</v>
      </c>
      <c r="U179" s="6" t="s">
        <v>1697</v>
      </c>
      <c r="V179" s="6" t="s">
        <v>1697</v>
      </c>
      <c r="W179" s="6" t="s">
        <v>1697</v>
      </c>
      <c r="X179" s="6" t="s">
        <v>1697</v>
      </c>
      <c r="Y179" s="6" t="s">
        <v>1697</v>
      </c>
      <c r="Z179" s="6" t="s">
        <v>1697</v>
      </c>
      <c r="AA179" s="6" t="s">
        <v>1697</v>
      </c>
      <c r="AB179" s="6" t="s">
        <v>1697</v>
      </c>
      <c r="AC179" s="6" t="s">
        <v>1697</v>
      </c>
      <c r="AD179" s="6" t="s">
        <v>1697</v>
      </c>
      <c r="AE179" s="6" t="s">
        <v>1697</v>
      </c>
      <c r="AF179" s="6" t="s">
        <v>1697</v>
      </c>
      <c r="AG179" s="6" t="s">
        <v>1697</v>
      </c>
      <c r="AH179" s="6" t="s">
        <v>1697</v>
      </c>
      <c r="AI179" s="6" t="s">
        <v>1697</v>
      </c>
      <c r="AJ179" t="s">
        <v>1694</v>
      </c>
      <c r="AK179" t="s">
        <v>1694</v>
      </c>
      <c r="AL179" t="s">
        <v>1694</v>
      </c>
      <c r="AM179" t="s">
        <v>1694</v>
      </c>
      <c r="AN179" t="s">
        <v>1694</v>
      </c>
      <c r="AO179" t="s">
        <v>1694</v>
      </c>
      <c r="AP179" t="s">
        <v>1697</v>
      </c>
      <c r="AQ179" t="s">
        <v>1697</v>
      </c>
      <c r="AR179" t="s">
        <v>1694</v>
      </c>
      <c r="AS179" t="s">
        <v>1694</v>
      </c>
      <c r="AT179" t="s">
        <v>1694</v>
      </c>
      <c r="AU179" t="s">
        <v>1695</v>
      </c>
      <c r="AV179" t="s">
        <v>1694</v>
      </c>
      <c r="AW179" t="s">
        <v>1694</v>
      </c>
      <c r="AX179" t="s">
        <v>1695</v>
      </c>
      <c r="AY179" t="s">
        <v>1694</v>
      </c>
      <c r="AZ179" t="s">
        <v>1694</v>
      </c>
      <c r="BA179" t="s">
        <v>1694</v>
      </c>
      <c r="BB179" t="s">
        <v>1695</v>
      </c>
      <c r="BC179" t="s">
        <v>1694</v>
      </c>
      <c r="BD179" t="s">
        <v>1694</v>
      </c>
      <c r="BE179" t="s">
        <v>1695</v>
      </c>
      <c r="BF179" t="s">
        <v>1694</v>
      </c>
      <c r="BG179" s="6" t="s">
        <v>1697</v>
      </c>
      <c r="BH179" s="6" t="s">
        <v>1697</v>
      </c>
      <c r="BI179" t="b">
        <v>1</v>
      </c>
      <c r="BJ179">
        <f t="shared" si="2"/>
        <v>1</v>
      </c>
    </row>
    <row r="180" spans="1:62" x14ac:dyDescent="0.2">
      <c r="A180" s="5" t="s">
        <v>40</v>
      </c>
      <c r="B180" s="6">
        <v>38407</v>
      </c>
      <c r="C180" s="7">
        <v>33.623569000000003</v>
      </c>
      <c r="D180" s="7">
        <v>-112.775397</v>
      </c>
      <c r="E180" s="17">
        <v>426</v>
      </c>
      <c r="F180" t="s">
        <v>1694</v>
      </c>
      <c r="G180" s="11" t="s">
        <v>1694</v>
      </c>
      <c r="H180" t="s">
        <v>1694</v>
      </c>
      <c r="I180">
        <v>0</v>
      </c>
      <c r="J180" s="8">
        <v>10.33677708374463</v>
      </c>
      <c r="K180" s="8">
        <v>78.492872032058401</v>
      </c>
      <c r="L180" s="8">
        <v>11.170350884196964</v>
      </c>
      <c r="M180" s="8">
        <v>1.0505724829170533</v>
      </c>
      <c r="N180" s="8">
        <v>0.70603503217726382</v>
      </c>
      <c r="O180" s="8">
        <v>0.51828242490574639</v>
      </c>
      <c r="P180" s="8">
        <v>0.48716417220231195</v>
      </c>
      <c r="Q180" s="8">
        <v>2.3953052610508814</v>
      </c>
      <c r="R180" s="8">
        <v>3.7472731575646137</v>
      </c>
      <c r="S180" s="8">
        <v>0.18</v>
      </c>
      <c r="T180" s="8">
        <v>0.23</v>
      </c>
      <c r="U180" s="8">
        <v>0.106</v>
      </c>
      <c r="V180" s="8">
        <v>0.155</v>
      </c>
      <c r="W180" s="8">
        <v>7.3999999999999996E-2</v>
      </c>
      <c r="X180" s="8">
        <v>7.5000000000000011E-2</v>
      </c>
      <c r="Y180" s="8">
        <v>2.8037383177570119</v>
      </c>
      <c r="Z180" s="8">
        <v>2.6845637583892636</v>
      </c>
      <c r="AA180" s="8">
        <v>8.51</v>
      </c>
      <c r="AB180">
        <v>0.247</v>
      </c>
      <c r="AC180" s="8">
        <v>11.682242990654206</v>
      </c>
      <c r="AD180" s="8">
        <v>12.248322147650983</v>
      </c>
      <c r="AE180" s="8">
        <v>1.4E-2</v>
      </c>
      <c r="AF180" s="8">
        <v>6.0000000000000001E-3</v>
      </c>
      <c r="AG180" s="8">
        <v>1.2499561629300022</v>
      </c>
      <c r="AH180" s="8">
        <v>12.857142857142856</v>
      </c>
      <c r="AI180" s="8">
        <v>16.428571428571431</v>
      </c>
      <c r="AJ180" t="s">
        <v>1694</v>
      </c>
      <c r="AK180" t="s">
        <v>1694</v>
      </c>
      <c r="AL180" t="s">
        <v>1694</v>
      </c>
      <c r="AM180" t="s">
        <v>1694</v>
      </c>
      <c r="AN180" t="s">
        <v>1694</v>
      </c>
      <c r="AO180" t="s">
        <v>1694</v>
      </c>
      <c r="AP180" t="s">
        <v>1695</v>
      </c>
      <c r="AQ180" t="s">
        <v>1694</v>
      </c>
      <c r="AR180" t="s">
        <v>1694</v>
      </c>
      <c r="AS180" t="s">
        <v>1694</v>
      </c>
      <c r="AT180" t="s">
        <v>1694</v>
      </c>
      <c r="AU180" t="s">
        <v>1695</v>
      </c>
      <c r="AV180" t="s">
        <v>1694</v>
      </c>
      <c r="AW180" t="s">
        <v>1694</v>
      </c>
      <c r="AX180" t="s">
        <v>1695</v>
      </c>
      <c r="AY180" t="s">
        <v>1694</v>
      </c>
      <c r="AZ180" t="s">
        <v>1694</v>
      </c>
      <c r="BA180" t="s">
        <v>1694</v>
      </c>
      <c r="BB180" t="s">
        <v>1695</v>
      </c>
      <c r="BC180" t="s">
        <v>1694</v>
      </c>
      <c r="BD180" t="s">
        <v>1694</v>
      </c>
      <c r="BE180" t="s">
        <v>1695</v>
      </c>
      <c r="BF180" t="s">
        <v>1694</v>
      </c>
      <c r="BG180" t="s">
        <v>1697</v>
      </c>
      <c r="BH180" t="s">
        <v>1698</v>
      </c>
      <c r="BI180" t="b">
        <v>0</v>
      </c>
      <c r="BJ180">
        <f t="shared" si="2"/>
        <v>0</v>
      </c>
    </row>
    <row r="181" spans="1:62" x14ac:dyDescent="0.2">
      <c r="A181" s="5" t="s">
        <v>40</v>
      </c>
      <c r="B181" s="6">
        <v>40267</v>
      </c>
      <c r="C181" s="7">
        <v>33.623569000000003</v>
      </c>
      <c r="D181" s="7">
        <v>-112.775397</v>
      </c>
      <c r="E181" s="17">
        <v>426</v>
      </c>
      <c r="F181" t="s">
        <v>1694</v>
      </c>
      <c r="G181" s="11" t="s">
        <v>1694</v>
      </c>
      <c r="H181" t="s">
        <v>1694</v>
      </c>
      <c r="I181">
        <v>0</v>
      </c>
      <c r="J181" s="8">
        <v>17.893895322137734</v>
      </c>
      <c r="K181" s="8">
        <v>62.208761950057031</v>
      </c>
      <c r="L181" s="8">
        <v>19.897342727805238</v>
      </c>
      <c r="M181" s="8">
        <v>0.15990796256753587</v>
      </c>
      <c r="N181" s="8">
        <v>5.0000000000000001E-3</v>
      </c>
      <c r="O181" s="8">
        <v>2.0879174387056492</v>
      </c>
      <c r="P181" s="8">
        <v>108.68408264592301</v>
      </c>
      <c r="Q181" s="8">
        <v>9.8374907691654521</v>
      </c>
      <c r="R181" s="8">
        <v>2.5000000000000001E-3</v>
      </c>
      <c r="S181" s="8">
        <v>0.23599999999999999</v>
      </c>
      <c r="T181" s="8">
        <v>0.55500000000000005</v>
      </c>
      <c r="U181" s="8">
        <v>0.20699999999999999</v>
      </c>
      <c r="V181" s="8">
        <v>0.438</v>
      </c>
      <c r="W181" s="8">
        <v>2.8999999999999998E-2</v>
      </c>
      <c r="X181" s="8">
        <v>0.11700000000000005</v>
      </c>
      <c r="Y181" s="8">
        <v>2.8612303290415033</v>
      </c>
      <c r="Z181" s="8">
        <v>2.8328611898017146</v>
      </c>
      <c r="AA181" s="8">
        <v>8.57</v>
      </c>
      <c r="AB181">
        <v>0.26100000000000001</v>
      </c>
      <c r="AC181" s="8">
        <v>3.8626609442060027</v>
      </c>
      <c r="AD181" s="8">
        <v>5.0991501416430509</v>
      </c>
      <c r="AE181" s="8">
        <v>1.9E-2</v>
      </c>
      <c r="AF181" s="8">
        <v>2.8000000000000001E-2</v>
      </c>
      <c r="AG181" s="8">
        <v>1.6050610706540385</v>
      </c>
      <c r="AH181" s="8">
        <v>12.421052631578947</v>
      </c>
      <c r="AI181" s="8">
        <v>29.210526315789476</v>
      </c>
      <c r="AJ181" t="s">
        <v>1694</v>
      </c>
      <c r="AK181" t="s">
        <v>1694</v>
      </c>
      <c r="AL181" t="s">
        <v>1694</v>
      </c>
      <c r="AM181" t="s">
        <v>1694</v>
      </c>
      <c r="AN181" t="s">
        <v>1694</v>
      </c>
      <c r="AO181" t="s">
        <v>1694</v>
      </c>
      <c r="AP181" t="s">
        <v>1695</v>
      </c>
      <c r="AQ181" t="s">
        <v>1694</v>
      </c>
      <c r="AR181" t="s">
        <v>1694</v>
      </c>
      <c r="AS181" t="s">
        <v>1694</v>
      </c>
      <c r="AT181" t="s">
        <v>1694</v>
      </c>
      <c r="AU181" t="s">
        <v>1695</v>
      </c>
      <c r="AV181" t="s">
        <v>1694</v>
      </c>
      <c r="AW181" t="s">
        <v>1694</v>
      </c>
      <c r="AX181" t="s">
        <v>1695</v>
      </c>
      <c r="AY181" t="s">
        <v>1694</v>
      </c>
      <c r="AZ181" t="s">
        <v>1694</v>
      </c>
      <c r="BA181" t="s">
        <v>1694</v>
      </c>
      <c r="BB181" t="s">
        <v>1695</v>
      </c>
      <c r="BC181" t="s">
        <v>1694</v>
      </c>
      <c r="BD181" t="s">
        <v>1694</v>
      </c>
      <c r="BE181" t="s">
        <v>1695</v>
      </c>
      <c r="BF181" t="s">
        <v>1694</v>
      </c>
      <c r="BG181" t="s">
        <v>1697</v>
      </c>
      <c r="BH181" t="s">
        <v>1698</v>
      </c>
      <c r="BI181" t="b">
        <v>0</v>
      </c>
      <c r="BJ181">
        <f t="shared" si="2"/>
        <v>0</v>
      </c>
    </row>
    <row r="182" spans="1:62" x14ac:dyDescent="0.2">
      <c r="A182" s="5" t="s">
        <v>40</v>
      </c>
      <c r="B182" s="6">
        <v>42095</v>
      </c>
      <c r="C182" s="7">
        <v>33.623569000000003</v>
      </c>
      <c r="D182" s="7">
        <v>-112.775397</v>
      </c>
      <c r="E182" s="17">
        <v>426</v>
      </c>
      <c r="F182" t="s">
        <v>1694</v>
      </c>
      <c r="G182" t="s">
        <v>1694</v>
      </c>
      <c r="H182" t="s">
        <v>1694</v>
      </c>
      <c r="I182">
        <v>0</v>
      </c>
      <c r="J182">
        <v>8.7695246943264102</v>
      </c>
      <c r="K182">
        <v>68.153185702495605</v>
      </c>
      <c r="L182">
        <v>23.077289603177999</v>
      </c>
      <c r="M182">
        <v>1.61295463517302</v>
      </c>
      <c r="N182">
        <v>3.2553459088838301</v>
      </c>
      <c r="O182">
        <v>7.0890351866863703</v>
      </c>
      <c r="P182">
        <v>480.16352156036402</v>
      </c>
      <c r="Q182">
        <v>1.63658407092602</v>
      </c>
      <c r="R182">
        <v>1.3092672567408199</v>
      </c>
      <c r="S182">
        <v>0.215</v>
      </c>
      <c r="T182">
        <v>0.78800000000000003</v>
      </c>
      <c r="U182">
        <v>9.4E-2</v>
      </c>
      <c r="V182">
        <v>0.76400000000000001</v>
      </c>
      <c r="W182">
        <v>0.121</v>
      </c>
      <c r="X182">
        <v>2.4E-2</v>
      </c>
      <c r="Y182">
        <v>1.2328767123287701</v>
      </c>
      <c r="Z182">
        <v>1.88261351052049</v>
      </c>
      <c r="AA182">
        <v>8.32</v>
      </c>
      <c r="AB182">
        <v>1.6830000000000001</v>
      </c>
      <c r="AC182">
        <v>2.57936507936508</v>
      </c>
      <c r="AD182">
        <v>3.2258064516129101</v>
      </c>
      <c r="AE182">
        <v>4.2999999999999997E-2</v>
      </c>
      <c r="AF182">
        <v>5.5E-2</v>
      </c>
      <c r="AG182">
        <v>1.657124013260848</v>
      </c>
      <c r="AH182">
        <v>5</v>
      </c>
      <c r="AI182">
        <v>14.3272727272727</v>
      </c>
      <c r="AJ182" t="s">
        <v>1694</v>
      </c>
      <c r="AK182" t="s">
        <v>1694</v>
      </c>
      <c r="AL182" t="s">
        <v>1694</v>
      </c>
      <c r="AM182" t="s">
        <v>1694</v>
      </c>
      <c r="AN182" t="s">
        <v>1694</v>
      </c>
      <c r="AO182" t="s">
        <v>1694</v>
      </c>
      <c r="AP182" t="s">
        <v>1697</v>
      </c>
      <c r="AQ182" t="s">
        <v>1697</v>
      </c>
      <c r="AR182" t="s">
        <v>1694</v>
      </c>
      <c r="AS182" t="s">
        <v>1694</v>
      </c>
      <c r="AT182" t="s">
        <v>1694</v>
      </c>
      <c r="AU182" t="s">
        <v>1695</v>
      </c>
      <c r="AV182" t="s">
        <v>1694</v>
      </c>
      <c r="AW182" t="s">
        <v>1694</v>
      </c>
      <c r="AX182" t="s">
        <v>1695</v>
      </c>
      <c r="AY182" t="s">
        <v>1694</v>
      </c>
      <c r="AZ182" t="s">
        <v>1694</v>
      </c>
      <c r="BA182" t="s">
        <v>1694</v>
      </c>
      <c r="BB182" t="s">
        <v>1695</v>
      </c>
      <c r="BC182" t="s">
        <v>1694</v>
      </c>
      <c r="BD182" t="s">
        <v>1694</v>
      </c>
      <c r="BE182" t="s">
        <v>1695</v>
      </c>
      <c r="BF182" t="s">
        <v>1694</v>
      </c>
      <c r="BG182" t="s">
        <v>1697</v>
      </c>
      <c r="BH182" t="s">
        <v>1698</v>
      </c>
      <c r="BI182" t="b">
        <v>0</v>
      </c>
      <c r="BJ182">
        <f t="shared" si="2"/>
        <v>0</v>
      </c>
    </row>
    <row r="183" spans="1:62" x14ac:dyDescent="0.2">
      <c r="A183" s="5" t="s">
        <v>40</v>
      </c>
      <c r="B183" s="6">
        <v>45015</v>
      </c>
      <c r="C183" s="7">
        <v>33.623569000000003</v>
      </c>
      <c r="D183" s="7">
        <v>-112.775397</v>
      </c>
      <c r="E183" s="17">
        <v>426</v>
      </c>
      <c r="F183" t="s">
        <v>1694</v>
      </c>
      <c r="G183" t="s">
        <v>1694</v>
      </c>
      <c r="H183" t="s">
        <v>1694</v>
      </c>
      <c r="I183">
        <v>0</v>
      </c>
      <c r="J183" s="6" t="s">
        <v>1697</v>
      </c>
      <c r="K183" s="6" t="s">
        <v>1697</v>
      </c>
      <c r="L183" s="6" t="s">
        <v>1697</v>
      </c>
      <c r="M183" s="6" t="s">
        <v>1697</v>
      </c>
      <c r="N183" s="6" t="s">
        <v>1697</v>
      </c>
      <c r="O183" s="6" t="s">
        <v>1697</v>
      </c>
      <c r="P183" s="6" t="s">
        <v>1697</v>
      </c>
      <c r="Q183" s="6" t="s">
        <v>1697</v>
      </c>
      <c r="R183" s="6" t="s">
        <v>1697</v>
      </c>
      <c r="S183" s="6" t="s">
        <v>1697</v>
      </c>
      <c r="T183" s="6" t="s">
        <v>1697</v>
      </c>
      <c r="U183" s="6" t="s">
        <v>1697</v>
      </c>
      <c r="V183" s="6" t="s">
        <v>1697</v>
      </c>
      <c r="W183" s="6" t="s">
        <v>1697</v>
      </c>
      <c r="X183" s="6" t="s">
        <v>1697</v>
      </c>
      <c r="Y183" s="6" t="s">
        <v>1697</v>
      </c>
      <c r="Z183" s="6" t="s">
        <v>1697</v>
      </c>
      <c r="AA183" s="6" t="s">
        <v>1697</v>
      </c>
      <c r="AB183" s="6" t="s">
        <v>1697</v>
      </c>
      <c r="AC183" s="6" t="s">
        <v>1697</v>
      </c>
      <c r="AD183" s="6" t="s">
        <v>1697</v>
      </c>
      <c r="AE183" s="6" t="s">
        <v>1697</v>
      </c>
      <c r="AF183" s="6" t="s">
        <v>1697</v>
      </c>
      <c r="AG183" s="6" t="s">
        <v>1697</v>
      </c>
      <c r="AH183" s="6" t="s">
        <v>1697</v>
      </c>
      <c r="AI183" s="6" t="s">
        <v>1697</v>
      </c>
      <c r="AJ183" t="s">
        <v>1694</v>
      </c>
      <c r="AK183" t="s">
        <v>1694</v>
      </c>
      <c r="AL183" t="s">
        <v>1694</v>
      </c>
      <c r="AM183" t="s">
        <v>1694</v>
      </c>
      <c r="AN183" t="s">
        <v>1694</v>
      </c>
      <c r="AO183" t="s">
        <v>1694</v>
      </c>
      <c r="AP183" t="s">
        <v>1697</v>
      </c>
      <c r="AQ183" t="s">
        <v>1697</v>
      </c>
      <c r="AR183" t="s">
        <v>1694</v>
      </c>
      <c r="AS183" t="s">
        <v>1694</v>
      </c>
      <c r="AT183" t="s">
        <v>1694</v>
      </c>
      <c r="AU183" t="s">
        <v>1695</v>
      </c>
      <c r="AV183" t="s">
        <v>1694</v>
      </c>
      <c r="AW183" t="s">
        <v>1694</v>
      </c>
      <c r="AX183" t="s">
        <v>1695</v>
      </c>
      <c r="AY183" t="s">
        <v>1694</v>
      </c>
      <c r="AZ183" t="s">
        <v>1694</v>
      </c>
      <c r="BA183" t="s">
        <v>1694</v>
      </c>
      <c r="BB183" t="s">
        <v>1695</v>
      </c>
      <c r="BC183" t="s">
        <v>1694</v>
      </c>
      <c r="BD183" t="s">
        <v>1694</v>
      </c>
      <c r="BE183" t="s">
        <v>1695</v>
      </c>
      <c r="BF183" t="s">
        <v>1694</v>
      </c>
      <c r="BG183" s="6" t="s">
        <v>1697</v>
      </c>
      <c r="BH183" s="6" t="s">
        <v>1697</v>
      </c>
      <c r="BI183" t="b">
        <v>1</v>
      </c>
      <c r="BJ183">
        <f t="shared" si="2"/>
        <v>1</v>
      </c>
    </row>
    <row r="184" spans="1:62" x14ac:dyDescent="0.2">
      <c r="A184" s="5" t="s">
        <v>858</v>
      </c>
      <c r="B184" s="6">
        <v>38440</v>
      </c>
      <c r="C184" s="7">
        <v>33.755966999999998</v>
      </c>
      <c r="D184" s="7">
        <v>-112.74190299999999</v>
      </c>
      <c r="E184" s="17">
        <v>519</v>
      </c>
      <c r="F184" t="s">
        <v>1694</v>
      </c>
      <c r="G184" t="s">
        <v>1694</v>
      </c>
      <c r="H184" t="s">
        <v>1694</v>
      </c>
      <c r="I184">
        <v>0</v>
      </c>
      <c r="J184" s="8">
        <v>12.899354061409529</v>
      </c>
      <c r="K184" s="8">
        <v>76.981545421328832</v>
      </c>
      <c r="L184" s="8">
        <v>10.119100517261643</v>
      </c>
      <c r="M184" s="8">
        <v>2.5516003685454476</v>
      </c>
      <c r="N184" s="8">
        <v>1.9747642844074553</v>
      </c>
      <c r="O184" s="8">
        <v>1.3295180867684173</v>
      </c>
      <c r="P184" s="8">
        <v>0.78309618174778428</v>
      </c>
      <c r="Q184" s="8">
        <v>13.736084656433077</v>
      </c>
      <c r="R184" s="8">
        <v>7.2656765192207962</v>
      </c>
      <c r="S184" s="8">
        <v>0.316</v>
      </c>
      <c r="T184" s="8">
        <v>0.23100000000000001</v>
      </c>
      <c r="U184" s="8">
        <v>5.5E-2</v>
      </c>
      <c r="V184" s="8">
        <v>6.7000000000000004E-2</v>
      </c>
      <c r="W184" s="8">
        <v>0.26100000000000001</v>
      </c>
      <c r="X184" s="8">
        <v>0.16400000000000001</v>
      </c>
      <c r="Y184" s="8">
        <v>1.8867924528301931</v>
      </c>
      <c r="Z184" s="8">
        <v>1.7647058823529453</v>
      </c>
      <c r="AA184" s="8">
        <v>7.71</v>
      </c>
      <c r="AB184">
        <v>0.106</v>
      </c>
      <c r="AC184" s="8">
        <v>2.6415094339622525</v>
      </c>
      <c r="AD184" s="8">
        <v>3.8823529411764715</v>
      </c>
      <c r="AE184" s="8">
        <v>0.04</v>
      </c>
      <c r="AF184" s="8">
        <v>2.4E-2</v>
      </c>
      <c r="AG184" s="8">
        <v>1.3062416055140493</v>
      </c>
      <c r="AH184" s="8">
        <v>7.9</v>
      </c>
      <c r="AI184" s="8">
        <v>5.7750000000000004</v>
      </c>
      <c r="AJ184" t="s">
        <v>1694</v>
      </c>
      <c r="AK184" t="s">
        <v>1694</v>
      </c>
      <c r="AL184" t="s">
        <v>1694</v>
      </c>
      <c r="AM184" t="s">
        <v>1694</v>
      </c>
      <c r="AN184" t="s">
        <v>1694</v>
      </c>
      <c r="AO184" t="s">
        <v>1694</v>
      </c>
      <c r="AP184" t="s">
        <v>1695</v>
      </c>
      <c r="AQ184" t="s">
        <v>1694</v>
      </c>
      <c r="AR184" t="s">
        <v>1694</v>
      </c>
      <c r="AS184" t="s">
        <v>1694</v>
      </c>
      <c r="AT184" t="s">
        <v>1694</v>
      </c>
      <c r="AU184" t="s">
        <v>1695</v>
      </c>
      <c r="AV184" t="s">
        <v>1694</v>
      </c>
      <c r="AW184" t="s">
        <v>1694</v>
      </c>
      <c r="AX184" t="s">
        <v>1695</v>
      </c>
      <c r="AY184" t="s">
        <v>1694</v>
      </c>
      <c r="AZ184" t="s">
        <v>1694</v>
      </c>
      <c r="BA184" t="s">
        <v>1694</v>
      </c>
      <c r="BB184" t="s">
        <v>1695</v>
      </c>
      <c r="BC184" t="s">
        <v>1694</v>
      </c>
      <c r="BD184" t="s">
        <v>1694</v>
      </c>
      <c r="BE184" t="s">
        <v>1695</v>
      </c>
      <c r="BF184" t="s">
        <v>1694</v>
      </c>
      <c r="BG184" t="s">
        <v>1697</v>
      </c>
      <c r="BH184" t="s">
        <v>1698</v>
      </c>
      <c r="BI184" t="b">
        <v>0</v>
      </c>
      <c r="BJ184">
        <f t="shared" si="2"/>
        <v>0</v>
      </c>
    </row>
    <row r="185" spans="1:62" x14ac:dyDescent="0.2">
      <c r="A185" s="5" t="s">
        <v>858</v>
      </c>
      <c r="B185" s="6">
        <v>40253</v>
      </c>
      <c r="C185" s="7">
        <v>33.755966999999998</v>
      </c>
      <c r="D185" s="7">
        <v>-112.74190299999999</v>
      </c>
      <c r="E185" s="17">
        <v>519</v>
      </c>
      <c r="F185" t="s">
        <v>1694</v>
      </c>
      <c r="G185" t="s">
        <v>1694</v>
      </c>
      <c r="H185" t="s">
        <v>1694</v>
      </c>
      <c r="I185">
        <v>0</v>
      </c>
      <c r="J185" s="8">
        <v>6.5979793496343362</v>
      </c>
      <c r="K185" s="8">
        <v>66.832218232199367</v>
      </c>
      <c r="L185" s="8">
        <v>26.56980241816629</v>
      </c>
      <c r="M185" s="8">
        <v>0.6273575228130791</v>
      </c>
      <c r="N185" s="8">
        <v>1.3483348780899864</v>
      </c>
      <c r="O185" s="8">
        <v>4.1129961163832292</v>
      </c>
      <c r="P185" s="8">
        <v>0.73708973335585937</v>
      </c>
      <c r="Q185" s="8">
        <v>17.871602654139714</v>
      </c>
      <c r="R185" s="8">
        <v>2.5000000000000001E-3</v>
      </c>
      <c r="S185" s="8">
        <v>0.19400000000000001</v>
      </c>
      <c r="T185" s="8">
        <v>0.189</v>
      </c>
      <c r="U185" s="8">
        <v>1.6E-2</v>
      </c>
      <c r="V185" s="8">
        <v>5.5E-2</v>
      </c>
      <c r="W185" s="8">
        <v>0.17799999999999999</v>
      </c>
      <c r="X185" s="8">
        <v>0.13400000000000001</v>
      </c>
      <c r="Y185" s="8">
        <v>1.6528925619834605</v>
      </c>
      <c r="Z185" s="8">
        <v>1.8445322793148957</v>
      </c>
      <c r="AA185" s="8">
        <v>7.76</v>
      </c>
      <c r="AB185">
        <v>0.17299999999999999</v>
      </c>
      <c r="AC185" s="8">
        <v>5.0964187327823831</v>
      </c>
      <c r="AD185" s="8">
        <v>8.1686429512516607</v>
      </c>
      <c r="AE185" s="8">
        <v>0.03</v>
      </c>
      <c r="AF185" s="8">
        <v>1.9E-2</v>
      </c>
      <c r="AG185" s="8">
        <v>1.3860977272185555</v>
      </c>
      <c r="AH185" s="8">
        <v>6.4666666666666668</v>
      </c>
      <c r="AI185" s="8">
        <v>6.3000000000000007</v>
      </c>
      <c r="AJ185" t="s">
        <v>1694</v>
      </c>
      <c r="AK185" t="s">
        <v>1694</v>
      </c>
      <c r="AL185" t="s">
        <v>1694</v>
      </c>
      <c r="AM185" t="s">
        <v>1694</v>
      </c>
      <c r="AN185" t="s">
        <v>1694</v>
      </c>
      <c r="AO185" t="s">
        <v>1694</v>
      </c>
      <c r="AP185" t="s">
        <v>1695</v>
      </c>
      <c r="AQ185" t="s">
        <v>1694</v>
      </c>
      <c r="AR185" t="s">
        <v>1694</v>
      </c>
      <c r="AS185" t="s">
        <v>1694</v>
      </c>
      <c r="AT185" t="s">
        <v>1694</v>
      </c>
      <c r="AU185" t="s">
        <v>1695</v>
      </c>
      <c r="AV185" t="s">
        <v>1694</v>
      </c>
      <c r="AW185" t="s">
        <v>1694</v>
      </c>
      <c r="AX185" t="s">
        <v>1695</v>
      </c>
      <c r="AY185" t="s">
        <v>1694</v>
      </c>
      <c r="AZ185" t="s">
        <v>1694</v>
      </c>
      <c r="BA185" t="s">
        <v>1694</v>
      </c>
      <c r="BB185" t="s">
        <v>1695</v>
      </c>
      <c r="BC185" t="s">
        <v>1694</v>
      </c>
      <c r="BD185" t="s">
        <v>1694</v>
      </c>
      <c r="BE185" t="s">
        <v>1695</v>
      </c>
      <c r="BF185" t="s">
        <v>1694</v>
      </c>
      <c r="BG185" t="s">
        <v>1697</v>
      </c>
      <c r="BH185" t="s">
        <v>1698</v>
      </c>
      <c r="BI185" t="b">
        <v>0</v>
      </c>
      <c r="BJ185">
        <f t="shared" si="2"/>
        <v>0</v>
      </c>
    </row>
    <row r="186" spans="1:62" x14ac:dyDescent="0.2">
      <c r="A186" s="5" t="s">
        <v>858</v>
      </c>
      <c r="B186" s="6">
        <v>42100</v>
      </c>
      <c r="C186" s="7">
        <v>33.755966999999998</v>
      </c>
      <c r="D186" s="7">
        <v>-112.74190299999999</v>
      </c>
      <c r="E186" s="17">
        <v>519</v>
      </c>
      <c r="F186" t="s">
        <v>1694</v>
      </c>
      <c r="G186" t="s">
        <v>1694</v>
      </c>
      <c r="H186" t="s">
        <v>1694</v>
      </c>
      <c r="I186">
        <v>0</v>
      </c>
      <c r="J186">
        <v>7.5663955211151803</v>
      </c>
      <c r="K186">
        <v>73.332383356577395</v>
      </c>
      <c r="L186">
        <v>19.1012211223075</v>
      </c>
      <c r="M186">
        <v>2.1226390465082701</v>
      </c>
      <c r="N186">
        <v>1.2124281067785301</v>
      </c>
      <c r="O186">
        <v>2.0850702138266999</v>
      </c>
      <c r="P186">
        <v>1.63018664280482</v>
      </c>
      <c r="Q186">
        <v>4.1957113392890202</v>
      </c>
      <c r="R186">
        <v>2.2937060711077302</v>
      </c>
      <c r="S186">
        <v>0.16300000000000001</v>
      </c>
      <c r="T186">
        <v>0.157</v>
      </c>
      <c r="U186">
        <v>0</v>
      </c>
      <c r="V186">
        <v>8.5000000000000006E-2</v>
      </c>
      <c r="W186">
        <v>0.16300000000000001</v>
      </c>
      <c r="X186">
        <v>7.1999999999999995E-2</v>
      </c>
      <c r="Y186">
        <v>0.923482849604225</v>
      </c>
      <c r="Z186">
        <v>1.1042944785276101</v>
      </c>
      <c r="AA186">
        <v>7.28</v>
      </c>
      <c r="AB186">
        <v>0.14099999999999999</v>
      </c>
      <c r="AC186">
        <v>1.7208413001912</v>
      </c>
      <c r="AD186">
        <v>2.20713073005092</v>
      </c>
      <c r="AE186">
        <v>0.03</v>
      </c>
      <c r="AF186">
        <v>1.2E-2</v>
      </c>
      <c r="AG186">
        <v>1.5913240077049235</v>
      </c>
      <c r="AH186">
        <v>5.43333333333333</v>
      </c>
      <c r="AI186">
        <v>13.0833333333333</v>
      </c>
      <c r="AJ186" t="s">
        <v>1694</v>
      </c>
      <c r="AK186" t="s">
        <v>1694</v>
      </c>
      <c r="AL186" t="s">
        <v>1694</v>
      </c>
      <c r="AM186" t="s">
        <v>1694</v>
      </c>
      <c r="AN186" t="s">
        <v>1694</v>
      </c>
      <c r="AO186" t="s">
        <v>1694</v>
      </c>
      <c r="AP186" t="s">
        <v>1697</v>
      </c>
      <c r="AQ186" t="s">
        <v>1697</v>
      </c>
      <c r="AR186" t="s">
        <v>1694</v>
      </c>
      <c r="AS186" t="s">
        <v>1694</v>
      </c>
      <c r="AT186" t="s">
        <v>1694</v>
      </c>
      <c r="AU186" t="s">
        <v>1695</v>
      </c>
      <c r="AV186" t="s">
        <v>1694</v>
      </c>
      <c r="AW186" t="s">
        <v>1694</v>
      </c>
      <c r="AX186" t="s">
        <v>1695</v>
      </c>
      <c r="AY186" t="s">
        <v>1694</v>
      </c>
      <c r="AZ186" t="s">
        <v>1694</v>
      </c>
      <c r="BA186" t="s">
        <v>1694</v>
      </c>
      <c r="BB186" t="s">
        <v>1695</v>
      </c>
      <c r="BC186" t="s">
        <v>1694</v>
      </c>
      <c r="BD186" t="s">
        <v>1694</v>
      </c>
      <c r="BE186" t="s">
        <v>1695</v>
      </c>
      <c r="BF186" t="s">
        <v>1694</v>
      </c>
      <c r="BG186" t="s">
        <v>1697</v>
      </c>
      <c r="BH186" t="s">
        <v>1698</v>
      </c>
      <c r="BI186" t="b">
        <v>0</v>
      </c>
      <c r="BJ186">
        <f t="shared" si="2"/>
        <v>0</v>
      </c>
    </row>
    <row r="187" spans="1:62" x14ac:dyDescent="0.2">
      <c r="A187" s="5" t="s">
        <v>858</v>
      </c>
      <c r="B187" s="6">
        <v>45068</v>
      </c>
      <c r="C187" s="7">
        <v>33.755966999999998</v>
      </c>
      <c r="D187" s="7">
        <v>-112.74190299999999</v>
      </c>
      <c r="E187" s="17">
        <v>519</v>
      </c>
      <c r="F187" t="s">
        <v>1694</v>
      </c>
      <c r="G187" t="s">
        <v>1694</v>
      </c>
      <c r="H187" t="s">
        <v>1694</v>
      </c>
      <c r="I187">
        <v>0</v>
      </c>
      <c r="J187" s="6" t="s">
        <v>1697</v>
      </c>
      <c r="K187" s="6" t="s">
        <v>1697</v>
      </c>
      <c r="L187" s="6" t="s">
        <v>1697</v>
      </c>
      <c r="M187" s="6" t="s">
        <v>1697</v>
      </c>
      <c r="N187" s="6" t="s">
        <v>1697</v>
      </c>
      <c r="O187" s="6" t="s">
        <v>1697</v>
      </c>
      <c r="P187" s="6" t="s">
        <v>1697</v>
      </c>
      <c r="Q187" s="6" t="s">
        <v>1697</v>
      </c>
      <c r="R187" s="6" t="s">
        <v>1697</v>
      </c>
      <c r="S187" s="6" t="s">
        <v>1697</v>
      </c>
      <c r="T187" s="6" t="s">
        <v>1697</v>
      </c>
      <c r="U187" s="6" t="s">
        <v>1697</v>
      </c>
      <c r="V187" s="6" t="s">
        <v>1697</v>
      </c>
      <c r="W187" s="6" t="s">
        <v>1697</v>
      </c>
      <c r="X187" s="6" t="s">
        <v>1697</v>
      </c>
      <c r="Y187" s="6" t="s">
        <v>1697</v>
      </c>
      <c r="Z187" s="6" t="s">
        <v>1697</v>
      </c>
      <c r="AA187" s="6" t="s">
        <v>1697</v>
      </c>
      <c r="AB187" s="6" t="s">
        <v>1697</v>
      </c>
      <c r="AC187" s="6" t="s">
        <v>1697</v>
      </c>
      <c r="AD187" s="6" t="s">
        <v>1697</v>
      </c>
      <c r="AE187" s="6" t="s">
        <v>1697</v>
      </c>
      <c r="AF187" s="6" t="s">
        <v>1697</v>
      </c>
      <c r="AG187" s="6" t="s">
        <v>1697</v>
      </c>
      <c r="AH187" s="6" t="s">
        <v>1697</v>
      </c>
      <c r="AI187" s="6" t="s">
        <v>1697</v>
      </c>
      <c r="AJ187" t="s">
        <v>1694</v>
      </c>
      <c r="AK187" t="s">
        <v>1694</v>
      </c>
      <c r="AL187" t="s">
        <v>1694</v>
      </c>
      <c r="AM187" t="s">
        <v>1694</v>
      </c>
      <c r="AN187" t="s">
        <v>1694</v>
      </c>
      <c r="AO187" t="s">
        <v>1694</v>
      </c>
      <c r="AP187" t="s">
        <v>1697</v>
      </c>
      <c r="AQ187" t="s">
        <v>1697</v>
      </c>
      <c r="AR187" t="s">
        <v>1694</v>
      </c>
      <c r="AS187" t="s">
        <v>1694</v>
      </c>
      <c r="AT187" t="s">
        <v>1694</v>
      </c>
      <c r="AU187" t="s">
        <v>1695</v>
      </c>
      <c r="AV187" t="s">
        <v>1694</v>
      </c>
      <c r="AW187" t="s">
        <v>1694</v>
      </c>
      <c r="AX187" t="s">
        <v>1695</v>
      </c>
      <c r="AY187" t="s">
        <v>1694</v>
      </c>
      <c r="AZ187" t="s">
        <v>1694</v>
      </c>
      <c r="BA187" t="s">
        <v>1694</v>
      </c>
      <c r="BB187" t="s">
        <v>1695</v>
      </c>
      <c r="BC187" t="s">
        <v>1694</v>
      </c>
      <c r="BD187" t="s">
        <v>1694</v>
      </c>
      <c r="BE187" t="s">
        <v>1695</v>
      </c>
      <c r="BF187" t="s">
        <v>1694</v>
      </c>
      <c r="BG187" s="6" t="s">
        <v>1697</v>
      </c>
      <c r="BH187" s="6" t="s">
        <v>1697</v>
      </c>
      <c r="BI187" t="b">
        <v>0</v>
      </c>
      <c r="BJ187">
        <f t="shared" si="2"/>
        <v>0</v>
      </c>
    </row>
    <row r="188" spans="1:62" x14ac:dyDescent="0.2">
      <c r="A188" s="5" t="s">
        <v>41</v>
      </c>
      <c r="B188" s="6">
        <v>38454</v>
      </c>
      <c r="C188" s="7">
        <v>33.595649999999999</v>
      </c>
      <c r="D188" s="7">
        <v>-112.717789</v>
      </c>
      <c r="E188" s="17">
        <v>401</v>
      </c>
      <c r="F188" t="s">
        <v>1694</v>
      </c>
      <c r="G188" t="s">
        <v>1694</v>
      </c>
      <c r="H188" t="s">
        <v>1748</v>
      </c>
      <c r="I188">
        <v>0</v>
      </c>
      <c r="J188" s="8" t="s">
        <v>1697</v>
      </c>
      <c r="K188" s="8" t="s">
        <v>1697</v>
      </c>
      <c r="L188" s="8" t="s">
        <v>1697</v>
      </c>
      <c r="M188" s="8">
        <v>2.602776060153102</v>
      </c>
      <c r="N188" s="8">
        <v>1.9604273262533791</v>
      </c>
      <c r="O188" s="8">
        <v>1.2716420179605159</v>
      </c>
      <c r="P188" s="8">
        <v>0.70876987949160608</v>
      </c>
      <c r="Q188" s="8">
        <v>12.260606288062377</v>
      </c>
      <c r="R188" s="8">
        <v>11.440159463547568</v>
      </c>
      <c r="S188" s="8">
        <v>0.35499999999999998</v>
      </c>
      <c r="T188" s="8">
        <v>0.23599999999999999</v>
      </c>
      <c r="U188" s="8">
        <v>0.16200000000000001</v>
      </c>
      <c r="V188" s="8">
        <v>0.16900000000000001</v>
      </c>
      <c r="W188" s="8">
        <v>0.19299999999999998</v>
      </c>
      <c r="X188" s="8">
        <v>6.6999999999999976E-2</v>
      </c>
      <c r="Y188" s="8">
        <v>1.6414141414141512</v>
      </c>
      <c r="Z188" s="8">
        <v>0.97205346294046269</v>
      </c>
      <c r="AA188" s="8">
        <v>9.1300000000000008</v>
      </c>
      <c r="AB188">
        <v>8.5000000000000006E-2</v>
      </c>
      <c r="AC188" s="8">
        <v>0.88383838383838742</v>
      </c>
      <c r="AD188" s="8">
        <v>2.1871202916160573</v>
      </c>
      <c r="AE188" s="8">
        <v>2.4E-2</v>
      </c>
      <c r="AF188" s="8">
        <v>1.0999999999999999E-2</v>
      </c>
      <c r="AG188" s="8">
        <v>1.4749965685536766</v>
      </c>
      <c r="AH188" s="8">
        <v>14.791666666666666</v>
      </c>
      <c r="AI188" s="8">
        <v>9.8333333333333321</v>
      </c>
      <c r="AJ188" t="s">
        <v>1694</v>
      </c>
      <c r="AK188" t="s">
        <v>1694</v>
      </c>
      <c r="AL188" t="s">
        <v>1694</v>
      </c>
      <c r="AM188" t="s">
        <v>1694</v>
      </c>
      <c r="AN188" t="s">
        <v>1694</v>
      </c>
      <c r="AO188" t="s">
        <v>1694</v>
      </c>
      <c r="AP188" t="s">
        <v>1695</v>
      </c>
      <c r="AQ188" t="s">
        <v>1694</v>
      </c>
      <c r="AR188" t="s">
        <v>1694</v>
      </c>
      <c r="AS188" t="s">
        <v>1694</v>
      </c>
      <c r="AT188" t="s">
        <v>1694</v>
      </c>
      <c r="AU188" t="s">
        <v>1716</v>
      </c>
      <c r="AV188" t="s">
        <v>1719</v>
      </c>
      <c r="AW188" t="s">
        <v>1694</v>
      </c>
      <c r="AX188" t="s">
        <v>1716</v>
      </c>
      <c r="AY188" t="s">
        <v>1719</v>
      </c>
      <c r="AZ188" t="s">
        <v>1694</v>
      </c>
      <c r="BA188" t="s">
        <v>1694</v>
      </c>
      <c r="BB188" t="s">
        <v>1716</v>
      </c>
      <c r="BC188" t="s">
        <v>1719</v>
      </c>
      <c r="BD188" t="s">
        <v>1694</v>
      </c>
      <c r="BE188" t="s">
        <v>1716</v>
      </c>
      <c r="BF188" t="s">
        <v>1719</v>
      </c>
      <c r="BG188" t="s">
        <v>1697</v>
      </c>
      <c r="BH188" t="s">
        <v>1698</v>
      </c>
      <c r="BI188" t="b">
        <v>0</v>
      </c>
      <c r="BJ188">
        <f t="shared" si="2"/>
        <v>0</v>
      </c>
    </row>
    <row r="189" spans="1:62" x14ac:dyDescent="0.2">
      <c r="A189" s="5" t="s">
        <v>41</v>
      </c>
      <c r="B189" s="6">
        <v>40274</v>
      </c>
      <c r="C189" s="7">
        <v>33.595649999999999</v>
      </c>
      <c r="D189" s="7">
        <v>-112.717789</v>
      </c>
      <c r="E189" s="17">
        <v>401</v>
      </c>
      <c r="F189" t="s">
        <v>1694</v>
      </c>
      <c r="G189" t="s">
        <v>1694</v>
      </c>
      <c r="H189" t="s">
        <v>1748</v>
      </c>
      <c r="I189">
        <v>0</v>
      </c>
      <c r="J189" s="8">
        <v>2.1546651942596138</v>
      </c>
      <c r="K189" s="8">
        <v>93.342217467505904</v>
      </c>
      <c r="L189" s="8">
        <v>4.5031173382344889</v>
      </c>
      <c r="M189" s="8">
        <v>0.71022858141278722</v>
      </c>
      <c r="N189" s="8">
        <v>5.0000000000000001E-3</v>
      </c>
      <c r="O189" s="8">
        <v>0.51843689698064221</v>
      </c>
      <c r="P189" s="8">
        <v>0.60316951117115514</v>
      </c>
      <c r="Q189" s="8">
        <v>16.857436810828204</v>
      </c>
      <c r="R189" s="8">
        <v>7.4993773655277929</v>
      </c>
      <c r="S189" s="8">
        <v>0.85699999999999998</v>
      </c>
      <c r="T189" s="8">
        <v>0.14499999999999999</v>
      </c>
      <c r="U189" s="8">
        <v>0.20200000000000001</v>
      </c>
      <c r="V189" s="8">
        <v>7.0999999999999994E-2</v>
      </c>
      <c r="W189" s="8">
        <v>0.65500000000000003</v>
      </c>
      <c r="X189" s="8">
        <v>7.3999999999999996E-2</v>
      </c>
      <c r="Y189" s="8">
        <v>2.1689497716894919</v>
      </c>
      <c r="Z189" s="8">
        <v>1.3530135301353161</v>
      </c>
      <c r="AA189" s="8">
        <v>8.83</v>
      </c>
      <c r="AB189">
        <v>5.2999999999999999E-2</v>
      </c>
      <c r="AC189" s="8">
        <v>1.0273972602739709</v>
      </c>
      <c r="AD189" s="8">
        <v>2.5830258302582907</v>
      </c>
      <c r="AE189" s="8">
        <v>6.3E-2</v>
      </c>
      <c r="AF189" s="8">
        <v>6.0000000000000001E-3</v>
      </c>
      <c r="AG189" s="8">
        <v>1.5113144099421585</v>
      </c>
      <c r="AH189" s="8">
        <v>13.603174603174603</v>
      </c>
      <c r="AI189" s="8">
        <v>2.3015873015873014</v>
      </c>
      <c r="AJ189" t="s">
        <v>1694</v>
      </c>
      <c r="AK189" t="s">
        <v>1694</v>
      </c>
      <c r="AL189" t="s">
        <v>1694</v>
      </c>
      <c r="AM189" t="s">
        <v>1694</v>
      </c>
      <c r="AN189" t="s">
        <v>1694</v>
      </c>
      <c r="AO189" t="s">
        <v>1694</v>
      </c>
      <c r="AP189" t="s">
        <v>1695</v>
      </c>
      <c r="AQ189" t="s">
        <v>1694</v>
      </c>
      <c r="AR189" t="s">
        <v>1694</v>
      </c>
      <c r="AS189" t="s">
        <v>1694</v>
      </c>
      <c r="AT189" t="s">
        <v>1694</v>
      </c>
      <c r="AU189" t="s">
        <v>1716</v>
      </c>
      <c r="AV189" t="s">
        <v>1719</v>
      </c>
      <c r="AW189" t="s">
        <v>1694</v>
      </c>
      <c r="AX189" t="s">
        <v>1716</v>
      </c>
      <c r="AY189" t="s">
        <v>1719</v>
      </c>
      <c r="AZ189" t="s">
        <v>1694</v>
      </c>
      <c r="BA189" t="s">
        <v>1694</v>
      </c>
      <c r="BB189" t="s">
        <v>1716</v>
      </c>
      <c r="BC189" t="s">
        <v>1719</v>
      </c>
      <c r="BD189" t="s">
        <v>1694</v>
      </c>
      <c r="BE189" t="s">
        <v>1716</v>
      </c>
      <c r="BF189" t="s">
        <v>1719</v>
      </c>
      <c r="BG189" t="s">
        <v>1697</v>
      </c>
      <c r="BH189" t="s">
        <v>1698</v>
      </c>
      <c r="BI189" t="b">
        <v>0</v>
      </c>
      <c r="BJ189">
        <f t="shared" si="2"/>
        <v>0</v>
      </c>
    </row>
    <row r="190" spans="1:62" x14ac:dyDescent="0.2">
      <c r="A190" s="5" t="s">
        <v>41</v>
      </c>
      <c r="B190" s="6">
        <v>42095</v>
      </c>
      <c r="C190" s="7">
        <v>33.595649999999999</v>
      </c>
      <c r="D190" s="7">
        <v>-112.717789</v>
      </c>
      <c r="E190" s="17">
        <v>401</v>
      </c>
      <c r="F190" t="s">
        <v>1694</v>
      </c>
      <c r="G190" t="s">
        <v>1694</v>
      </c>
      <c r="H190" t="s">
        <v>1748</v>
      </c>
      <c r="I190">
        <v>0</v>
      </c>
      <c r="J190">
        <v>4.1334606716628999</v>
      </c>
      <c r="K190">
        <v>95.466344914626802</v>
      </c>
      <c r="L190">
        <v>0.40019441371028103</v>
      </c>
      <c r="M190">
        <v>2.61816239332832</v>
      </c>
      <c r="N190">
        <v>2.4004663663102499</v>
      </c>
      <c r="O190">
        <v>2.0197252748532799</v>
      </c>
      <c r="P190">
        <v>2.47432686988902</v>
      </c>
      <c r="Q190">
        <v>3.7766031651902301</v>
      </c>
      <c r="R190">
        <v>2.7157700719564399</v>
      </c>
      <c r="S190">
        <v>0.29499999999999998</v>
      </c>
      <c r="T190">
        <v>0.28799999999999998</v>
      </c>
      <c r="U190">
        <v>0.13</v>
      </c>
      <c r="V190">
        <v>8.5999999999999993E-2</v>
      </c>
      <c r="W190">
        <v>0.16500000000000001</v>
      </c>
      <c r="X190">
        <v>0.20200000000000001</v>
      </c>
      <c r="Y190">
        <v>0.61199510403917601</v>
      </c>
      <c r="Z190">
        <v>0.77777777777778101</v>
      </c>
      <c r="AA190">
        <v>8.27</v>
      </c>
      <c r="AB190">
        <v>0.152</v>
      </c>
      <c r="AC190">
        <v>0.84745762711865602</v>
      </c>
      <c r="AD190">
        <v>0.89418777943368899</v>
      </c>
      <c r="AE190">
        <v>5.3999999999999999E-2</v>
      </c>
      <c r="AF190">
        <v>5.0999999999999997E-2</v>
      </c>
      <c r="AG190">
        <v>1.5727757450922026</v>
      </c>
      <c r="AH190">
        <v>5.4629629629629601</v>
      </c>
      <c r="AI190">
        <v>5.6470588235294104</v>
      </c>
      <c r="AJ190" t="s">
        <v>1694</v>
      </c>
      <c r="AK190" t="s">
        <v>1694</v>
      </c>
      <c r="AL190" t="s">
        <v>1694</v>
      </c>
      <c r="AM190" t="s">
        <v>1694</v>
      </c>
      <c r="AN190" t="s">
        <v>1694</v>
      </c>
      <c r="AO190" t="s">
        <v>1694</v>
      </c>
      <c r="AP190" t="s">
        <v>1697</v>
      </c>
      <c r="AQ190" t="s">
        <v>1697</v>
      </c>
      <c r="AR190" t="s">
        <v>1694</v>
      </c>
      <c r="AS190" t="s">
        <v>1694</v>
      </c>
      <c r="AT190" t="s">
        <v>1694</v>
      </c>
      <c r="AU190" t="s">
        <v>1716</v>
      </c>
      <c r="AV190" t="s">
        <v>1719</v>
      </c>
      <c r="AW190" t="s">
        <v>1694</v>
      </c>
      <c r="AX190" t="s">
        <v>1716</v>
      </c>
      <c r="AY190" t="s">
        <v>1719</v>
      </c>
      <c r="AZ190" t="s">
        <v>1694</v>
      </c>
      <c r="BA190" t="s">
        <v>1694</v>
      </c>
      <c r="BB190" t="s">
        <v>1716</v>
      </c>
      <c r="BC190" t="s">
        <v>1719</v>
      </c>
      <c r="BD190" t="s">
        <v>1694</v>
      </c>
      <c r="BE190" t="s">
        <v>1716</v>
      </c>
      <c r="BF190" t="s">
        <v>1719</v>
      </c>
      <c r="BG190" t="s">
        <v>1697</v>
      </c>
      <c r="BH190" t="s">
        <v>1698</v>
      </c>
      <c r="BI190" t="b">
        <v>0</v>
      </c>
      <c r="BJ190">
        <f t="shared" si="2"/>
        <v>0</v>
      </c>
    </row>
    <row r="191" spans="1:62" x14ac:dyDescent="0.2">
      <c r="A191" s="5" t="s">
        <v>41</v>
      </c>
      <c r="B191" s="6">
        <v>45015</v>
      </c>
      <c r="C191" s="7">
        <v>33.595649999999999</v>
      </c>
      <c r="D191" s="7">
        <v>-112.717789</v>
      </c>
      <c r="E191" s="17">
        <v>401</v>
      </c>
      <c r="F191" t="s">
        <v>1694</v>
      </c>
      <c r="G191" t="s">
        <v>1694</v>
      </c>
      <c r="H191" t="s">
        <v>1694</v>
      </c>
      <c r="I191">
        <v>0</v>
      </c>
      <c r="J191" s="6" t="s">
        <v>1697</v>
      </c>
      <c r="K191" s="6" t="s">
        <v>1697</v>
      </c>
      <c r="L191" s="6" t="s">
        <v>1697</v>
      </c>
      <c r="M191" s="6" t="s">
        <v>1697</v>
      </c>
      <c r="N191" s="6" t="s">
        <v>1697</v>
      </c>
      <c r="O191" s="6" t="s">
        <v>1697</v>
      </c>
      <c r="P191" s="6" t="s">
        <v>1697</v>
      </c>
      <c r="Q191" s="6" t="s">
        <v>1697</v>
      </c>
      <c r="R191" s="6" t="s">
        <v>1697</v>
      </c>
      <c r="S191" s="6" t="s">
        <v>1697</v>
      </c>
      <c r="T191" s="6" t="s">
        <v>1697</v>
      </c>
      <c r="U191" s="6" t="s">
        <v>1697</v>
      </c>
      <c r="V191" s="6" t="s">
        <v>1697</v>
      </c>
      <c r="W191" s="6" t="s">
        <v>1697</v>
      </c>
      <c r="X191" s="6" t="s">
        <v>1697</v>
      </c>
      <c r="Y191" s="6" t="s">
        <v>1697</v>
      </c>
      <c r="Z191" s="6" t="s">
        <v>1697</v>
      </c>
      <c r="AA191" s="6" t="s">
        <v>1697</v>
      </c>
      <c r="AB191" s="6" t="s">
        <v>1697</v>
      </c>
      <c r="AC191" s="6" t="s">
        <v>1697</v>
      </c>
      <c r="AD191" s="6" t="s">
        <v>1697</v>
      </c>
      <c r="AE191" s="6" t="s">
        <v>1697</v>
      </c>
      <c r="AF191" s="6" t="s">
        <v>1697</v>
      </c>
      <c r="AG191" s="6" t="s">
        <v>1697</v>
      </c>
      <c r="AH191" s="6" t="s">
        <v>1697</v>
      </c>
      <c r="AI191" s="6" t="s">
        <v>1697</v>
      </c>
      <c r="AJ191" t="s">
        <v>1694</v>
      </c>
      <c r="AK191" t="s">
        <v>1694</v>
      </c>
      <c r="AL191" t="s">
        <v>1694</v>
      </c>
      <c r="AM191" t="s">
        <v>1694</v>
      </c>
      <c r="AN191" t="s">
        <v>1694</v>
      </c>
      <c r="AO191" t="s">
        <v>1694</v>
      </c>
      <c r="AP191" t="s">
        <v>1697</v>
      </c>
      <c r="AQ191" t="s">
        <v>1697</v>
      </c>
      <c r="AR191" t="s">
        <v>1694</v>
      </c>
      <c r="AS191" t="s">
        <v>1694</v>
      </c>
      <c r="AT191" t="s">
        <v>1694</v>
      </c>
      <c r="AU191" t="s">
        <v>1716</v>
      </c>
      <c r="AV191" t="s">
        <v>1719</v>
      </c>
      <c r="AW191" t="s">
        <v>1694</v>
      </c>
      <c r="AX191" t="s">
        <v>1716</v>
      </c>
      <c r="AY191" t="s">
        <v>1719</v>
      </c>
      <c r="AZ191" t="s">
        <v>1694</v>
      </c>
      <c r="BA191" t="s">
        <v>1694</v>
      </c>
      <c r="BB191" t="s">
        <v>1716</v>
      </c>
      <c r="BC191" t="s">
        <v>1719</v>
      </c>
      <c r="BD191" t="s">
        <v>1694</v>
      </c>
      <c r="BE191" t="s">
        <v>1716</v>
      </c>
      <c r="BF191" t="s">
        <v>1719</v>
      </c>
      <c r="BG191" s="6" t="s">
        <v>1697</v>
      </c>
      <c r="BH191" s="6" t="s">
        <v>1697</v>
      </c>
      <c r="BI191" t="b">
        <v>1</v>
      </c>
      <c r="BJ191">
        <f t="shared" si="2"/>
        <v>1</v>
      </c>
    </row>
    <row r="192" spans="1:62" x14ac:dyDescent="0.2">
      <c r="A192" s="5" t="s">
        <v>42</v>
      </c>
      <c r="B192" s="6">
        <v>36616</v>
      </c>
      <c r="C192" s="7">
        <v>33.509588999999998</v>
      </c>
      <c r="D192" s="7">
        <v>-112.719183</v>
      </c>
      <c r="E192" s="17">
        <v>362</v>
      </c>
      <c r="F192" t="s">
        <v>1694</v>
      </c>
      <c r="G192" t="s">
        <v>1694</v>
      </c>
      <c r="H192" t="s">
        <v>1694</v>
      </c>
      <c r="I192">
        <v>0</v>
      </c>
      <c r="J192" s="8">
        <v>15.552688936506847</v>
      </c>
      <c r="K192" s="8">
        <v>59.610535920284562</v>
      </c>
      <c r="L192" s="8">
        <v>24.836775143208598</v>
      </c>
      <c r="M192" s="8">
        <v>4.1435618169962485</v>
      </c>
      <c r="N192" s="8">
        <v>3.5209296739175304</v>
      </c>
      <c r="O192" s="8">
        <v>3.582284583878621</v>
      </c>
      <c r="P192" s="8">
        <v>3.544516547008016</v>
      </c>
      <c r="Q192" s="8">
        <v>8.1156751385529731</v>
      </c>
      <c r="R192" s="8">
        <v>2.5000000000000001E-3</v>
      </c>
      <c r="S192" s="8">
        <v>0.48399999999999999</v>
      </c>
      <c r="T192" s="8">
        <v>0.747</v>
      </c>
      <c r="U192" s="8">
        <v>0.23200000000000001</v>
      </c>
      <c r="V192" s="8">
        <v>0.70699999999999996</v>
      </c>
      <c r="W192" s="8">
        <v>0.252</v>
      </c>
      <c r="X192" s="8">
        <v>0.04</v>
      </c>
      <c r="Y192" s="8">
        <v>1.75837</v>
      </c>
      <c r="Z192" s="8">
        <v>1.8343499999999999</v>
      </c>
      <c r="AA192" s="9">
        <v>8.6300000000000008</v>
      </c>
      <c r="AB192" s="10">
        <v>0.25750000000000001</v>
      </c>
      <c r="AC192" s="8">
        <v>3.7563</v>
      </c>
      <c r="AD192" s="8">
        <v>5.80762</v>
      </c>
      <c r="AE192" s="8">
        <v>4.9000000000000002E-2</v>
      </c>
      <c r="AF192" s="8">
        <v>2.8000000000000001E-2</v>
      </c>
      <c r="AG192" s="8">
        <v>1.604309952416294</v>
      </c>
      <c r="AH192" s="8">
        <v>9.8775510204081627</v>
      </c>
      <c r="AI192" s="8">
        <v>15.244897959183673</v>
      </c>
      <c r="AJ192" t="s">
        <v>1694</v>
      </c>
      <c r="AK192" t="s">
        <v>1694</v>
      </c>
      <c r="AL192" t="s">
        <v>1694</v>
      </c>
      <c r="AM192" t="s">
        <v>1694</v>
      </c>
      <c r="AN192" t="s">
        <v>1694</v>
      </c>
      <c r="AO192" t="s">
        <v>1694</v>
      </c>
      <c r="AP192" t="s">
        <v>1695</v>
      </c>
      <c r="AQ192" t="s">
        <v>1694</v>
      </c>
      <c r="AR192" t="s">
        <v>1694</v>
      </c>
      <c r="AS192" t="s">
        <v>1694</v>
      </c>
      <c r="AT192" t="s">
        <v>1694</v>
      </c>
      <c r="AU192" t="s">
        <v>1695</v>
      </c>
      <c r="AV192" t="s">
        <v>1694</v>
      </c>
      <c r="AW192" t="s">
        <v>1694</v>
      </c>
      <c r="AX192" t="s">
        <v>1695</v>
      </c>
      <c r="AY192" t="s">
        <v>1694</v>
      </c>
      <c r="AZ192" t="s">
        <v>1694</v>
      </c>
      <c r="BA192" t="s">
        <v>1694</v>
      </c>
      <c r="BB192" t="s">
        <v>1695</v>
      </c>
      <c r="BC192" t="s">
        <v>1694</v>
      </c>
      <c r="BD192" t="s">
        <v>1694</v>
      </c>
      <c r="BE192" t="s">
        <v>1695</v>
      </c>
      <c r="BF192" t="s">
        <v>1694</v>
      </c>
      <c r="BG192" t="s">
        <v>1697</v>
      </c>
      <c r="BH192" t="s">
        <v>1698</v>
      </c>
      <c r="BI192" t="b">
        <v>0</v>
      </c>
      <c r="BJ192">
        <f t="shared" si="2"/>
        <v>0</v>
      </c>
    </row>
    <row r="193" spans="1:62" x14ac:dyDescent="0.2">
      <c r="A193" s="5" t="s">
        <v>42</v>
      </c>
      <c r="B193" s="6">
        <v>38454</v>
      </c>
      <c r="C193" s="7">
        <v>33.509588999999998</v>
      </c>
      <c r="D193" s="7">
        <v>-112.719183</v>
      </c>
      <c r="E193" s="17">
        <v>362</v>
      </c>
      <c r="F193" t="s">
        <v>1694</v>
      </c>
      <c r="G193" t="s">
        <v>1694</v>
      </c>
      <c r="H193" t="s">
        <v>1694</v>
      </c>
      <c r="I193">
        <v>0</v>
      </c>
      <c r="J193" s="8">
        <v>6.9940294090151367</v>
      </c>
      <c r="K193" s="8">
        <v>70.234735415399797</v>
      </c>
      <c r="L193" s="8">
        <v>22.771235175585062</v>
      </c>
      <c r="M193" s="8">
        <v>1.5723991109885087</v>
      </c>
      <c r="N193" s="8">
        <v>1.1662945066744761</v>
      </c>
      <c r="O193" s="8">
        <v>0.23585986664827635</v>
      </c>
      <c r="P193" s="8">
        <v>0.40091373666935121</v>
      </c>
      <c r="Q193" s="8">
        <v>13.485412615681891</v>
      </c>
      <c r="R193" s="8">
        <v>3.1664104253605689</v>
      </c>
      <c r="S193" s="8">
        <v>0.371</v>
      </c>
      <c r="T193" s="8">
        <v>0.61899999999999999</v>
      </c>
      <c r="U193" s="8">
        <v>0.13800000000000001</v>
      </c>
      <c r="V193" s="8">
        <v>0.60199999999999998</v>
      </c>
      <c r="W193" s="8">
        <v>0.23299999999999998</v>
      </c>
      <c r="X193" s="8">
        <v>1.7000000000000015E-2</v>
      </c>
      <c r="Y193" s="8">
        <v>2.2845275181723665</v>
      </c>
      <c r="Z193" s="8">
        <v>2.4444444444444318</v>
      </c>
      <c r="AA193" s="8">
        <v>8.56</v>
      </c>
      <c r="AB193">
        <v>0.13100000000000001</v>
      </c>
      <c r="AC193" s="8">
        <v>1.9730010384216128</v>
      </c>
      <c r="AD193" s="8">
        <v>4.0000000000000133</v>
      </c>
      <c r="AE193" s="8">
        <v>2.7E-2</v>
      </c>
      <c r="AF193" s="8">
        <v>1.7000000000000001E-2</v>
      </c>
      <c r="AG193" s="8">
        <v>1.3951069528612983</v>
      </c>
      <c r="AH193" s="8">
        <v>13.74074074074074</v>
      </c>
      <c r="AI193" s="8">
        <v>22.925925925925927</v>
      </c>
      <c r="AJ193" t="s">
        <v>1694</v>
      </c>
      <c r="AK193" t="s">
        <v>1694</v>
      </c>
      <c r="AL193" t="s">
        <v>1694</v>
      </c>
      <c r="AM193" t="s">
        <v>1694</v>
      </c>
      <c r="AN193" t="s">
        <v>1694</v>
      </c>
      <c r="AO193" t="s">
        <v>1694</v>
      </c>
      <c r="AP193" t="s">
        <v>1695</v>
      </c>
      <c r="AQ193" t="s">
        <v>1694</v>
      </c>
      <c r="AR193" t="s">
        <v>1694</v>
      </c>
      <c r="AS193" t="s">
        <v>1694</v>
      </c>
      <c r="AT193" t="s">
        <v>1694</v>
      </c>
      <c r="AU193" t="s">
        <v>1695</v>
      </c>
      <c r="AV193" t="s">
        <v>1694</v>
      </c>
      <c r="AW193" t="s">
        <v>1694</v>
      </c>
      <c r="AX193" t="s">
        <v>1695</v>
      </c>
      <c r="AY193" t="s">
        <v>1694</v>
      </c>
      <c r="AZ193" t="s">
        <v>1694</v>
      </c>
      <c r="BA193" t="s">
        <v>1694</v>
      </c>
      <c r="BB193" t="s">
        <v>1695</v>
      </c>
      <c r="BC193" t="s">
        <v>1694</v>
      </c>
      <c r="BD193" t="s">
        <v>1694</v>
      </c>
      <c r="BE193" t="s">
        <v>1695</v>
      </c>
      <c r="BF193" t="s">
        <v>1694</v>
      </c>
      <c r="BG193" t="s">
        <v>1697</v>
      </c>
      <c r="BH193" t="s">
        <v>1698</v>
      </c>
      <c r="BI193" t="b">
        <v>0</v>
      </c>
      <c r="BJ193">
        <f t="shared" si="2"/>
        <v>0</v>
      </c>
    </row>
    <row r="194" spans="1:62" x14ac:dyDescent="0.2">
      <c r="A194" s="5" t="s">
        <v>42</v>
      </c>
      <c r="B194" s="6">
        <v>40290</v>
      </c>
      <c r="C194" s="7">
        <v>33.509588999999998</v>
      </c>
      <c r="D194" s="7">
        <v>-112.719183</v>
      </c>
      <c r="E194" s="17">
        <v>362</v>
      </c>
      <c r="F194" t="s">
        <v>1694</v>
      </c>
      <c r="G194" t="s">
        <v>1694</v>
      </c>
      <c r="H194" t="s">
        <v>1694</v>
      </c>
      <c r="I194">
        <v>0</v>
      </c>
      <c r="J194" s="8">
        <v>4.0168897600317379</v>
      </c>
      <c r="K194" s="8">
        <v>62.740334671359157</v>
      </c>
      <c r="L194" s="8">
        <v>33.242775568609105</v>
      </c>
      <c r="M194" s="8">
        <v>0.50450280890609345</v>
      </c>
      <c r="N194" s="8">
        <v>0.12165501253116003</v>
      </c>
      <c r="O194" s="8">
        <v>0.640920368434301</v>
      </c>
      <c r="P194" s="8">
        <v>0.20489265268405901</v>
      </c>
      <c r="Q194" s="8">
        <v>11.338797910975137</v>
      </c>
      <c r="R194" s="8">
        <v>2.5000000000000001E-3</v>
      </c>
      <c r="S194" s="8">
        <v>0.44800000000000001</v>
      </c>
      <c r="T194" s="8">
        <v>0.61799999999999999</v>
      </c>
      <c r="U194" s="8">
        <v>0.152</v>
      </c>
      <c r="V194" s="8">
        <v>0.434</v>
      </c>
      <c r="W194" s="8">
        <v>0.29600000000000004</v>
      </c>
      <c r="X194" s="8">
        <v>0.184</v>
      </c>
      <c r="Y194" s="8">
        <v>2.5412960609911188</v>
      </c>
      <c r="Z194" s="8">
        <v>2.6315789473684195</v>
      </c>
      <c r="AA194" s="8">
        <v>8.48</v>
      </c>
      <c r="AB194">
        <v>0.153</v>
      </c>
      <c r="AC194" s="8">
        <v>1.2706480304955481</v>
      </c>
      <c r="AD194" s="8">
        <v>2.0123839009287767</v>
      </c>
      <c r="AE194" s="8">
        <v>3.7999999999999999E-2</v>
      </c>
      <c r="AF194" s="8">
        <v>2.5999999999999999E-2</v>
      </c>
      <c r="AG194" s="8">
        <v>1.5881061749385996</v>
      </c>
      <c r="AH194" s="8">
        <v>11.789473684210527</v>
      </c>
      <c r="AI194" s="8">
        <v>16.263157894736842</v>
      </c>
      <c r="AJ194" t="s">
        <v>1694</v>
      </c>
      <c r="AK194" t="s">
        <v>1694</v>
      </c>
      <c r="AL194" t="s">
        <v>1694</v>
      </c>
      <c r="AM194" t="s">
        <v>1694</v>
      </c>
      <c r="AN194" t="s">
        <v>1694</v>
      </c>
      <c r="AO194" t="s">
        <v>1694</v>
      </c>
      <c r="AP194" t="s">
        <v>1695</v>
      </c>
      <c r="AQ194" t="s">
        <v>1694</v>
      </c>
      <c r="AR194" t="s">
        <v>1694</v>
      </c>
      <c r="AS194" t="s">
        <v>1694</v>
      </c>
      <c r="AT194" t="s">
        <v>1694</v>
      </c>
      <c r="AU194" t="s">
        <v>1695</v>
      </c>
      <c r="AV194" t="s">
        <v>1694</v>
      </c>
      <c r="AW194" t="s">
        <v>1694</v>
      </c>
      <c r="AX194" t="s">
        <v>1695</v>
      </c>
      <c r="AY194" t="s">
        <v>1694</v>
      </c>
      <c r="AZ194" t="s">
        <v>1694</v>
      </c>
      <c r="BA194" t="s">
        <v>1694</v>
      </c>
      <c r="BB194" t="s">
        <v>1695</v>
      </c>
      <c r="BC194" t="s">
        <v>1694</v>
      </c>
      <c r="BD194" t="s">
        <v>1694</v>
      </c>
      <c r="BE194" t="s">
        <v>1695</v>
      </c>
      <c r="BF194" t="s">
        <v>1694</v>
      </c>
      <c r="BG194" t="s">
        <v>1697</v>
      </c>
      <c r="BH194" t="s">
        <v>1698</v>
      </c>
      <c r="BI194" t="b">
        <v>0</v>
      </c>
      <c r="BJ194">
        <f t="shared" ref="BJ194:BJ257" si="3">COUNTIF(BI194:BI194,TRUE)</f>
        <v>0</v>
      </c>
    </row>
    <row r="195" spans="1:62" x14ac:dyDescent="0.2">
      <c r="A195" s="5" t="s">
        <v>42</v>
      </c>
      <c r="B195" s="6">
        <v>42094</v>
      </c>
      <c r="C195" s="7">
        <v>33.509588999999998</v>
      </c>
      <c r="D195" s="7">
        <v>-112.719183</v>
      </c>
      <c r="E195" s="17">
        <v>362</v>
      </c>
      <c r="F195" t="s">
        <v>1694</v>
      </c>
      <c r="G195" t="s">
        <v>1694</v>
      </c>
      <c r="H195" t="s">
        <v>1694</v>
      </c>
      <c r="I195">
        <v>0</v>
      </c>
      <c r="J195">
        <v>5.8431413900102998</v>
      </c>
      <c r="K195">
        <v>81.046339587188697</v>
      </c>
      <c r="L195">
        <v>13.110519022801</v>
      </c>
      <c r="M195">
        <v>2.0508233096007999</v>
      </c>
      <c r="N195">
        <v>1.9143927130859999</v>
      </c>
      <c r="O195">
        <v>1.7238504711377101</v>
      </c>
      <c r="P195">
        <v>4.0905827202692304</v>
      </c>
      <c r="Q195">
        <v>2.5729611653961899</v>
      </c>
      <c r="R195">
        <v>1.24337298741538</v>
      </c>
      <c r="S195">
        <v>0.32300000000000001</v>
      </c>
      <c r="T195">
        <v>0.68700000000000006</v>
      </c>
      <c r="U195">
        <v>0.13700000000000001</v>
      </c>
      <c r="V195">
        <v>0.52300000000000002</v>
      </c>
      <c r="W195">
        <v>0.186</v>
      </c>
      <c r="X195">
        <v>0.16400000000000001</v>
      </c>
      <c r="Y195">
        <v>1.6412661195779501</v>
      </c>
      <c r="Z195">
        <v>1.5404364569961499</v>
      </c>
      <c r="AA195">
        <v>8.02</v>
      </c>
      <c r="AB195">
        <v>0.13200000000000001</v>
      </c>
      <c r="AC195">
        <v>1.89873417721521</v>
      </c>
      <c r="AD195">
        <v>1.9819819819819899</v>
      </c>
      <c r="AE195">
        <v>5.8000000000000003E-2</v>
      </c>
      <c r="AF195">
        <v>6.4000000000000001E-2</v>
      </c>
      <c r="AG195">
        <v>1.7301671104188903</v>
      </c>
      <c r="AH195">
        <v>5.5689655172413799</v>
      </c>
      <c r="AI195">
        <v>10.734375</v>
      </c>
      <c r="AJ195" t="s">
        <v>1694</v>
      </c>
      <c r="AK195" t="s">
        <v>1694</v>
      </c>
      <c r="AL195" t="s">
        <v>1694</v>
      </c>
      <c r="AM195" t="s">
        <v>1694</v>
      </c>
      <c r="AN195" t="s">
        <v>1694</v>
      </c>
      <c r="AO195" t="s">
        <v>1694</v>
      </c>
      <c r="AP195" t="s">
        <v>1697</v>
      </c>
      <c r="AQ195" t="s">
        <v>1697</v>
      </c>
      <c r="AR195" t="s">
        <v>1694</v>
      </c>
      <c r="AS195" t="s">
        <v>1694</v>
      </c>
      <c r="AT195" t="s">
        <v>1694</v>
      </c>
      <c r="AU195" t="s">
        <v>1695</v>
      </c>
      <c r="AV195" t="s">
        <v>1694</v>
      </c>
      <c r="AW195" t="s">
        <v>1694</v>
      </c>
      <c r="AX195" t="s">
        <v>1695</v>
      </c>
      <c r="AY195" t="s">
        <v>1694</v>
      </c>
      <c r="AZ195" t="s">
        <v>1694</v>
      </c>
      <c r="BA195" t="s">
        <v>1694</v>
      </c>
      <c r="BB195" t="s">
        <v>1695</v>
      </c>
      <c r="BC195" t="s">
        <v>1694</v>
      </c>
      <c r="BD195" t="s">
        <v>1694</v>
      </c>
      <c r="BE195" t="s">
        <v>1695</v>
      </c>
      <c r="BF195" t="s">
        <v>1694</v>
      </c>
      <c r="BG195" t="s">
        <v>1697</v>
      </c>
      <c r="BH195" t="s">
        <v>1698</v>
      </c>
      <c r="BI195" t="b">
        <v>0</v>
      </c>
      <c r="BJ195">
        <f t="shared" si="3"/>
        <v>0</v>
      </c>
    </row>
    <row r="196" spans="1:62" x14ac:dyDescent="0.2">
      <c r="A196" s="5" t="s">
        <v>42</v>
      </c>
      <c r="B196" s="6">
        <v>45091</v>
      </c>
      <c r="C196" s="7">
        <v>33.509588999999998</v>
      </c>
      <c r="D196" s="7">
        <v>-112.719183</v>
      </c>
      <c r="E196" s="17">
        <v>362</v>
      </c>
      <c r="F196" t="s">
        <v>1694</v>
      </c>
      <c r="G196" t="s">
        <v>1694</v>
      </c>
      <c r="H196" t="s">
        <v>1694</v>
      </c>
      <c r="I196">
        <v>0</v>
      </c>
      <c r="J196" s="6" t="s">
        <v>1697</v>
      </c>
      <c r="K196" s="6" t="s">
        <v>1697</v>
      </c>
      <c r="L196" s="6" t="s">
        <v>1697</v>
      </c>
      <c r="M196" s="6" t="s">
        <v>1697</v>
      </c>
      <c r="N196" s="6" t="s">
        <v>1697</v>
      </c>
      <c r="O196" s="6" t="s">
        <v>1697</v>
      </c>
      <c r="P196" s="6" t="s">
        <v>1697</v>
      </c>
      <c r="Q196" s="6" t="s">
        <v>1697</v>
      </c>
      <c r="R196" s="6" t="s">
        <v>1697</v>
      </c>
      <c r="S196" s="6" t="s">
        <v>1697</v>
      </c>
      <c r="T196" s="6" t="s">
        <v>1697</v>
      </c>
      <c r="U196" s="6" t="s">
        <v>1697</v>
      </c>
      <c r="V196" s="6" t="s">
        <v>1697</v>
      </c>
      <c r="W196" s="6" t="s">
        <v>1697</v>
      </c>
      <c r="X196" s="6" t="s">
        <v>1697</v>
      </c>
      <c r="Y196" s="6" t="s">
        <v>1697</v>
      </c>
      <c r="Z196" s="6" t="s">
        <v>1697</v>
      </c>
      <c r="AA196" s="6" t="s">
        <v>1697</v>
      </c>
      <c r="AB196" s="6" t="s">
        <v>1697</v>
      </c>
      <c r="AC196" s="6" t="s">
        <v>1697</v>
      </c>
      <c r="AD196" s="6" t="s">
        <v>1697</v>
      </c>
      <c r="AE196" s="6" t="s">
        <v>1697</v>
      </c>
      <c r="AF196" s="6" t="s">
        <v>1697</v>
      </c>
      <c r="AG196" s="6" t="s">
        <v>1697</v>
      </c>
      <c r="AH196" s="6" t="s">
        <v>1697</v>
      </c>
      <c r="AI196" s="6" t="s">
        <v>1697</v>
      </c>
      <c r="AJ196" t="s">
        <v>1694</v>
      </c>
      <c r="AK196" t="s">
        <v>1694</v>
      </c>
      <c r="AL196" t="s">
        <v>1694</v>
      </c>
      <c r="AM196" t="s">
        <v>1694</v>
      </c>
      <c r="AN196" t="s">
        <v>1694</v>
      </c>
      <c r="AO196" t="s">
        <v>1694</v>
      </c>
      <c r="AP196" t="s">
        <v>1697</v>
      </c>
      <c r="AQ196" t="s">
        <v>1697</v>
      </c>
      <c r="AR196" t="s">
        <v>1694</v>
      </c>
      <c r="AS196" t="s">
        <v>1694</v>
      </c>
      <c r="AT196" t="s">
        <v>1694</v>
      </c>
      <c r="AU196" t="s">
        <v>1695</v>
      </c>
      <c r="AV196" t="s">
        <v>1694</v>
      </c>
      <c r="AW196" t="s">
        <v>1694</v>
      </c>
      <c r="AX196" t="s">
        <v>1695</v>
      </c>
      <c r="AY196" t="s">
        <v>1694</v>
      </c>
      <c r="AZ196" t="s">
        <v>1694</v>
      </c>
      <c r="BA196" t="s">
        <v>1694</v>
      </c>
      <c r="BB196" t="s">
        <v>1695</v>
      </c>
      <c r="BC196" t="s">
        <v>1694</v>
      </c>
      <c r="BD196" t="s">
        <v>1694</v>
      </c>
      <c r="BE196" t="s">
        <v>1695</v>
      </c>
      <c r="BF196" t="s">
        <v>1694</v>
      </c>
      <c r="BG196" s="6" t="s">
        <v>1697</v>
      </c>
      <c r="BH196" s="6" t="s">
        <v>1697</v>
      </c>
      <c r="BI196" t="b">
        <v>1</v>
      </c>
      <c r="BJ196">
        <f t="shared" si="3"/>
        <v>1</v>
      </c>
    </row>
    <row r="197" spans="1:62" x14ac:dyDescent="0.2">
      <c r="A197" s="5" t="s">
        <v>43</v>
      </c>
      <c r="B197" s="6">
        <v>38464</v>
      </c>
      <c r="C197" s="7">
        <v>33.374378</v>
      </c>
      <c r="D197" s="7">
        <v>-112.703642</v>
      </c>
      <c r="E197" s="17">
        <v>277</v>
      </c>
      <c r="F197" t="s">
        <v>1706</v>
      </c>
      <c r="G197" t="s">
        <v>1724</v>
      </c>
      <c r="H197" t="s">
        <v>1724</v>
      </c>
      <c r="I197">
        <v>1</v>
      </c>
      <c r="J197" s="8">
        <v>14.516858141757023</v>
      </c>
      <c r="K197" s="8">
        <v>67.174094205438848</v>
      </c>
      <c r="L197" s="8">
        <v>18.309047652804125</v>
      </c>
      <c r="M197" s="8" t="s">
        <v>1697</v>
      </c>
      <c r="N197" s="8" t="s">
        <v>1697</v>
      </c>
      <c r="O197" s="8" t="s">
        <v>1697</v>
      </c>
      <c r="P197" s="8" t="s">
        <v>1697</v>
      </c>
      <c r="Q197" s="8">
        <v>9.1444178984151616</v>
      </c>
      <c r="R197" s="8">
        <v>11.563830058152986</v>
      </c>
      <c r="S197" s="8">
        <v>1.377</v>
      </c>
      <c r="T197" s="8">
        <v>1.4950000000000001</v>
      </c>
      <c r="U197" s="8">
        <v>1.093</v>
      </c>
      <c r="V197" s="8">
        <v>1.2649999999999999</v>
      </c>
      <c r="W197" s="8">
        <v>0.28400000000000003</v>
      </c>
      <c r="X197" s="8">
        <v>0.2300000000000002</v>
      </c>
      <c r="Y197" s="8">
        <v>2.290836653386441</v>
      </c>
      <c r="Z197" s="8">
        <v>2.603036876355751</v>
      </c>
      <c r="AA197" s="8">
        <v>8.2899999999999991</v>
      </c>
      <c r="AB197">
        <v>0.316</v>
      </c>
      <c r="AC197" s="8">
        <v>6.5737051792828707</v>
      </c>
      <c r="AD197" s="8">
        <v>2.7114967462039048</v>
      </c>
      <c r="AE197" s="8">
        <v>2.5999999999999999E-2</v>
      </c>
      <c r="AF197" s="8">
        <v>1.7000000000000001E-2</v>
      </c>
      <c r="AG197" s="8">
        <v>1.3973425063127716</v>
      </c>
      <c r="AH197" s="8">
        <v>52.961538461538467</v>
      </c>
      <c r="AI197" s="8">
        <v>57.500000000000007</v>
      </c>
      <c r="AJ197" t="s">
        <v>1694</v>
      </c>
      <c r="AK197" t="s">
        <v>1694</v>
      </c>
      <c r="AL197" t="s">
        <v>1694</v>
      </c>
      <c r="AM197" t="s">
        <v>1694</v>
      </c>
      <c r="AN197" t="s">
        <v>1694</v>
      </c>
      <c r="AO197" t="s">
        <v>1694</v>
      </c>
      <c r="AP197" t="s">
        <v>1697</v>
      </c>
      <c r="AQ197" t="s">
        <v>1697</v>
      </c>
      <c r="AR197" t="s">
        <v>1703</v>
      </c>
      <c r="AS197" t="s">
        <v>1702</v>
      </c>
      <c r="AT197" t="s">
        <v>1703</v>
      </c>
      <c r="AU197" t="s">
        <v>1695</v>
      </c>
      <c r="AV197" t="s">
        <v>1711</v>
      </c>
      <c r="AW197" t="s">
        <v>1711</v>
      </c>
      <c r="AX197" t="s">
        <v>1695</v>
      </c>
      <c r="AY197" t="s">
        <v>1711</v>
      </c>
      <c r="AZ197" t="s">
        <v>1711</v>
      </c>
      <c r="BA197" t="s">
        <v>1702</v>
      </c>
      <c r="BB197" t="s">
        <v>1704</v>
      </c>
      <c r="BC197" t="s">
        <v>1725</v>
      </c>
      <c r="BD197" t="s">
        <v>1703</v>
      </c>
      <c r="BE197" t="s">
        <v>1704</v>
      </c>
      <c r="BF197" t="s">
        <v>1725</v>
      </c>
      <c r="BG197">
        <v>5</v>
      </c>
      <c r="BH197" s="12" t="s">
        <v>1708</v>
      </c>
      <c r="BI197" t="b">
        <v>0</v>
      </c>
      <c r="BJ197">
        <f t="shared" si="3"/>
        <v>0</v>
      </c>
    </row>
    <row r="198" spans="1:62" x14ac:dyDescent="0.2">
      <c r="A198" s="5" t="s">
        <v>43</v>
      </c>
      <c r="B198" s="6">
        <v>40290</v>
      </c>
      <c r="C198" s="7">
        <v>33.374378</v>
      </c>
      <c r="D198" s="7">
        <v>-112.703642</v>
      </c>
      <c r="E198" s="17">
        <v>277</v>
      </c>
      <c r="F198" t="s">
        <v>1706</v>
      </c>
      <c r="G198" t="s">
        <v>1724</v>
      </c>
      <c r="H198" t="s">
        <v>1724</v>
      </c>
      <c r="I198">
        <v>1</v>
      </c>
      <c r="J198" s="8">
        <v>15.377040954258916</v>
      </c>
      <c r="K198" s="8">
        <v>67.447887745659727</v>
      </c>
      <c r="L198" s="8">
        <v>17.175071300081356</v>
      </c>
      <c r="M198" s="8">
        <v>4.0168094850073182</v>
      </c>
      <c r="N198" s="8">
        <v>5.0000000000000001E-3</v>
      </c>
      <c r="O198" s="8">
        <v>223.33145073812793</v>
      </c>
      <c r="P198" s="8">
        <v>96.126715558425985</v>
      </c>
      <c r="Q198" s="8">
        <v>81.972276093046247</v>
      </c>
      <c r="R198" s="8">
        <v>12.391690346868183</v>
      </c>
      <c r="S198" s="8">
        <v>1.9</v>
      </c>
      <c r="T198" s="8">
        <v>1.6160000000000001</v>
      </c>
      <c r="U198" s="8">
        <v>1.33</v>
      </c>
      <c r="V198" s="8">
        <v>1.575</v>
      </c>
      <c r="W198" s="8">
        <v>0.56999999999999984</v>
      </c>
      <c r="X198" s="8">
        <v>4.1000000000000147E-2</v>
      </c>
      <c r="Y198" s="8">
        <v>3.7634408602150531</v>
      </c>
      <c r="Z198" s="8">
        <v>3.3003300330033172</v>
      </c>
      <c r="AA198" s="8">
        <v>7.95</v>
      </c>
      <c r="AB198">
        <v>3.86</v>
      </c>
      <c r="AC198" s="8">
        <v>3.2258064516128981</v>
      </c>
      <c r="AD198" s="8">
        <v>5.6105610561056078</v>
      </c>
      <c r="AE198" s="8">
        <v>6.4000000000000001E-2</v>
      </c>
      <c r="AF198" s="8">
        <v>2.4E-2</v>
      </c>
      <c r="AG198" s="8">
        <v>1.5314668336548278</v>
      </c>
      <c r="AH198" s="8">
        <v>29.687499999999996</v>
      </c>
      <c r="AI198" s="8">
        <v>25.25</v>
      </c>
      <c r="AJ198" t="s">
        <v>1694</v>
      </c>
      <c r="AK198" t="s">
        <v>1694</v>
      </c>
      <c r="AL198" t="s">
        <v>1694</v>
      </c>
      <c r="AM198" t="s">
        <v>1694</v>
      </c>
      <c r="AN198" t="s">
        <v>1694</v>
      </c>
      <c r="AO198" t="s">
        <v>1694</v>
      </c>
      <c r="AP198" t="s">
        <v>1697</v>
      </c>
      <c r="AQ198" t="s">
        <v>1697</v>
      </c>
      <c r="AR198" t="s">
        <v>1703</v>
      </c>
      <c r="AS198" t="s">
        <v>1702</v>
      </c>
      <c r="AT198" t="s">
        <v>1703</v>
      </c>
      <c r="AU198" t="s">
        <v>1695</v>
      </c>
      <c r="AV198" t="s">
        <v>1711</v>
      </c>
      <c r="AW198" t="s">
        <v>1711</v>
      </c>
      <c r="AX198" t="s">
        <v>1695</v>
      </c>
      <c r="AY198" t="s">
        <v>1711</v>
      </c>
      <c r="AZ198" t="s">
        <v>1711</v>
      </c>
      <c r="BA198" t="s">
        <v>1702</v>
      </c>
      <c r="BB198" t="s">
        <v>1704</v>
      </c>
      <c r="BC198" t="s">
        <v>1725</v>
      </c>
      <c r="BD198" t="s">
        <v>1703</v>
      </c>
      <c r="BE198" t="s">
        <v>1704</v>
      </c>
      <c r="BF198" t="s">
        <v>1725</v>
      </c>
      <c r="BG198">
        <v>10</v>
      </c>
      <c r="BH198" s="12" t="s">
        <v>1708</v>
      </c>
      <c r="BI198" t="b">
        <v>0</v>
      </c>
      <c r="BJ198">
        <f t="shared" si="3"/>
        <v>0</v>
      </c>
    </row>
    <row r="199" spans="1:62" x14ac:dyDescent="0.2">
      <c r="A199" s="5" t="s">
        <v>43</v>
      </c>
      <c r="B199" s="6">
        <v>42179</v>
      </c>
      <c r="C199" s="7">
        <v>33.374378</v>
      </c>
      <c r="D199" s="7">
        <v>-112.703642</v>
      </c>
      <c r="E199" s="17">
        <v>277</v>
      </c>
      <c r="F199" t="s">
        <v>1706</v>
      </c>
      <c r="G199" t="s">
        <v>1724</v>
      </c>
      <c r="H199" t="s">
        <v>1724</v>
      </c>
      <c r="I199">
        <v>1</v>
      </c>
      <c r="J199">
        <v>7.3871194852401301</v>
      </c>
      <c r="K199">
        <v>75.796432543875099</v>
      </c>
      <c r="L199">
        <v>16.816447970884798</v>
      </c>
      <c r="M199">
        <v>14.1466821737411</v>
      </c>
      <c r="N199" t="s">
        <v>1697</v>
      </c>
      <c r="O199">
        <v>769.53685693843204</v>
      </c>
      <c r="P199" t="s">
        <v>1697</v>
      </c>
      <c r="Q199">
        <v>13.908392331297</v>
      </c>
      <c r="R199" t="s">
        <v>1697</v>
      </c>
      <c r="S199">
        <v>1.7230000000000001</v>
      </c>
      <c r="T199" t="s">
        <v>1697</v>
      </c>
      <c r="U199">
        <v>1.3180000000000001</v>
      </c>
      <c r="V199" t="s">
        <v>1697</v>
      </c>
      <c r="W199">
        <v>0.40500000000000003</v>
      </c>
      <c r="X199" t="s">
        <v>1697</v>
      </c>
      <c r="Y199">
        <v>2.5974025974026</v>
      </c>
      <c r="Z199" t="s">
        <v>1697</v>
      </c>
      <c r="AA199">
        <v>8.19</v>
      </c>
      <c r="AB199">
        <v>2</v>
      </c>
      <c r="AC199">
        <v>1.1235955056179501</v>
      </c>
      <c r="AD199" t="s">
        <v>1697</v>
      </c>
      <c r="AE199">
        <v>6.0999999999999999E-2</v>
      </c>
      <c r="AF199" t="s">
        <v>1697</v>
      </c>
      <c r="AG199">
        <v>1.4645721207343683</v>
      </c>
      <c r="AH199">
        <v>28.2459016393443</v>
      </c>
      <c r="AI199" t="s">
        <v>1697</v>
      </c>
      <c r="AJ199" t="s">
        <v>1694</v>
      </c>
      <c r="AK199" t="s">
        <v>1694</v>
      </c>
      <c r="AL199" t="s">
        <v>1694</v>
      </c>
      <c r="AM199" t="s">
        <v>1694</v>
      </c>
      <c r="AN199" t="s">
        <v>1694</v>
      </c>
      <c r="AO199" t="s">
        <v>1694</v>
      </c>
      <c r="AP199" t="s">
        <v>1697</v>
      </c>
      <c r="AQ199" t="s">
        <v>1697</v>
      </c>
      <c r="AR199" t="s">
        <v>1703</v>
      </c>
      <c r="AS199" t="s">
        <v>1702</v>
      </c>
      <c r="AT199" t="s">
        <v>1703</v>
      </c>
      <c r="AU199" t="s">
        <v>1695</v>
      </c>
      <c r="AV199" t="s">
        <v>1711</v>
      </c>
      <c r="AW199" t="s">
        <v>1711</v>
      </c>
      <c r="AX199" t="s">
        <v>1695</v>
      </c>
      <c r="AY199" t="s">
        <v>1711</v>
      </c>
      <c r="AZ199" t="s">
        <v>1711</v>
      </c>
      <c r="BA199" t="s">
        <v>1702</v>
      </c>
      <c r="BB199" t="s">
        <v>1704</v>
      </c>
      <c r="BC199" t="s">
        <v>1725</v>
      </c>
      <c r="BD199" t="s">
        <v>1703</v>
      </c>
      <c r="BE199" t="s">
        <v>1704</v>
      </c>
      <c r="BF199" t="s">
        <v>1725</v>
      </c>
      <c r="BG199">
        <v>15</v>
      </c>
      <c r="BH199" s="12" t="s">
        <v>1708</v>
      </c>
      <c r="BI199" t="b">
        <v>0</v>
      </c>
      <c r="BJ199">
        <f t="shared" si="3"/>
        <v>0</v>
      </c>
    </row>
    <row r="200" spans="1:62" x14ac:dyDescent="0.2">
      <c r="A200" s="5" t="s">
        <v>43</v>
      </c>
      <c r="B200" s="6">
        <v>45089</v>
      </c>
      <c r="C200" s="7">
        <v>33.374378</v>
      </c>
      <c r="D200" s="7">
        <v>-112.703642</v>
      </c>
      <c r="E200" s="17">
        <v>277</v>
      </c>
      <c r="F200" t="s">
        <v>1697</v>
      </c>
      <c r="G200" t="s">
        <v>1697</v>
      </c>
      <c r="H200" t="s">
        <v>1697</v>
      </c>
      <c r="I200">
        <v>1</v>
      </c>
      <c r="J200" t="s">
        <v>1697</v>
      </c>
      <c r="K200" t="s">
        <v>1697</v>
      </c>
      <c r="L200" t="s">
        <v>1697</v>
      </c>
      <c r="M200" t="s">
        <v>1697</v>
      </c>
      <c r="N200" t="s">
        <v>1697</v>
      </c>
      <c r="O200" t="s">
        <v>1697</v>
      </c>
      <c r="P200" t="s">
        <v>1697</v>
      </c>
      <c r="Q200" t="s">
        <v>1697</v>
      </c>
      <c r="R200" t="s">
        <v>1697</v>
      </c>
      <c r="S200" t="s">
        <v>1697</v>
      </c>
      <c r="T200" t="s">
        <v>1697</v>
      </c>
      <c r="U200" t="s">
        <v>1697</v>
      </c>
      <c r="V200" t="s">
        <v>1697</v>
      </c>
      <c r="W200" t="s">
        <v>1697</v>
      </c>
      <c r="X200" t="s">
        <v>1697</v>
      </c>
      <c r="Y200" t="s">
        <v>1697</v>
      </c>
      <c r="Z200" t="s">
        <v>1697</v>
      </c>
      <c r="AA200" t="s">
        <v>1697</v>
      </c>
      <c r="AB200" t="s">
        <v>1697</v>
      </c>
      <c r="AC200" t="s">
        <v>1697</v>
      </c>
      <c r="AD200" t="s">
        <v>1697</v>
      </c>
      <c r="AE200" t="s">
        <v>1697</v>
      </c>
      <c r="AF200" t="s">
        <v>1697</v>
      </c>
      <c r="AG200" t="s">
        <v>1697</v>
      </c>
      <c r="AH200" t="s">
        <v>1697</v>
      </c>
      <c r="AI200" t="s">
        <v>1697</v>
      </c>
      <c r="AJ200" t="s">
        <v>1694</v>
      </c>
      <c r="AK200" t="s">
        <v>1694</v>
      </c>
      <c r="AL200" t="s">
        <v>1694</v>
      </c>
      <c r="AM200" t="s">
        <v>1694</v>
      </c>
      <c r="AN200" t="s">
        <v>1694</v>
      </c>
      <c r="AO200" t="s">
        <v>1694</v>
      </c>
      <c r="AP200" t="s">
        <v>1697</v>
      </c>
      <c r="AQ200" t="s">
        <v>1697</v>
      </c>
      <c r="AR200" t="s">
        <v>1703</v>
      </c>
      <c r="AS200" t="s">
        <v>1702</v>
      </c>
      <c r="AT200" t="s">
        <v>1703</v>
      </c>
      <c r="AU200" t="s">
        <v>1695</v>
      </c>
      <c r="AV200" t="s">
        <v>1711</v>
      </c>
      <c r="AW200" t="s">
        <v>1711</v>
      </c>
      <c r="AX200" t="s">
        <v>1695</v>
      </c>
      <c r="AY200" t="s">
        <v>1711</v>
      </c>
      <c r="AZ200" t="s">
        <v>1711</v>
      </c>
      <c r="BA200" t="s">
        <v>1702</v>
      </c>
      <c r="BB200" t="s">
        <v>1704</v>
      </c>
      <c r="BC200" t="s">
        <v>1725</v>
      </c>
      <c r="BD200" t="s">
        <v>1703</v>
      </c>
      <c r="BE200" t="s">
        <v>1704</v>
      </c>
      <c r="BF200" t="s">
        <v>1725</v>
      </c>
      <c r="BG200" s="6" t="s">
        <v>1697</v>
      </c>
      <c r="BH200" s="6" t="s">
        <v>1697</v>
      </c>
      <c r="BI200" t="b">
        <v>1</v>
      </c>
      <c r="BJ200">
        <f t="shared" si="3"/>
        <v>1</v>
      </c>
    </row>
    <row r="201" spans="1:62" x14ac:dyDescent="0.2">
      <c r="A201" s="5" t="s">
        <v>859</v>
      </c>
      <c r="B201" s="6">
        <v>38504</v>
      </c>
      <c r="C201" s="7">
        <v>33.778199999999998</v>
      </c>
      <c r="D201" s="7">
        <v>-112.67381399999999</v>
      </c>
      <c r="E201" s="17">
        <v>495</v>
      </c>
      <c r="F201" t="s">
        <v>1694</v>
      </c>
      <c r="G201" t="s">
        <v>1694</v>
      </c>
      <c r="H201" t="s">
        <v>1748</v>
      </c>
      <c r="I201">
        <v>0</v>
      </c>
      <c r="J201" s="8" t="s">
        <v>1697</v>
      </c>
      <c r="K201" s="8" t="s">
        <v>1697</v>
      </c>
      <c r="L201" s="8" t="s">
        <v>1697</v>
      </c>
      <c r="M201" s="8">
        <v>0.80274177745358377</v>
      </c>
      <c r="N201" s="8">
        <v>0.45053135394449911</v>
      </c>
      <c r="O201" s="8">
        <v>2.524987772717636</v>
      </c>
      <c r="P201" s="8">
        <v>2.3052187610160209</v>
      </c>
      <c r="Q201" s="8">
        <v>2.0534084338624594</v>
      </c>
      <c r="R201" s="8">
        <v>2.7913655140414528</v>
      </c>
      <c r="S201" s="8">
        <v>0.112</v>
      </c>
      <c r="T201" s="8">
        <v>0.17299999999999999</v>
      </c>
      <c r="U201" s="8">
        <v>0.105</v>
      </c>
      <c r="V201" s="8">
        <v>7.4999999999999997E-2</v>
      </c>
      <c r="W201" s="8">
        <v>7.0000000000000062E-3</v>
      </c>
      <c r="X201" s="8">
        <v>9.799999999999999E-2</v>
      </c>
      <c r="Y201" s="8">
        <v>0.77951002227171806</v>
      </c>
      <c r="Z201" s="8">
        <v>0.73421439060206617</v>
      </c>
      <c r="AA201" s="8">
        <v>9.0299999999999994</v>
      </c>
      <c r="AB201">
        <v>4.1000000000000002E-2</v>
      </c>
      <c r="AC201" s="8">
        <v>0.44543429844097049</v>
      </c>
      <c r="AD201" s="8">
        <v>2.6431718061673966</v>
      </c>
      <c r="AE201" s="8">
        <v>5.0000000000000001E-3</v>
      </c>
      <c r="AF201" s="8">
        <v>5.0000000000000001E-3</v>
      </c>
      <c r="AG201" s="8">
        <v>1.4786880765004486</v>
      </c>
      <c r="AH201" s="8">
        <v>22.4</v>
      </c>
      <c r="AI201" s="8">
        <v>34.599999999999994</v>
      </c>
      <c r="AJ201" t="s">
        <v>1694</v>
      </c>
      <c r="AK201" t="s">
        <v>1694</v>
      </c>
      <c r="AL201" t="s">
        <v>1694</v>
      </c>
      <c r="AM201" t="s">
        <v>1694</v>
      </c>
      <c r="AN201" t="s">
        <v>1694</v>
      </c>
      <c r="AO201" t="s">
        <v>1694</v>
      </c>
      <c r="AP201" t="s">
        <v>1716</v>
      </c>
      <c r="AQ201" t="s">
        <v>1717</v>
      </c>
      <c r="AR201" t="s">
        <v>1694</v>
      </c>
      <c r="AS201" t="s">
        <v>1694</v>
      </c>
      <c r="AT201" t="s">
        <v>1694</v>
      </c>
      <c r="AU201" t="s">
        <v>1716</v>
      </c>
      <c r="AV201" t="s">
        <v>1719</v>
      </c>
      <c r="AW201" t="s">
        <v>1694</v>
      </c>
      <c r="AX201" t="s">
        <v>1716</v>
      </c>
      <c r="AY201" t="s">
        <v>1719</v>
      </c>
      <c r="AZ201" t="s">
        <v>1694</v>
      </c>
      <c r="BA201" t="s">
        <v>1694</v>
      </c>
      <c r="BB201" t="s">
        <v>1716</v>
      </c>
      <c r="BC201" t="s">
        <v>1719</v>
      </c>
      <c r="BD201" t="s">
        <v>1694</v>
      </c>
      <c r="BE201" t="s">
        <v>1716</v>
      </c>
      <c r="BF201" t="s">
        <v>1719</v>
      </c>
      <c r="BG201" t="s">
        <v>1697</v>
      </c>
      <c r="BH201" t="s">
        <v>1698</v>
      </c>
      <c r="BI201" t="b">
        <v>0</v>
      </c>
      <c r="BJ201">
        <f t="shared" si="3"/>
        <v>0</v>
      </c>
    </row>
    <row r="202" spans="1:62" x14ac:dyDescent="0.2">
      <c r="A202" s="5" t="s">
        <v>859</v>
      </c>
      <c r="B202" s="6">
        <v>40273</v>
      </c>
      <c r="C202" s="7">
        <v>33.778199999999998</v>
      </c>
      <c r="D202" s="7">
        <v>-112.67381399999999</v>
      </c>
      <c r="E202" s="17">
        <v>495</v>
      </c>
      <c r="F202" t="s">
        <v>1694</v>
      </c>
      <c r="G202" t="s">
        <v>1694</v>
      </c>
      <c r="H202" t="s">
        <v>1748</v>
      </c>
      <c r="I202">
        <v>0</v>
      </c>
      <c r="J202" s="8" t="s">
        <v>1697</v>
      </c>
      <c r="K202" s="8" t="s">
        <v>1697</v>
      </c>
      <c r="L202" s="8" t="s">
        <v>1697</v>
      </c>
      <c r="M202" s="8">
        <v>5.0000000000000001E-3</v>
      </c>
      <c r="N202" s="8">
        <v>5.0000000000000001E-3</v>
      </c>
      <c r="O202" s="8">
        <v>0.66414148429298236</v>
      </c>
      <c r="P202" s="8">
        <v>1.6469869619886293</v>
      </c>
      <c r="Q202" s="8">
        <v>2.5000000000000001E-3</v>
      </c>
      <c r="R202" s="8">
        <v>5.4557471641203854</v>
      </c>
      <c r="S202" s="8">
        <v>0.128</v>
      </c>
      <c r="T202" s="8">
        <v>0.129</v>
      </c>
      <c r="U202" s="8">
        <v>0.123</v>
      </c>
      <c r="V202" s="8">
        <v>0.08</v>
      </c>
      <c r="W202" s="8">
        <v>5.0000000000000044E-3</v>
      </c>
      <c r="X202" s="8">
        <v>4.9000000000000002E-2</v>
      </c>
      <c r="Y202" s="8">
        <v>0.65573770491801886</v>
      </c>
      <c r="Z202" s="8">
        <v>0.66225165562914456</v>
      </c>
      <c r="AA202" s="8" t="s">
        <v>1697</v>
      </c>
      <c r="AB202" t="s">
        <v>1697</v>
      </c>
      <c r="AC202" s="8">
        <v>0.54644808743170192</v>
      </c>
      <c r="AD202" s="8">
        <v>3.4216335540838902</v>
      </c>
      <c r="AE202" s="8">
        <v>7.0000000000000001E-3</v>
      </c>
      <c r="AF202" s="8">
        <v>5.0000000000000001E-3</v>
      </c>
      <c r="AG202" s="8" t="s">
        <v>1697</v>
      </c>
      <c r="AH202" s="8">
        <v>18.285714285714285</v>
      </c>
      <c r="AI202" s="8">
        <v>18.428571428571427</v>
      </c>
      <c r="AJ202" t="s">
        <v>1694</v>
      </c>
      <c r="AK202" t="s">
        <v>1694</v>
      </c>
      <c r="AL202" t="s">
        <v>1694</v>
      </c>
      <c r="AM202" t="s">
        <v>1694</v>
      </c>
      <c r="AN202" t="s">
        <v>1694</v>
      </c>
      <c r="AO202" t="s">
        <v>1694</v>
      </c>
      <c r="AP202" t="s">
        <v>1716</v>
      </c>
      <c r="AQ202" t="s">
        <v>1717</v>
      </c>
      <c r="AR202" t="s">
        <v>1694</v>
      </c>
      <c r="AS202" t="s">
        <v>1694</v>
      </c>
      <c r="AT202" t="s">
        <v>1694</v>
      </c>
      <c r="AU202" t="s">
        <v>1716</v>
      </c>
      <c r="AV202" t="s">
        <v>1719</v>
      </c>
      <c r="AW202" t="s">
        <v>1694</v>
      </c>
      <c r="AX202" t="s">
        <v>1716</v>
      </c>
      <c r="AY202" t="s">
        <v>1719</v>
      </c>
      <c r="AZ202" t="s">
        <v>1694</v>
      </c>
      <c r="BA202" t="s">
        <v>1694</v>
      </c>
      <c r="BB202" t="s">
        <v>1716</v>
      </c>
      <c r="BC202" t="s">
        <v>1719</v>
      </c>
      <c r="BD202" t="s">
        <v>1694</v>
      </c>
      <c r="BE202" t="s">
        <v>1716</v>
      </c>
      <c r="BF202" t="s">
        <v>1719</v>
      </c>
      <c r="BG202" t="s">
        <v>1697</v>
      </c>
      <c r="BH202" t="s">
        <v>1698</v>
      </c>
      <c r="BI202" t="b">
        <v>0</v>
      </c>
      <c r="BJ202">
        <f t="shared" si="3"/>
        <v>0</v>
      </c>
    </row>
    <row r="203" spans="1:62" x14ac:dyDescent="0.2">
      <c r="A203" s="5" t="s">
        <v>859</v>
      </c>
      <c r="B203" s="6">
        <v>42100</v>
      </c>
      <c r="C203" s="7">
        <v>33.778199999999998</v>
      </c>
      <c r="D203" s="7">
        <v>-112.67381399999999</v>
      </c>
      <c r="E203" s="17">
        <v>495</v>
      </c>
      <c r="F203" t="s">
        <v>1694</v>
      </c>
      <c r="G203" t="s">
        <v>1694</v>
      </c>
      <c r="H203" t="s">
        <v>1748</v>
      </c>
      <c r="I203">
        <v>0</v>
      </c>
      <c r="J203">
        <v>3.32147930317679</v>
      </c>
      <c r="K203">
        <v>93.357041393646398</v>
      </c>
      <c r="L203">
        <v>3.3214793031768002</v>
      </c>
      <c r="M203">
        <v>1.75515702481596</v>
      </c>
      <c r="N203" t="s">
        <v>1697</v>
      </c>
      <c r="O203">
        <v>3.4679282597900398</v>
      </c>
      <c r="P203" t="s">
        <v>1697</v>
      </c>
      <c r="Q203">
        <v>10.927930375756199</v>
      </c>
      <c r="R203">
        <v>5.6707982927569303</v>
      </c>
      <c r="S203">
        <v>0.33800000000000002</v>
      </c>
      <c r="T203">
        <v>0.154</v>
      </c>
      <c r="U203">
        <v>0.114</v>
      </c>
      <c r="V203">
        <v>0.16200000000000001</v>
      </c>
      <c r="W203">
        <v>0.224</v>
      </c>
      <c r="X203" t="s">
        <v>1697</v>
      </c>
      <c r="Y203">
        <v>0.71123755334281402</v>
      </c>
      <c r="Z203">
        <v>0.46242774566475098</v>
      </c>
      <c r="AA203">
        <v>7.99</v>
      </c>
      <c r="AB203">
        <v>7.2999999999999995E-2</v>
      </c>
      <c r="AC203">
        <v>1.0526315789473799</v>
      </c>
      <c r="AD203">
        <v>0.63492063492062101</v>
      </c>
      <c r="AE203">
        <v>6.6000000000000003E-2</v>
      </c>
      <c r="AF203">
        <v>4.4999999999999998E-2</v>
      </c>
      <c r="AG203">
        <v>1.62427590429605</v>
      </c>
      <c r="AH203">
        <v>5.1212121212121202</v>
      </c>
      <c r="AI203">
        <v>3.4222222222222198</v>
      </c>
      <c r="AJ203" t="s">
        <v>1694</v>
      </c>
      <c r="AK203" t="s">
        <v>1694</v>
      </c>
      <c r="AL203" t="s">
        <v>1694</v>
      </c>
      <c r="AM203" t="s">
        <v>1694</v>
      </c>
      <c r="AN203" t="s">
        <v>1694</v>
      </c>
      <c r="AO203" t="s">
        <v>1694</v>
      </c>
      <c r="AP203" t="s">
        <v>1716</v>
      </c>
      <c r="AQ203" t="s">
        <v>1719</v>
      </c>
      <c r="AR203" t="s">
        <v>1694</v>
      </c>
      <c r="AS203" t="s">
        <v>1694</v>
      </c>
      <c r="AT203" t="s">
        <v>1694</v>
      </c>
      <c r="AU203" t="s">
        <v>1716</v>
      </c>
      <c r="AV203" t="s">
        <v>1719</v>
      </c>
      <c r="AW203" t="s">
        <v>1694</v>
      </c>
      <c r="AX203" t="s">
        <v>1716</v>
      </c>
      <c r="AY203" t="s">
        <v>1719</v>
      </c>
      <c r="AZ203" t="s">
        <v>1694</v>
      </c>
      <c r="BA203" t="s">
        <v>1694</v>
      </c>
      <c r="BB203" t="s">
        <v>1716</v>
      </c>
      <c r="BC203" t="s">
        <v>1719</v>
      </c>
      <c r="BD203" t="s">
        <v>1694</v>
      </c>
      <c r="BE203" t="s">
        <v>1716</v>
      </c>
      <c r="BF203" t="s">
        <v>1719</v>
      </c>
      <c r="BG203" t="s">
        <v>1697</v>
      </c>
      <c r="BH203" t="s">
        <v>1698</v>
      </c>
      <c r="BI203" t="b">
        <v>0</v>
      </c>
      <c r="BJ203">
        <f t="shared" si="3"/>
        <v>0</v>
      </c>
    </row>
    <row r="204" spans="1:62" x14ac:dyDescent="0.2">
      <c r="A204" s="5" t="s">
        <v>44</v>
      </c>
      <c r="B204" s="6">
        <v>38455</v>
      </c>
      <c r="C204" s="7">
        <v>33.676063999999997</v>
      </c>
      <c r="D204" s="7">
        <v>-112.669156</v>
      </c>
      <c r="E204" s="17">
        <v>469</v>
      </c>
      <c r="F204" t="s">
        <v>1694</v>
      </c>
      <c r="G204" t="s">
        <v>1694</v>
      </c>
      <c r="H204" t="s">
        <v>1694</v>
      </c>
      <c r="I204">
        <v>0</v>
      </c>
      <c r="J204" s="8">
        <v>9.213808461707707</v>
      </c>
      <c r="K204" s="8">
        <v>72.088959491660049</v>
      </c>
      <c r="L204" s="8">
        <v>18.697232046632251</v>
      </c>
      <c r="M204" s="8">
        <v>1.5481163900954982</v>
      </c>
      <c r="N204" s="8">
        <v>1.2186614650476733</v>
      </c>
      <c r="O204" s="8">
        <v>0.51603879669849939</v>
      </c>
      <c r="P204" s="8">
        <v>0.38083170782739789</v>
      </c>
      <c r="Q204" s="8">
        <v>10.024843481169418</v>
      </c>
      <c r="R204" s="8">
        <v>2.3039599773165444</v>
      </c>
      <c r="S204" s="8">
        <v>0.51700000000000002</v>
      </c>
      <c r="T204" s="8">
        <v>0.26200000000000001</v>
      </c>
      <c r="U204" s="8">
        <v>0.13100000000000001</v>
      </c>
      <c r="V204" s="8">
        <v>0.20599999999999999</v>
      </c>
      <c r="W204" s="8">
        <v>0.38600000000000001</v>
      </c>
      <c r="X204" s="8">
        <v>5.6000000000000022E-2</v>
      </c>
      <c r="Y204" s="8">
        <v>1.9823788546255481</v>
      </c>
      <c r="Z204" s="8">
        <v>1.9813519813519804</v>
      </c>
      <c r="AA204" s="8">
        <v>8.49</v>
      </c>
      <c r="AB204">
        <v>0.124</v>
      </c>
      <c r="AC204" s="8">
        <v>2.2026431718061796</v>
      </c>
      <c r="AD204" s="8">
        <v>5.5944055944055782</v>
      </c>
      <c r="AE204" s="8">
        <v>2.8000000000000001E-2</v>
      </c>
      <c r="AF204" s="8">
        <v>4.7E-2</v>
      </c>
      <c r="AG204" s="8">
        <v>1.4410099513156778</v>
      </c>
      <c r="AH204" s="8">
        <v>18.464285714285715</v>
      </c>
      <c r="AI204" s="8">
        <v>9.3571428571428577</v>
      </c>
      <c r="AJ204" t="s">
        <v>1697</v>
      </c>
      <c r="AK204" t="s">
        <v>1697</v>
      </c>
      <c r="AL204" t="s">
        <v>1697</v>
      </c>
      <c r="AM204" t="s">
        <v>1697</v>
      </c>
      <c r="AN204" t="s">
        <v>1697</v>
      </c>
      <c r="AO204" t="s">
        <v>1697</v>
      </c>
      <c r="AP204" t="s">
        <v>1695</v>
      </c>
      <c r="AQ204" t="s">
        <v>1694</v>
      </c>
      <c r="AR204" t="s">
        <v>1694</v>
      </c>
      <c r="AS204" t="s">
        <v>1697</v>
      </c>
      <c r="AT204" t="s">
        <v>1697</v>
      </c>
      <c r="AU204" t="s">
        <v>1697</v>
      </c>
      <c r="AV204" t="s">
        <v>1697</v>
      </c>
      <c r="AW204" t="s">
        <v>1694</v>
      </c>
      <c r="AX204" t="s">
        <v>1716</v>
      </c>
      <c r="AY204" t="s">
        <v>1719</v>
      </c>
      <c r="AZ204" t="s">
        <v>1694</v>
      </c>
      <c r="BA204" t="s">
        <v>1697</v>
      </c>
      <c r="BB204" t="s">
        <v>1697</v>
      </c>
      <c r="BC204" t="s">
        <v>1697</v>
      </c>
      <c r="BD204" t="s">
        <v>1694</v>
      </c>
      <c r="BE204" t="s">
        <v>1716</v>
      </c>
      <c r="BF204" t="s">
        <v>1719</v>
      </c>
      <c r="BG204" t="s">
        <v>1697</v>
      </c>
      <c r="BH204" t="s">
        <v>1698</v>
      </c>
      <c r="BI204" t="b">
        <v>0</v>
      </c>
      <c r="BJ204">
        <f t="shared" si="3"/>
        <v>0</v>
      </c>
    </row>
    <row r="205" spans="1:62" x14ac:dyDescent="0.2">
      <c r="A205" s="5" t="s">
        <v>44</v>
      </c>
      <c r="B205" s="6">
        <v>40302</v>
      </c>
      <c r="C205" s="7">
        <v>33.676063999999997</v>
      </c>
      <c r="D205" s="7">
        <v>-112.669156</v>
      </c>
      <c r="E205" s="17">
        <v>469</v>
      </c>
      <c r="F205" t="s">
        <v>1694</v>
      </c>
      <c r="G205" t="s">
        <v>1694</v>
      </c>
      <c r="H205" t="s">
        <v>1694</v>
      </c>
      <c r="I205">
        <v>0</v>
      </c>
      <c r="J205" s="8">
        <v>13.513438352507029</v>
      </c>
      <c r="K205" s="8">
        <v>68.28545513768853</v>
      </c>
      <c r="L205" s="8">
        <v>18.201106509804447</v>
      </c>
      <c r="M205" s="8">
        <v>2.2222799463182223</v>
      </c>
      <c r="N205" s="8">
        <v>2.6304142127899213</v>
      </c>
      <c r="O205" s="8">
        <v>0.85822777843168174</v>
      </c>
      <c r="P205" s="8">
        <v>0.79845197381140876</v>
      </c>
      <c r="Q205" s="8">
        <v>16.313001862007258</v>
      </c>
      <c r="R205" s="8">
        <v>2.5000000000000001E-3</v>
      </c>
      <c r="S205" s="8">
        <v>0.86699999999999999</v>
      </c>
      <c r="T205" s="8">
        <v>0.35099999999999998</v>
      </c>
      <c r="U205" s="8">
        <v>0.52800000000000002</v>
      </c>
      <c r="V205" s="8">
        <v>0.192</v>
      </c>
      <c r="W205" s="8">
        <v>0.33899999999999997</v>
      </c>
      <c r="X205" s="8">
        <v>0.15899999999999997</v>
      </c>
      <c r="Y205" s="8">
        <v>2.3364485981308194</v>
      </c>
      <c r="Z205" s="8">
        <v>1.8361581920904066</v>
      </c>
      <c r="AA205" s="8">
        <v>8.6</v>
      </c>
      <c r="AB205">
        <v>0.16</v>
      </c>
      <c r="AC205" s="8">
        <v>1.7133956386293023</v>
      </c>
      <c r="AD205" s="8">
        <v>2.5423728813559281</v>
      </c>
      <c r="AE205" s="8">
        <v>0.03</v>
      </c>
      <c r="AF205" s="8">
        <v>1.7999999999999999E-2</v>
      </c>
      <c r="AG205" s="8">
        <v>1.8284103296990752</v>
      </c>
      <c r="AH205" s="8">
        <v>28.900000000000002</v>
      </c>
      <c r="AI205" s="8">
        <v>11.7</v>
      </c>
      <c r="AJ205" t="s">
        <v>1697</v>
      </c>
      <c r="AK205" t="s">
        <v>1697</v>
      </c>
      <c r="AL205" t="s">
        <v>1697</v>
      </c>
      <c r="AM205" t="s">
        <v>1697</v>
      </c>
      <c r="AN205" t="s">
        <v>1697</v>
      </c>
      <c r="AO205" t="s">
        <v>1697</v>
      </c>
      <c r="AP205" t="s">
        <v>1695</v>
      </c>
      <c r="AQ205" t="s">
        <v>1694</v>
      </c>
      <c r="AR205" t="s">
        <v>1694</v>
      </c>
      <c r="AS205" t="s">
        <v>1697</v>
      </c>
      <c r="AT205" t="s">
        <v>1697</v>
      </c>
      <c r="AU205" t="s">
        <v>1697</v>
      </c>
      <c r="AV205" t="s">
        <v>1697</v>
      </c>
      <c r="AW205" t="s">
        <v>1694</v>
      </c>
      <c r="AX205" t="s">
        <v>1716</v>
      </c>
      <c r="AY205" t="s">
        <v>1719</v>
      </c>
      <c r="AZ205" t="s">
        <v>1694</v>
      </c>
      <c r="BA205" t="s">
        <v>1697</v>
      </c>
      <c r="BB205" t="s">
        <v>1697</v>
      </c>
      <c r="BC205" t="s">
        <v>1697</v>
      </c>
      <c r="BD205" t="s">
        <v>1694</v>
      </c>
      <c r="BE205" t="s">
        <v>1716</v>
      </c>
      <c r="BF205" t="s">
        <v>1719</v>
      </c>
      <c r="BG205" t="s">
        <v>1697</v>
      </c>
      <c r="BH205" t="s">
        <v>1698</v>
      </c>
      <c r="BI205" t="b">
        <v>0</v>
      </c>
      <c r="BJ205">
        <f t="shared" si="3"/>
        <v>0</v>
      </c>
    </row>
    <row r="206" spans="1:62" x14ac:dyDescent="0.2">
      <c r="A206" s="5" t="s">
        <v>44</v>
      </c>
      <c r="B206" s="6">
        <v>42159</v>
      </c>
      <c r="C206" s="7">
        <v>33.676063999999997</v>
      </c>
      <c r="D206" s="7">
        <v>-112.669156</v>
      </c>
      <c r="E206" s="17">
        <v>469</v>
      </c>
      <c r="F206" t="s">
        <v>1694</v>
      </c>
      <c r="G206" t="s">
        <v>1694</v>
      </c>
      <c r="H206" t="s">
        <v>1694</v>
      </c>
      <c r="I206">
        <v>0</v>
      </c>
      <c r="J206">
        <v>4.45317344422988</v>
      </c>
      <c r="K206">
        <v>81.189712670617496</v>
      </c>
      <c r="L206">
        <v>14.3571138851526</v>
      </c>
      <c r="M206">
        <v>2.5450907550833799</v>
      </c>
      <c r="N206">
        <v>2.0552138151909101</v>
      </c>
      <c r="O206">
        <v>6.3965112782626496</v>
      </c>
      <c r="P206">
        <v>3.87346284459485</v>
      </c>
      <c r="Q206">
        <v>6.0395087839959096</v>
      </c>
      <c r="R206">
        <v>4.25436552757784</v>
      </c>
      <c r="S206">
        <v>0.70499999999999996</v>
      </c>
      <c r="T206">
        <v>0.312</v>
      </c>
      <c r="U206">
        <v>0.45800000000000002</v>
      </c>
      <c r="V206">
        <v>0.29099999999999998</v>
      </c>
      <c r="W206">
        <v>0.247</v>
      </c>
      <c r="X206">
        <v>2.1000000000000001E-2</v>
      </c>
      <c r="Y206">
        <v>1.1122345803842399</v>
      </c>
      <c r="Z206">
        <v>1.1337868480725599</v>
      </c>
      <c r="AA206">
        <v>8.2899999999999991</v>
      </c>
      <c r="AB206">
        <v>0.151</v>
      </c>
      <c r="AC206">
        <v>2.09424083769634</v>
      </c>
      <c r="AD206">
        <v>2.87878787878787</v>
      </c>
      <c r="AE206">
        <v>5.1999999999999998E-2</v>
      </c>
      <c r="AF206">
        <v>4.2999999999999997E-2</v>
      </c>
      <c r="AG206">
        <v>1.9114037864627587</v>
      </c>
      <c r="AH206">
        <v>13.557692307692299</v>
      </c>
      <c r="AI206">
        <v>7.2558139534883699</v>
      </c>
      <c r="AJ206" t="s">
        <v>1697</v>
      </c>
      <c r="AK206" t="s">
        <v>1697</v>
      </c>
      <c r="AL206" t="s">
        <v>1697</v>
      </c>
      <c r="AM206" t="s">
        <v>1697</v>
      </c>
      <c r="AN206" t="s">
        <v>1697</v>
      </c>
      <c r="AO206" t="s">
        <v>1697</v>
      </c>
      <c r="AP206" t="s">
        <v>1695</v>
      </c>
      <c r="AQ206" t="s">
        <v>1694</v>
      </c>
      <c r="AR206" t="s">
        <v>1694</v>
      </c>
      <c r="AS206" t="s">
        <v>1697</v>
      </c>
      <c r="AT206" t="s">
        <v>1697</v>
      </c>
      <c r="AU206" t="s">
        <v>1697</v>
      </c>
      <c r="AV206" t="s">
        <v>1697</v>
      </c>
      <c r="AW206" t="s">
        <v>1694</v>
      </c>
      <c r="AX206" t="s">
        <v>1716</v>
      </c>
      <c r="AY206" t="s">
        <v>1719</v>
      </c>
      <c r="AZ206" t="s">
        <v>1694</v>
      </c>
      <c r="BA206" t="s">
        <v>1697</v>
      </c>
      <c r="BB206" t="s">
        <v>1697</v>
      </c>
      <c r="BC206" t="s">
        <v>1697</v>
      </c>
      <c r="BD206" t="s">
        <v>1694</v>
      </c>
      <c r="BE206" t="s">
        <v>1716</v>
      </c>
      <c r="BF206" t="s">
        <v>1719</v>
      </c>
      <c r="BG206" t="s">
        <v>1697</v>
      </c>
      <c r="BH206" t="s">
        <v>1698</v>
      </c>
      <c r="BI206" t="b">
        <v>0</v>
      </c>
      <c r="BJ206">
        <f t="shared" si="3"/>
        <v>0</v>
      </c>
    </row>
    <row r="207" spans="1:62" x14ac:dyDescent="0.2">
      <c r="A207" s="5" t="s">
        <v>45</v>
      </c>
      <c r="B207" s="6">
        <v>38407</v>
      </c>
      <c r="C207" s="7">
        <v>33.624491999999996</v>
      </c>
      <c r="D207" s="7">
        <v>-112.684878</v>
      </c>
      <c r="E207" s="17">
        <v>445</v>
      </c>
      <c r="F207" t="s">
        <v>1694</v>
      </c>
      <c r="G207" t="s">
        <v>1694</v>
      </c>
      <c r="H207" t="s">
        <v>1694</v>
      </c>
      <c r="I207">
        <v>0</v>
      </c>
      <c r="J207" s="8">
        <v>5.3174054390673362</v>
      </c>
      <c r="K207" s="8">
        <v>72.951243564507294</v>
      </c>
      <c r="L207" s="8">
        <v>21.731350996425363</v>
      </c>
      <c r="M207" s="8">
        <v>1.1168028033426702</v>
      </c>
      <c r="N207" s="8">
        <v>1.5688232291820645</v>
      </c>
      <c r="O207" s="8">
        <v>0.36131855402262858</v>
      </c>
      <c r="P207" s="8">
        <v>0.30069111892656236</v>
      </c>
      <c r="Q207" s="8">
        <v>5.5128288687566531</v>
      </c>
      <c r="R207" s="8">
        <v>5.5283027736589991</v>
      </c>
      <c r="S207" s="8">
        <v>1.776</v>
      </c>
      <c r="T207" s="8">
        <v>1.7250000000000001</v>
      </c>
      <c r="U207" s="8">
        <v>1.696</v>
      </c>
      <c r="V207" s="8">
        <v>1.6870000000000001</v>
      </c>
      <c r="W207" s="8">
        <v>8.0000000000000071E-2</v>
      </c>
      <c r="X207" s="8">
        <v>3.8000000000000034E-2</v>
      </c>
      <c r="Y207" s="8">
        <v>3.7117903930130987</v>
      </c>
      <c r="Z207" s="8">
        <v>3.5398230088495417</v>
      </c>
      <c r="AA207" s="8">
        <v>8.52</v>
      </c>
      <c r="AB207">
        <v>0.13100000000000001</v>
      </c>
      <c r="AC207" s="8">
        <v>20.305676855895189</v>
      </c>
      <c r="AD207" s="8">
        <v>19.469026548672584</v>
      </c>
      <c r="AE207" s="8">
        <v>2.1999999999999999E-2</v>
      </c>
      <c r="AF207" s="8">
        <v>2.5999999999999999E-2</v>
      </c>
      <c r="AG207" s="8">
        <v>1.0938007556825542</v>
      </c>
      <c r="AH207" s="8">
        <v>80.727272727272734</v>
      </c>
      <c r="AI207" s="8">
        <v>78.409090909090921</v>
      </c>
      <c r="AJ207" t="s">
        <v>1694</v>
      </c>
      <c r="AK207" t="s">
        <v>1694</v>
      </c>
      <c r="AL207" t="s">
        <v>1694</v>
      </c>
      <c r="AM207" t="s">
        <v>1694</v>
      </c>
      <c r="AN207" t="s">
        <v>1694</v>
      </c>
      <c r="AO207" t="s">
        <v>1694</v>
      </c>
      <c r="AP207" t="s">
        <v>1695</v>
      </c>
      <c r="AQ207" t="s">
        <v>1694</v>
      </c>
      <c r="AR207" t="s">
        <v>1694</v>
      </c>
      <c r="AS207" t="s">
        <v>1694</v>
      </c>
      <c r="AT207" t="s">
        <v>1694</v>
      </c>
      <c r="AU207" t="s">
        <v>1695</v>
      </c>
      <c r="AV207" t="s">
        <v>1694</v>
      </c>
      <c r="AW207" t="s">
        <v>1694</v>
      </c>
      <c r="AX207" t="s">
        <v>1695</v>
      </c>
      <c r="AY207" t="s">
        <v>1694</v>
      </c>
      <c r="AZ207" t="s">
        <v>1694</v>
      </c>
      <c r="BA207" t="s">
        <v>1694</v>
      </c>
      <c r="BB207" t="s">
        <v>1695</v>
      </c>
      <c r="BC207" t="s">
        <v>1694</v>
      </c>
      <c r="BD207" t="s">
        <v>1694</v>
      </c>
      <c r="BE207" t="s">
        <v>1695</v>
      </c>
      <c r="BF207" t="s">
        <v>1694</v>
      </c>
      <c r="BG207" t="s">
        <v>1697</v>
      </c>
      <c r="BH207" t="s">
        <v>1698</v>
      </c>
      <c r="BI207" t="b">
        <v>0</v>
      </c>
      <c r="BJ207">
        <f t="shared" si="3"/>
        <v>0</v>
      </c>
    </row>
    <row r="208" spans="1:62" x14ac:dyDescent="0.2">
      <c r="A208" s="5" t="s">
        <v>45</v>
      </c>
      <c r="B208" s="6">
        <v>40263</v>
      </c>
      <c r="C208" s="7">
        <v>33.624491999999996</v>
      </c>
      <c r="D208" s="7">
        <v>-112.684878</v>
      </c>
      <c r="E208" s="17">
        <v>445</v>
      </c>
      <c r="F208" t="s">
        <v>1694</v>
      </c>
      <c r="G208" t="s">
        <v>1694</v>
      </c>
      <c r="H208" t="s">
        <v>1694</v>
      </c>
      <c r="I208">
        <v>0</v>
      </c>
      <c r="J208" s="8">
        <v>13.741954517759789</v>
      </c>
      <c r="K208" s="8">
        <v>47.762387527096166</v>
      </c>
      <c r="L208" s="8">
        <v>38.495657955144047</v>
      </c>
      <c r="M208" s="8">
        <v>5.0000000000000001E-3</v>
      </c>
      <c r="N208" s="8">
        <v>0.40982647335927602</v>
      </c>
      <c r="O208" s="8">
        <v>4.8464834292519141</v>
      </c>
      <c r="P208" s="8">
        <v>0.52788657669396655</v>
      </c>
      <c r="Q208" s="8">
        <v>12.176628923574041</v>
      </c>
      <c r="R208" s="8">
        <v>6.2434846912754907</v>
      </c>
      <c r="S208" s="8">
        <v>1.742</v>
      </c>
      <c r="T208" s="8">
        <v>2.1179999999999999</v>
      </c>
      <c r="U208" s="8">
        <v>1.246</v>
      </c>
      <c r="V208" s="8">
        <v>1.6559999999999999</v>
      </c>
      <c r="W208" s="8">
        <v>0.496</v>
      </c>
      <c r="X208" s="8">
        <v>0.46199999999999997</v>
      </c>
      <c r="Y208" s="8">
        <v>3.3070866141732407</v>
      </c>
      <c r="Z208" s="8">
        <v>2.9595015576323913</v>
      </c>
      <c r="AA208" s="8">
        <v>8.76</v>
      </c>
      <c r="AB208">
        <v>0.112</v>
      </c>
      <c r="AC208" s="8">
        <v>6.7716535433070808</v>
      </c>
      <c r="AD208" s="8">
        <v>9.3457943925233593</v>
      </c>
      <c r="AE208" s="8">
        <v>3.6999999999999998E-2</v>
      </c>
      <c r="AF208" s="8">
        <v>2.1000000000000001E-2</v>
      </c>
      <c r="AG208" s="8">
        <v>1.4164762165734031</v>
      </c>
      <c r="AH208" s="8">
        <v>47.081081081081081</v>
      </c>
      <c r="AI208" s="8">
        <v>57.243243243243242</v>
      </c>
      <c r="AJ208" t="s">
        <v>1694</v>
      </c>
      <c r="AK208" t="s">
        <v>1694</v>
      </c>
      <c r="AL208" t="s">
        <v>1694</v>
      </c>
      <c r="AM208" t="s">
        <v>1694</v>
      </c>
      <c r="AN208" t="s">
        <v>1694</v>
      </c>
      <c r="AO208" t="s">
        <v>1694</v>
      </c>
      <c r="AP208" t="s">
        <v>1695</v>
      </c>
      <c r="AQ208" t="s">
        <v>1694</v>
      </c>
      <c r="AR208" t="s">
        <v>1694</v>
      </c>
      <c r="AS208" t="s">
        <v>1694</v>
      </c>
      <c r="AT208" t="s">
        <v>1694</v>
      </c>
      <c r="AU208" t="s">
        <v>1695</v>
      </c>
      <c r="AV208" t="s">
        <v>1694</v>
      </c>
      <c r="AW208" t="s">
        <v>1694</v>
      </c>
      <c r="AX208" t="s">
        <v>1695</v>
      </c>
      <c r="AY208" t="s">
        <v>1694</v>
      </c>
      <c r="AZ208" t="s">
        <v>1694</v>
      </c>
      <c r="BA208" t="s">
        <v>1694</v>
      </c>
      <c r="BB208" t="s">
        <v>1695</v>
      </c>
      <c r="BC208" t="s">
        <v>1694</v>
      </c>
      <c r="BD208" t="s">
        <v>1694</v>
      </c>
      <c r="BE208" t="s">
        <v>1695</v>
      </c>
      <c r="BF208" t="s">
        <v>1694</v>
      </c>
      <c r="BG208" t="s">
        <v>1697</v>
      </c>
      <c r="BH208" t="s">
        <v>1698</v>
      </c>
      <c r="BI208" t="b">
        <v>0</v>
      </c>
      <c r="BJ208">
        <f t="shared" si="3"/>
        <v>0</v>
      </c>
    </row>
    <row r="209" spans="1:62" x14ac:dyDescent="0.2">
      <c r="A209" s="5" t="s">
        <v>45</v>
      </c>
      <c r="B209" s="6">
        <v>42075</v>
      </c>
      <c r="C209" s="7">
        <v>33.624491999999996</v>
      </c>
      <c r="D209" s="7">
        <v>-112.684878</v>
      </c>
      <c r="E209" s="17">
        <v>445</v>
      </c>
      <c r="F209" t="s">
        <v>1694</v>
      </c>
      <c r="G209" t="s">
        <v>1694</v>
      </c>
      <c r="H209" t="s">
        <v>1694</v>
      </c>
      <c r="I209">
        <v>0</v>
      </c>
      <c r="J209">
        <v>7.3753581668830899</v>
      </c>
      <c r="K209">
        <v>78.079183324435803</v>
      </c>
      <c r="L209">
        <v>14.5454585086812</v>
      </c>
      <c r="M209">
        <v>2.2254207695350501</v>
      </c>
      <c r="N209">
        <v>1.43866390222949</v>
      </c>
      <c r="O209">
        <v>3.3212719060485298</v>
      </c>
      <c r="P209">
        <v>3.94863883176598</v>
      </c>
      <c r="Q209">
        <v>7.2345381748406501</v>
      </c>
      <c r="R209">
        <v>4.8050907504353804</v>
      </c>
      <c r="S209">
        <v>2.3860000000000001</v>
      </c>
      <c r="T209">
        <v>2.891</v>
      </c>
      <c r="U209">
        <v>1.6180000000000001</v>
      </c>
      <c r="V209">
        <v>2.177</v>
      </c>
      <c r="W209">
        <v>0.76800000000000002</v>
      </c>
      <c r="X209">
        <v>0.71399999999999997</v>
      </c>
      <c r="Y209">
        <v>2.3114355231143699</v>
      </c>
      <c r="Z209">
        <v>2.4096385542168601</v>
      </c>
      <c r="AA209">
        <v>8.3000000000000007</v>
      </c>
      <c r="AB209">
        <v>0.11</v>
      </c>
      <c r="AC209">
        <v>2.6890756302521002</v>
      </c>
      <c r="AD209">
        <v>3.8240917782026802</v>
      </c>
      <c r="AE209">
        <v>0.03</v>
      </c>
      <c r="AF209">
        <v>0.02</v>
      </c>
      <c r="AG209">
        <v>1.2920560985349725</v>
      </c>
      <c r="AH209">
        <v>79.533333333333303</v>
      </c>
      <c r="AI209">
        <v>144.55000000000001</v>
      </c>
      <c r="AJ209" t="s">
        <v>1694</v>
      </c>
      <c r="AK209" t="s">
        <v>1694</v>
      </c>
      <c r="AL209" t="s">
        <v>1694</v>
      </c>
      <c r="AM209" t="s">
        <v>1694</v>
      </c>
      <c r="AN209" t="s">
        <v>1694</v>
      </c>
      <c r="AO209" t="s">
        <v>1694</v>
      </c>
      <c r="AP209" t="s">
        <v>1697</v>
      </c>
      <c r="AQ209" t="s">
        <v>1697</v>
      </c>
      <c r="AR209" t="s">
        <v>1694</v>
      </c>
      <c r="AS209" t="s">
        <v>1694</v>
      </c>
      <c r="AT209" t="s">
        <v>1694</v>
      </c>
      <c r="AU209" t="s">
        <v>1695</v>
      </c>
      <c r="AV209" t="s">
        <v>1694</v>
      </c>
      <c r="AW209" t="s">
        <v>1694</v>
      </c>
      <c r="AX209" t="s">
        <v>1695</v>
      </c>
      <c r="AY209" t="s">
        <v>1694</v>
      </c>
      <c r="AZ209" t="s">
        <v>1694</v>
      </c>
      <c r="BA209" t="s">
        <v>1694</v>
      </c>
      <c r="BB209" t="s">
        <v>1695</v>
      </c>
      <c r="BC209" t="s">
        <v>1694</v>
      </c>
      <c r="BD209" t="s">
        <v>1694</v>
      </c>
      <c r="BE209" t="s">
        <v>1695</v>
      </c>
      <c r="BF209" t="s">
        <v>1694</v>
      </c>
      <c r="BG209" t="s">
        <v>1697</v>
      </c>
      <c r="BH209" t="s">
        <v>1698</v>
      </c>
      <c r="BI209" t="b">
        <v>0</v>
      </c>
      <c r="BJ209">
        <f t="shared" si="3"/>
        <v>0</v>
      </c>
    </row>
    <row r="210" spans="1:62" x14ac:dyDescent="0.2">
      <c r="A210" s="5" t="s">
        <v>46</v>
      </c>
      <c r="B210" s="6">
        <v>38407</v>
      </c>
      <c r="C210" s="7">
        <v>33.498905999999998</v>
      </c>
      <c r="D210" s="7">
        <v>-112.67365599999999</v>
      </c>
      <c r="E210" s="17">
        <v>385</v>
      </c>
      <c r="F210" t="s">
        <v>1694</v>
      </c>
      <c r="G210" t="s">
        <v>1694</v>
      </c>
      <c r="H210" t="s">
        <v>1694</v>
      </c>
      <c r="I210">
        <v>0</v>
      </c>
      <c r="J210" s="8">
        <v>8.9704701121585089</v>
      </c>
      <c r="K210" s="8">
        <v>71.379077428819713</v>
      </c>
      <c r="L210" s="8">
        <v>19.650452459021778</v>
      </c>
      <c r="M210" s="8">
        <v>1.6900776851151507</v>
      </c>
      <c r="N210" s="8">
        <v>1.7096600758990843</v>
      </c>
      <c r="O210" s="8">
        <v>0.64898983108421793</v>
      </c>
      <c r="P210" s="8">
        <v>0.38980249730499117</v>
      </c>
      <c r="Q210" s="8">
        <v>5.2664789690733862</v>
      </c>
      <c r="R210" s="8">
        <v>4.7411272070398933</v>
      </c>
      <c r="S210" s="8">
        <v>0.68100000000000005</v>
      </c>
      <c r="T210" s="8">
        <v>1.361</v>
      </c>
      <c r="U210" s="8">
        <v>0.27700000000000002</v>
      </c>
      <c r="V210" s="8">
        <v>1.155</v>
      </c>
      <c r="W210" s="8">
        <v>0.40400000000000003</v>
      </c>
      <c r="X210" s="8">
        <v>0.20599999999999996</v>
      </c>
      <c r="Y210" s="8">
        <v>2.9508196721311433</v>
      </c>
      <c r="Z210" s="8">
        <v>3.4296028880866345</v>
      </c>
      <c r="AA210" s="8">
        <v>8.31</v>
      </c>
      <c r="AB210">
        <v>0.14699999999999999</v>
      </c>
      <c r="AC210" s="8">
        <v>13.278688524590173</v>
      </c>
      <c r="AD210" s="8">
        <v>15.162454873646226</v>
      </c>
      <c r="AE210" s="8">
        <v>3.1E-2</v>
      </c>
      <c r="AF210" s="8">
        <v>3.2000000000000001E-2</v>
      </c>
      <c r="AG210" s="8">
        <v>1.1929806101339708</v>
      </c>
      <c r="AH210" s="8">
        <v>21.967741935483872</v>
      </c>
      <c r="AI210" s="8">
        <v>43.903225806451616</v>
      </c>
      <c r="AJ210" t="s">
        <v>1694</v>
      </c>
      <c r="AK210" t="s">
        <v>1694</v>
      </c>
      <c r="AL210" t="s">
        <v>1694</v>
      </c>
      <c r="AM210" t="s">
        <v>1694</v>
      </c>
      <c r="AN210" t="s">
        <v>1694</v>
      </c>
      <c r="AO210" t="s">
        <v>1694</v>
      </c>
      <c r="AP210" t="s">
        <v>1695</v>
      </c>
      <c r="AQ210" t="s">
        <v>1694</v>
      </c>
      <c r="AR210" t="s">
        <v>1694</v>
      </c>
      <c r="AS210" t="s">
        <v>1694</v>
      </c>
      <c r="AT210" t="s">
        <v>1694</v>
      </c>
      <c r="AU210" t="s">
        <v>1695</v>
      </c>
      <c r="AV210" t="s">
        <v>1694</v>
      </c>
      <c r="AW210" t="s">
        <v>1694</v>
      </c>
      <c r="AX210" t="s">
        <v>1695</v>
      </c>
      <c r="AY210" t="s">
        <v>1694</v>
      </c>
      <c r="AZ210" t="s">
        <v>1694</v>
      </c>
      <c r="BA210" t="s">
        <v>1694</v>
      </c>
      <c r="BB210" t="s">
        <v>1695</v>
      </c>
      <c r="BC210" t="s">
        <v>1694</v>
      </c>
      <c r="BD210" t="s">
        <v>1694</v>
      </c>
      <c r="BE210" t="s">
        <v>1695</v>
      </c>
      <c r="BF210" t="s">
        <v>1694</v>
      </c>
      <c r="BG210" t="s">
        <v>1697</v>
      </c>
      <c r="BH210" t="s">
        <v>1698</v>
      </c>
      <c r="BI210" t="b">
        <v>0</v>
      </c>
      <c r="BJ210">
        <f t="shared" si="3"/>
        <v>0</v>
      </c>
    </row>
    <row r="211" spans="1:62" x14ac:dyDescent="0.2">
      <c r="A211" s="5" t="s">
        <v>46</v>
      </c>
      <c r="B211" s="6">
        <v>40263</v>
      </c>
      <c r="C211" s="7">
        <v>33.498905999999998</v>
      </c>
      <c r="D211" s="7">
        <v>-112.67365599999999</v>
      </c>
      <c r="E211" s="17">
        <v>385</v>
      </c>
      <c r="F211" t="s">
        <v>1694</v>
      </c>
      <c r="G211" t="s">
        <v>1694</v>
      </c>
      <c r="H211" t="s">
        <v>1694</v>
      </c>
      <c r="I211">
        <v>0</v>
      </c>
      <c r="J211" s="8">
        <v>10.475459665003045</v>
      </c>
      <c r="K211" s="8">
        <v>61.49922098358271</v>
      </c>
      <c r="L211" s="8">
        <v>28.02531935141424</v>
      </c>
      <c r="M211" s="8">
        <v>5.0000000000000001E-3</v>
      </c>
      <c r="N211" s="8">
        <v>1.1891530818514588</v>
      </c>
      <c r="O211" s="8">
        <v>2.4935607774716311</v>
      </c>
      <c r="P211" s="8">
        <v>0.23003289124339699</v>
      </c>
      <c r="Q211" s="8">
        <v>9.4689223239468152</v>
      </c>
      <c r="R211" s="8">
        <v>2.5000000000000001E-3</v>
      </c>
      <c r="S211" s="8">
        <v>0.69499999999999995</v>
      </c>
      <c r="T211" s="8">
        <v>1.65</v>
      </c>
      <c r="U211" s="8">
        <v>0.59099999999999997</v>
      </c>
      <c r="V211" s="8">
        <v>1.1180000000000001</v>
      </c>
      <c r="W211" s="8">
        <v>0.10399999999999998</v>
      </c>
      <c r="X211" s="8">
        <v>0.53199999999999981</v>
      </c>
      <c r="Y211" s="8">
        <v>2.679830747531728</v>
      </c>
      <c r="Z211" s="8">
        <v>3.1796502384737573</v>
      </c>
      <c r="AA211" s="8">
        <v>9.0299999999999994</v>
      </c>
      <c r="AB211">
        <v>0.18</v>
      </c>
      <c r="AC211" s="8">
        <v>3.8081805359661436</v>
      </c>
      <c r="AD211" s="8">
        <v>8.1081081081081052</v>
      </c>
      <c r="AE211" s="8">
        <v>3.2000000000000001E-2</v>
      </c>
      <c r="AF211" s="8">
        <v>2.9000000000000001E-2</v>
      </c>
      <c r="AG211" s="8">
        <v>1.2471708605816516</v>
      </c>
      <c r="AH211" s="8">
        <v>21.718749999999996</v>
      </c>
      <c r="AI211" s="8">
        <v>51.562499999999993</v>
      </c>
      <c r="AJ211" t="s">
        <v>1694</v>
      </c>
      <c r="AK211" t="s">
        <v>1694</v>
      </c>
      <c r="AL211" t="s">
        <v>1694</v>
      </c>
      <c r="AM211" t="s">
        <v>1694</v>
      </c>
      <c r="AN211" t="s">
        <v>1694</v>
      </c>
      <c r="AO211" t="s">
        <v>1694</v>
      </c>
      <c r="AP211" t="s">
        <v>1695</v>
      </c>
      <c r="AQ211" t="s">
        <v>1694</v>
      </c>
      <c r="AR211" t="s">
        <v>1694</v>
      </c>
      <c r="AS211" t="s">
        <v>1694</v>
      </c>
      <c r="AT211" t="s">
        <v>1694</v>
      </c>
      <c r="AU211" t="s">
        <v>1695</v>
      </c>
      <c r="AV211" t="s">
        <v>1694</v>
      </c>
      <c r="AW211" t="s">
        <v>1694</v>
      </c>
      <c r="AX211" t="s">
        <v>1695</v>
      </c>
      <c r="AY211" t="s">
        <v>1694</v>
      </c>
      <c r="AZ211" t="s">
        <v>1694</v>
      </c>
      <c r="BA211" t="s">
        <v>1694</v>
      </c>
      <c r="BB211" t="s">
        <v>1695</v>
      </c>
      <c r="BC211" t="s">
        <v>1694</v>
      </c>
      <c r="BD211" t="s">
        <v>1694</v>
      </c>
      <c r="BE211" t="s">
        <v>1695</v>
      </c>
      <c r="BF211" t="s">
        <v>1694</v>
      </c>
      <c r="BG211" t="s">
        <v>1697</v>
      </c>
      <c r="BH211" t="s">
        <v>1698</v>
      </c>
      <c r="BI211" t="b">
        <v>0</v>
      </c>
      <c r="BJ211">
        <f t="shared" si="3"/>
        <v>0</v>
      </c>
    </row>
    <row r="212" spans="1:62" x14ac:dyDescent="0.2">
      <c r="A212" s="5" t="s">
        <v>46</v>
      </c>
      <c r="B212" s="6">
        <v>42081</v>
      </c>
      <c r="C212" s="7">
        <v>33.498905999999998</v>
      </c>
      <c r="D212" s="7">
        <v>-112.67365599999999</v>
      </c>
      <c r="E212" s="17">
        <v>385</v>
      </c>
      <c r="F212" t="s">
        <v>1694</v>
      </c>
      <c r="G212" t="s">
        <v>1694</v>
      </c>
      <c r="H212" t="s">
        <v>1694</v>
      </c>
      <c r="I212">
        <v>0</v>
      </c>
      <c r="J212">
        <v>12.360195862658999</v>
      </c>
      <c r="K212">
        <v>77.305868368074897</v>
      </c>
      <c r="L212">
        <v>10.3339357692661</v>
      </c>
      <c r="M212">
        <v>2.5077555962792899</v>
      </c>
      <c r="N212">
        <v>2.14876696895467</v>
      </c>
      <c r="O212">
        <v>1.60748937862219</v>
      </c>
      <c r="P212">
        <v>6.4107840974597901</v>
      </c>
      <c r="Q212">
        <v>2.2292931886730298</v>
      </c>
      <c r="R212">
        <v>1.1269975947102699</v>
      </c>
      <c r="S212">
        <v>0.79700000000000004</v>
      </c>
      <c r="T212">
        <v>1.756</v>
      </c>
      <c r="U212">
        <v>0.51600000000000001</v>
      </c>
      <c r="V212">
        <v>1.5529999999999999</v>
      </c>
      <c r="W212">
        <v>0.28100000000000003</v>
      </c>
      <c r="X212">
        <v>0.20300000000000001</v>
      </c>
      <c r="Y212">
        <v>1.6949152542372901</v>
      </c>
      <c r="Z212">
        <v>1.878612716763</v>
      </c>
      <c r="AA212">
        <v>8.3699999999999992</v>
      </c>
      <c r="AB212">
        <v>0.13300000000000001</v>
      </c>
      <c r="AC212">
        <v>2.4169184290030201</v>
      </c>
      <c r="AD212">
        <v>2.771855010661</v>
      </c>
      <c r="AE212">
        <v>5.0999999999999997E-2</v>
      </c>
      <c r="AF212">
        <v>6.6000000000000003E-2</v>
      </c>
      <c r="AG212">
        <v>1.3478006657736821</v>
      </c>
      <c r="AH212">
        <v>15.627450980392201</v>
      </c>
      <c r="AI212">
        <v>26.606060606060598</v>
      </c>
      <c r="AJ212" t="s">
        <v>1694</v>
      </c>
      <c r="AK212" t="s">
        <v>1694</v>
      </c>
      <c r="AL212" t="s">
        <v>1694</v>
      </c>
      <c r="AM212" t="s">
        <v>1694</v>
      </c>
      <c r="AN212" t="s">
        <v>1694</v>
      </c>
      <c r="AO212" t="s">
        <v>1694</v>
      </c>
      <c r="AP212" t="s">
        <v>1697</v>
      </c>
      <c r="AQ212" t="s">
        <v>1697</v>
      </c>
      <c r="AR212" t="s">
        <v>1694</v>
      </c>
      <c r="AS212" t="s">
        <v>1694</v>
      </c>
      <c r="AT212" t="s">
        <v>1694</v>
      </c>
      <c r="AU212" t="s">
        <v>1695</v>
      </c>
      <c r="AV212" t="s">
        <v>1694</v>
      </c>
      <c r="AW212" t="s">
        <v>1694</v>
      </c>
      <c r="AX212" t="s">
        <v>1695</v>
      </c>
      <c r="AY212" t="s">
        <v>1694</v>
      </c>
      <c r="AZ212" t="s">
        <v>1694</v>
      </c>
      <c r="BA212" t="s">
        <v>1694</v>
      </c>
      <c r="BB212" t="s">
        <v>1695</v>
      </c>
      <c r="BC212" t="s">
        <v>1694</v>
      </c>
      <c r="BD212" t="s">
        <v>1694</v>
      </c>
      <c r="BE212" t="s">
        <v>1695</v>
      </c>
      <c r="BF212" t="s">
        <v>1694</v>
      </c>
      <c r="BG212" t="s">
        <v>1697</v>
      </c>
      <c r="BH212" t="s">
        <v>1698</v>
      </c>
      <c r="BI212" t="b">
        <v>0</v>
      </c>
      <c r="BJ212">
        <f t="shared" si="3"/>
        <v>0</v>
      </c>
    </row>
    <row r="213" spans="1:62" x14ac:dyDescent="0.2">
      <c r="A213" s="5" t="s">
        <v>46</v>
      </c>
      <c r="B213" s="6">
        <v>45065</v>
      </c>
      <c r="C213" s="7">
        <v>33.498905999999998</v>
      </c>
      <c r="D213" s="7">
        <v>-112.67365599999999</v>
      </c>
      <c r="E213" s="17">
        <v>385</v>
      </c>
      <c r="F213" t="s">
        <v>1694</v>
      </c>
      <c r="G213" t="s">
        <v>1694</v>
      </c>
      <c r="H213" t="s">
        <v>1694</v>
      </c>
      <c r="I213">
        <v>0</v>
      </c>
      <c r="J213" s="6" t="s">
        <v>1697</v>
      </c>
      <c r="K213" s="6" t="s">
        <v>1697</v>
      </c>
      <c r="L213" s="6" t="s">
        <v>1697</v>
      </c>
      <c r="M213" s="6" t="s">
        <v>1697</v>
      </c>
      <c r="N213" s="6" t="s">
        <v>1697</v>
      </c>
      <c r="O213" s="6" t="s">
        <v>1697</v>
      </c>
      <c r="P213" s="6" t="s">
        <v>1697</v>
      </c>
      <c r="Q213" s="6" t="s">
        <v>1697</v>
      </c>
      <c r="R213" s="6" t="s">
        <v>1697</v>
      </c>
      <c r="S213" s="6" t="s">
        <v>1697</v>
      </c>
      <c r="T213" s="6" t="s">
        <v>1697</v>
      </c>
      <c r="U213" s="6" t="s">
        <v>1697</v>
      </c>
      <c r="V213" s="6" t="s">
        <v>1697</v>
      </c>
      <c r="W213" s="6" t="s">
        <v>1697</v>
      </c>
      <c r="X213" s="6" t="s">
        <v>1697</v>
      </c>
      <c r="Y213" s="6" t="s">
        <v>1697</v>
      </c>
      <c r="Z213" s="6" t="s">
        <v>1697</v>
      </c>
      <c r="AA213" s="6" t="s">
        <v>1697</v>
      </c>
      <c r="AB213" s="6" t="s">
        <v>1697</v>
      </c>
      <c r="AC213" s="6" t="s">
        <v>1697</v>
      </c>
      <c r="AD213" s="6" t="s">
        <v>1697</v>
      </c>
      <c r="AE213" s="6" t="s">
        <v>1697</v>
      </c>
      <c r="AF213" s="6" t="s">
        <v>1697</v>
      </c>
      <c r="AG213" s="6" t="s">
        <v>1697</v>
      </c>
      <c r="AH213" s="6" t="s">
        <v>1697</v>
      </c>
      <c r="AI213" s="6" t="s">
        <v>1697</v>
      </c>
      <c r="AJ213" t="s">
        <v>1694</v>
      </c>
      <c r="AK213" t="s">
        <v>1694</v>
      </c>
      <c r="AL213" t="s">
        <v>1694</v>
      </c>
      <c r="AM213" t="s">
        <v>1694</v>
      </c>
      <c r="AN213" t="s">
        <v>1694</v>
      </c>
      <c r="AO213" t="s">
        <v>1694</v>
      </c>
      <c r="AP213" t="s">
        <v>1697</v>
      </c>
      <c r="AQ213" t="s">
        <v>1697</v>
      </c>
      <c r="AR213" t="s">
        <v>1694</v>
      </c>
      <c r="AS213" t="s">
        <v>1694</v>
      </c>
      <c r="AT213" t="s">
        <v>1694</v>
      </c>
      <c r="AU213" t="s">
        <v>1695</v>
      </c>
      <c r="AV213" t="s">
        <v>1694</v>
      </c>
      <c r="AW213" t="s">
        <v>1694</v>
      </c>
      <c r="AX213" t="s">
        <v>1695</v>
      </c>
      <c r="AY213" t="s">
        <v>1694</v>
      </c>
      <c r="AZ213" t="s">
        <v>1694</v>
      </c>
      <c r="BA213" t="s">
        <v>1694</v>
      </c>
      <c r="BB213" t="s">
        <v>1695</v>
      </c>
      <c r="BC213" t="s">
        <v>1694</v>
      </c>
      <c r="BD213" t="s">
        <v>1694</v>
      </c>
      <c r="BE213" t="s">
        <v>1695</v>
      </c>
      <c r="BF213" t="s">
        <v>1694</v>
      </c>
      <c r="BG213" s="6" t="s">
        <v>1697</v>
      </c>
      <c r="BH213" s="6" t="s">
        <v>1697</v>
      </c>
      <c r="BI213" t="b">
        <v>1</v>
      </c>
      <c r="BJ213">
        <f t="shared" si="3"/>
        <v>1</v>
      </c>
    </row>
    <row r="214" spans="1:62" x14ac:dyDescent="0.2">
      <c r="A214" s="5" t="s">
        <v>47</v>
      </c>
      <c r="B214" s="6">
        <v>40290</v>
      </c>
      <c r="C214" s="7">
        <v>33.373463999999998</v>
      </c>
      <c r="D214" s="7">
        <v>-112.68675</v>
      </c>
      <c r="E214" s="17">
        <v>272</v>
      </c>
      <c r="F214" t="s">
        <v>1703</v>
      </c>
      <c r="G214" t="s">
        <v>1738</v>
      </c>
      <c r="H214" t="s">
        <v>1725</v>
      </c>
      <c r="I214">
        <v>0</v>
      </c>
      <c r="J214" s="8">
        <v>15.769675559108173</v>
      </c>
      <c r="K214" s="8">
        <v>61.477099026857609</v>
      </c>
      <c r="L214" s="8">
        <v>22.753225414034219</v>
      </c>
      <c r="M214" s="8">
        <v>0.15930713720138431</v>
      </c>
      <c r="N214" s="8">
        <v>0.20030327592415376</v>
      </c>
      <c r="O214" s="8">
        <v>40.0711204003482</v>
      </c>
      <c r="P214" s="8">
        <v>15.645579263727432</v>
      </c>
      <c r="Q214" s="8">
        <v>179.15013152472503</v>
      </c>
      <c r="R214" s="8">
        <v>128.44920922149112</v>
      </c>
      <c r="S214" s="8">
        <v>1.6160000000000001</v>
      </c>
      <c r="T214" s="8">
        <v>1.5489999999999999</v>
      </c>
      <c r="U214" s="8">
        <v>1.1279999999999999</v>
      </c>
      <c r="V214" s="8">
        <v>1.1859999999999999</v>
      </c>
      <c r="W214" s="8">
        <v>0.48800000000000021</v>
      </c>
      <c r="X214" s="8">
        <v>0.36299999999999999</v>
      </c>
      <c r="Y214" s="8">
        <v>3.1666666666666585</v>
      </c>
      <c r="Z214" s="8">
        <v>3.4026465028355499</v>
      </c>
      <c r="AA214" s="8">
        <v>8.3699999999999992</v>
      </c>
      <c r="AB214">
        <v>0.28899999999999998</v>
      </c>
      <c r="AC214" s="8">
        <v>11.000000000000004</v>
      </c>
      <c r="AD214" s="8">
        <v>12.287334593572767</v>
      </c>
      <c r="AE214" s="8">
        <v>7.3999999999999996E-2</v>
      </c>
      <c r="AF214" s="8">
        <v>7.3999999999999996E-2</v>
      </c>
      <c r="AG214" s="8">
        <v>1.7720929653931585</v>
      </c>
      <c r="AH214" s="8">
        <v>21.837837837837839</v>
      </c>
      <c r="AI214" s="8">
        <v>20.932432432432432</v>
      </c>
      <c r="AJ214" t="s">
        <v>1694</v>
      </c>
      <c r="AK214" t="s">
        <v>1694</v>
      </c>
      <c r="AL214" t="s">
        <v>1702</v>
      </c>
      <c r="AM214" t="s">
        <v>1703</v>
      </c>
      <c r="AN214" t="s">
        <v>1702</v>
      </c>
      <c r="AO214" t="s">
        <v>1703</v>
      </c>
      <c r="AP214" t="s">
        <v>1702</v>
      </c>
      <c r="AQ214" t="s">
        <v>1697</v>
      </c>
      <c r="AR214" t="s">
        <v>1703</v>
      </c>
      <c r="AS214" t="s">
        <v>1702</v>
      </c>
      <c r="AT214" t="s">
        <v>1703</v>
      </c>
      <c r="AU214" t="s">
        <v>1704</v>
      </c>
      <c r="AV214" t="s">
        <v>1725</v>
      </c>
      <c r="AW214" t="s">
        <v>1703</v>
      </c>
      <c r="AX214" t="s">
        <v>1704</v>
      </c>
      <c r="AY214" t="s">
        <v>1725</v>
      </c>
      <c r="AZ214" t="s">
        <v>1703</v>
      </c>
      <c r="BA214" t="s">
        <v>1702</v>
      </c>
      <c r="BB214" t="s">
        <v>1704</v>
      </c>
      <c r="BC214" t="s">
        <v>1725</v>
      </c>
      <c r="BD214" t="s">
        <v>1703</v>
      </c>
      <c r="BE214" t="s">
        <v>1704</v>
      </c>
      <c r="BF214" t="s">
        <v>1725</v>
      </c>
      <c r="BG214">
        <v>98</v>
      </c>
      <c r="BH214" s="12" t="s">
        <v>1713</v>
      </c>
      <c r="BI214" t="b">
        <v>0</v>
      </c>
      <c r="BJ214">
        <f t="shared" si="3"/>
        <v>0</v>
      </c>
    </row>
    <row r="215" spans="1:62" x14ac:dyDescent="0.2">
      <c r="A215" s="5" t="s">
        <v>47</v>
      </c>
      <c r="B215" s="6">
        <v>42090</v>
      </c>
      <c r="C215" s="7">
        <v>33.373463999999998</v>
      </c>
      <c r="D215" s="7">
        <v>-112.68675</v>
      </c>
      <c r="E215" s="17">
        <v>272</v>
      </c>
      <c r="F215" t="s">
        <v>1703</v>
      </c>
      <c r="G215" t="s">
        <v>1738</v>
      </c>
      <c r="H215" t="s">
        <v>1725</v>
      </c>
      <c r="I215">
        <v>0</v>
      </c>
      <c r="J215">
        <v>3.6950057169006798</v>
      </c>
      <c r="K215">
        <v>80.950284472080099</v>
      </c>
      <c r="L215">
        <v>15.3547098110192</v>
      </c>
      <c r="M215">
        <v>7.7525032824209203</v>
      </c>
      <c r="N215">
        <v>5.2194303165341696</v>
      </c>
      <c r="O215">
        <v>153.47194793189499</v>
      </c>
      <c r="P215">
        <v>81.686994916761606</v>
      </c>
      <c r="Q215">
        <v>23.2391259707355</v>
      </c>
      <c r="R215">
        <v>16.766339284387101</v>
      </c>
      <c r="S215">
        <v>2</v>
      </c>
      <c r="T215">
        <v>1.3979999999999999</v>
      </c>
      <c r="U215">
        <v>1.002</v>
      </c>
      <c r="V215">
        <v>0.98499999999999999</v>
      </c>
      <c r="W215">
        <v>0.998</v>
      </c>
      <c r="X215">
        <v>0.41299999999999998</v>
      </c>
      <c r="Y215">
        <v>2.7681660899653999</v>
      </c>
      <c r="Z215">
        <v>2.2546419098143202</v>
      </c>
      <c r="AA215">
        <v>8.01</v>
      </c>
      <c r="AB215">
        <v>0.76</v>
      </c>
      <c r="AC215">
        <v>3.9556962025316502</v>
      </c>
      <c r="AD215">
        <v>2.83553875236296</v>
      </c>
      <c r="AE215">
        <v>0.13200000000000001</v>
      </c>
      <c r="AF215">
        <v>7.1999999999999995E-2</v>
      </c>
      <c r="AG215">
        <v>1.6469468413721582</v>
      </c>
      <c r="AH215">
        <v>15.1515151515152</v>
      </c>
      <c r="AI215">
        <v>19.4166666666667</v>
      </c>
      <c r="AJ215" t="s">
        <v>1694</v>
      </c>
      <c r="AK215" t="s">
        <v>1694</v>
      </c>
      <c r="AL215" t="s">
        <v>1702</v>
      </c>
      <c r="AM215" t="s">
        <v>1703</v>
      </c>
      <c r="AN215" t="s">
        <v>1702</v>
      </c>
      <c r="AO215" t="s">
        <v>1703</v>
      </c>
      <c r="AP215" t="s">
        <v>1697</v>
      </c>
      <c r="AQ215" t="s">
        <v>1697</v>
      </c>
      <c r="AR215" t="s">
        <v>1703</v>
      </c>
      <c r="AS215" t="s">
        <v>1702</v>
      </c>
      <c r="AT215" t="s">
        <v>1703</v>
      </c>
      <c r="AU215" t="s">
        <v>1704</v>
      </c>
      <c r="AV215" t="s">
        <v>1725</v>
      </c>
      <c r="AW215" t="s">
        <v>1703</v>
      </c>
      <c r="AX215" t="s">
        <v>1704</v>
      </c>
      <c r="AY215" t="s">
        <v>1725</v>
      </c>
      <c r="AZ215" t="s">
        <v>1703</v>
      </c>
      <c r="BA215" t="s">
        <v>1702</v>
      </c>
      <c r="BB215" t="s">
        <v>1704</v>
      </c>
      <c r="BC215" t="s">
        <v>1725</v>
      </c>
      <c r="BD215" t="s">
        <v>1703</v>
      </c>
      <c r="BE215" t="s">
        <v>1704</v>
      </c>
      <c r="BF215" t="s">
        <v>1725</v>
      </c>
      <c r="BG215">
        <v>103</v>
      </c>
      <c r="BH215" t="s">
        <v>1731</v>
      </c>
      <c r="BI215" t="b">
        <v>0</v>
      </c>
      <c r="BJ215">
        <f t="shared" si="3"/>
        <v>0</v>
      </c>
    </row>
    <row r="216" spans="1:62" x14ac:dyDescent="0.2">
      <c r="A216" s="5" t="s">
        <v>860</v>
      </c>
      <c r="B216" s="6">
        <v>38476</v>
      </c>
      <c r="C216" s="7">
        <v>33.81015</v>
      </c>
      <c r="D216" s="7">
        <v>-112.645644</v>
      </c>
      <c r="E216" s="17">
        <v>552</v>
      </c>
      <c r="F216" t="s">
        <v>1694</v>
      </c>
      <c r="G216" t="s">
        <v>1694</v>
      </c>
      <c r="H216" t="s">
        <v>1694</v>
      </c>
      <c r="I216">
        <v>0</v>
      </c>
      <c r="J216" s="8">
        <v>5.4988843624726895</v>
      </c>
      <c r="K216" s="8">
        <v>89.976062238180731</v>
      </c>
      <c r="L216" s="8">
        <v>4.5250533993465751</v>
      </c>
      <c r="M216" s="8">
        <v>1.2865681873195807</v>
      </c>
      <c r="N216" s="8">
        <v>0.84720494224709764</v>
      </c>
      <c r="O216" s="8">
        <v>0.55246751573134933</v>
      </c>
      <c r="P216" s="8">
        <v>0.33888197689883909</v>
      </c>
      <c r="Q216" s="8">
        <v>8.6979297212884319</v>
      </c>
      <c r="R216" s="8">
        <v>2.1393553295133412</v>
      </c>
      <c r="S216" s="8">
        <v>0.185</v>
      </c>
      <c r="T216" s="8">
        <v>7.3999999999999996E-2</v>
      </c>
      <c r="U216" s="8">
        <v>3.1E-2</v>
      </c>
      <c r="V216" s="8">
        <v>4.5999999999999999E-2</v>
      </c>
      <c r="W216" s="8">
        <v>0.154</v>
      </c>
      <c r="X216" s="8">
        <v>2.7999999999999997E-2</v>
      </c>
      <c r="Y216" s="8">
        <v>1.470588235294108</v>
      </c>
      <c r="Z216" s="8">
        <v>1.1617515638963429</v>
      </c>
      <c r="AA216" s="8">
        <v>7.42</v>
      </c>
      <c r="AB216">
        <v>0.189</v>
      </c>
      <c r="AC216" s="8">
        <v>1.6544117647058796</v>
      </c>
      <c r="AD216" s="8">
        <v>3.0384271671134928</v>
      </c>
      <c r="AE216" s="8">
        <v>2.3E-2</v>
      </c>
      <c r="AF216" s="8">
        <v>7.0000000000000001E-3</v>
      </c>
      <c r="AG216" s="8">
        <v>1.4850255627247064</v>
      </c>
      <c r="AH216" s="8">
        <v>8.0434782608695645</v>
      </c>
      <c r="AI216" s="8">
        <v>3.2173913043478262</v>
      </c>
      <c r="AJ216" t="s">
        <v>1694</v>
      </c>
      <c r="AK216" t="s">
        <v>1694</v>
      </c>
      <c r="AL216" t="s">
        <v>1694</v>
      </c>
      <c r="AM216" t="s">
        <v>1694</v>
      </c>
      <c r="AN216" t="s">
        <v>1694</v>
      </c>
      <c r="AO216" t="s">
        <v>1694</v>
      </c>
      <c r="AP216" t="s">
        <v>1695</v>
      </c>
      <c r="AQ216" t="s">
        <v>1694</v>
      </c>
      <c r="AR216" t="s">
        <v>1694</v>
      </c>
      <c r="AS216" t="s">
        <v>1694</v>
      </c>
      <c r="AT216" t="s">
        <v>1694</v>
      </c>
      <c r="AU216" t="s">
        <v>1695</v>
      </c>
      <c r="AV216" t="s">
        <v>1694</v>
      </c>
      <c r="AW216" t="s">
        <v>1694</v>
      </c>
      <c r="AX216" t="s">
        <v>1695</v>
      </c>
      <c r="AY216" t="s">
        <v>1694</v>
      </c>
      <c r="AZ216" t="s">
        <v>1694</v>
      </c>
      <c r="BA216" t="s">
        <v>1694</v>
      </c>
      <c r="BB216" t="s">
        <v>1695</v>
      </c>
      <c r="BC216" t="s">
        <v>1694</v>
      </c>
      <c r="BD216" t="s">
        <v>1694</v>
      </c>
      <c r="BE216" t="s">
        <v>1695</v>
      </c>
      <c r="BF216" t="s">
        <v>1694</v>
      </c>
      <c r="BG216" t="s">
        <v>1697</v>
      </c>
      <c r="BH216" t="s">
        <v>1698</v>
      </c>
      <c r="BI216" t="b">
        <v>0</v>
      </c>
      <c r="BJ216">
        <f t="shared" si="3"/>
        <v>0</v>
      </c>
    </row>
    <row r="217" spans="1:62" x14ac:dyDescent="0.2">
      <c r="A217" s="5" t="s">
        <v>860</v>
      </c>
      <c r="B217" s="6">
        <v>40232</v>
      </c>
      <c r="C217" s="7">
        <v>33.81015</v>
      </c>
      <c r="D217" s="7">
        <v>-112.645644</v>
      </c>
      <c r="E217" s="17">
        <v>552</v>
      </c>
      <c r="F217" t="s">
        <v>1694</v>
      </c>
      <c r="G217" t="s">
        <v>1694</v>
      </c>
      <c r="H217" t="s">
        <v>1694</v>
      </c>
      <c r="I217">
        <v>0</v>
      </c>
      <c r="J217" s="8">
        <v>12.645565864922172</v>
      </c>
      <c r="K217" s="8">
        <v>83.238208298038757</v>
      </c>
      <c r="L217" s="8">
        <v>4.1162258370390674</v>
      </c>
      <c r="M217" s="8">
        <v>0.90270634360747304</v>
      </c>
      <c r="N217" s="8">
        <v>0.64298488415468558</v>
      </c>
      <c r="O217" s="8">
        <v>4.6748939347189875</v>
      </c>
      <c r="P217" s="8">
        <v>2.1199229150604074E-2</v>
      </c>
      <c r="Q217" s="8">
        <v>20.774942094965727</v>
      </c>
      <c r="R217" s="8">
        <v>2.5000000000000001E-3</v>
      </c>
      <c r="S217" s="8">
        <v>0.14199999999999999</v>
      </c>
      <c r="T217" s="8">
        <v>5.2999999999999999E-2</v>
      </c>
      <c r="U217" s="8">
        <v>0.01</v>
      </c>
      <c r="V217" s="8">
        <v>0.01</v>
      </c>
      <c r="W217" s="8">
        <v>0.13199999999999998</v>
      </c>
      <c r="X217" s="8">
        <v>4.2999999999999997E-2</v>
      </c>
      <c r="Y217" s="8">
        <v>1.5789473684210564</v>
      </c>
      <c r="Z217" s="8">
        <v>1.2401352874859211</v>
      </c>
      <c r="AA217" s="8">
        <v>7.75</v>
      </c>
      <c r="AB217">
        <v>7.0999999999999994E-2</v>
      </c>
      <c r="AC217" s="8">
        <v>7.6842105263157929</v>
      </c>
      <c r="AD217" s="8">
        <v>4.7350620067643723</v>
      </c>
      <c r="AE217" s="8">
        <v>1.7000000000000001E-2</v>
      </c>
      <c r="AF217" s="8">
        <v>7.0000000000000001E-3</v>
      </c>
      <c r="AG217" s="8">
        <v>1.72017668843059</v>
      </c>
      <c r="AH217" s="8">
        <v>8.352941176470587</v>
      </c>
      <c r="AI217" s="8">
        <v>3.117647058823529</v>
      </c>
      <c r="AJ217" t="s">
        <v>1694</v>
      </c>
      <c r="AK217" t="s">
        <v>1694</v>
      </c>
      <c r="AL217" t="s">
        <v>1694</v>
      </c>
      <c r="AM217" t="s">
        <v>1694</v>
      </c>
      <c r="AN217" t="s">
        <v>1694</v>
      </c>
      <c r="AO217" t="s">
        <v>1694</v>
      </c>
      <c r="AP217" t="s">
        <v>1695</v>
      </c>
      <c r="AQ217" t="s">
        <v>1694</v>
      </c>
      <c r="AR217" t="s">
        <v>1694</v>
      </c>
      <c r="AS217" t="s">
        <v>1694</v>
      </c>
      <c r="AT217" t="s">
        <v>1694</v>
      </c>
      <c r="AU217" t="s">
        <v>1695</v>
      </c>
      <c r="AV217" t="s">
        <v>1694</v>
      </c>
      <c r="AW217" t="s">
        <v>1694</v>
      </c>
      <c r="AX217" t="s">
        <v>1695</v>
      </c>
      <c r="AY217" t="s">
        <v>1694</v>
      </c>
      <c r="AZ217" t="s">
        <v>1694</v>
      </c>
      <c r="BA217" t="s">
        <v>1694</v>
      </c>
      <c r="BB217" t="s">
        <v>1695</v>
      </c>
      <c r="BC217" t="s">
        <v>1694</v>
      </c>
      <c r="BD217" t="s">
        <v>1694</v>
      </c>
      <c r="BE217" t="s">
        <v>1695</v>
      </c>
      <c r="BF217" t="s">
        <v>1694</v>
      </c>
      <c r="BG217" t="s">
        <v>1697</v>
      </c>
      <c r="BH217" t="s">
        <v>1698</v>
      </c>
      <c r="BI217" t="b">
        <v>0</v>
      </c>
      <c r="BJ217">
        <f t="shared" si="3"/>
        <v>0</v>
      </c>
    </row>
    <row r="218" spans="1:62" x14ac:dyDescent="0.2">
      <c r="A218" s="5" t="s">
        <v>860</v>
      </c>
      <c r="B218" s="6">
        <v>42069</v>
      </c>
      <c r="C218" s="7">
        <v>33.81015</v>
      </c>
      <c r="D218" s="7">
        <v>-112.645644</v>
      </c>
      <c r="E218" s="17">
        <v>552</v>
      </c>
      <c r="F218" t="s">
        <v>1697</v>
      </c>
      <c r="G218" t="s">
        <v>1697</v>
      </c>
      <c r="H218" t="s">
        <v>1697</v>
      </c>
      <c r="I218" t="s">
        <v>1697</v>
      </c>
      <c r="J218">
        <v>4.6850485800208999</v>
      </c>
      <c r="K218">
        <v>89.879488935219797</v>
      </c>
      <c r="L218">
        <v>5.4354624847592801</v>
      </c>
      <c r="M218">
        <v>1.5703853659065701</v>
      </c>
      <c r="N218">
        <v>1.2355446148773901</v>
      </c>
      <c r="O218">
        <v>3.5473171970985899</v>
      </c>
      <c r="P218">
        <v>1.0753099226354801</v>
      </c>
      <c r="Q218">
        <v>11.4269101514995</v>
      </c>
      <c r="R218">
        <v>1.38123517877299</v>
      </c>
      <c r="S218">
        <v>0.20899999999999999</v>
      </c>
      <c r="T218">
        <v>0.10299999999999999</v>
      </c>
      <c r="U218">
        <v>5.0000000000000001E-3</v>
      </c>
      <c r="V218">
        <v>1.2999999999999999E-2</v>
      </c>
      <c r="W218">
        <v>0.20399999999999999</v>
      </c>
      <c r="X218">
        <v>0.09</v>
      </c>
      <c r="Y218">
        <v>1.1034482758620701</v>
      </c>
      <c r="Z218">
        <v>0.83732057416268302</v>
      </c>
      <c r="AA218">
        <v>7.64</v>
      </c>
      <c r="AB218">
        <v>0.13700000000000001</v>
      </c>
      <c r="AC218">
        <v>1.1928429423459299</v>
      </c>
      <c r="AD218">
        <v>1.30505709624796</v>
      </c>
      <c r="AE218">
        <v>1.9E-2</v>
      </c>
      <c r="AF218">
        <v>0.01</v>
      </c>
      <c r="AG218">
        <v>1.6470321033713908</v>
      </c>
      <c r="AH218">
        <v>11</v>
      </c>
      <c r="AI218">
        <v>10.3</v>
      </c>
      <c r="AJ218" t="s">
        <v>1694</v>
      </c>
      <c r="AK218" t="s">
        <v>1694</v>
      </c>
      <c r="AL218" t="s">
        <v>1694</v>
      </c>
      <c r="AM218" t="s">
        <v>1694</v>
      </c>
      <c r="AN218" t="s">
        <v>1694</v>
      </c>
      <c r="AO218" t="s">
        <v>1694</v>
      </c>
      <c r="AP218" t="s">
        <v>1695</v>
      </c>
      <c r="AQ218" t="s">
        <v>1694</v>
      </c>
      <c r="AR218" t="s">
        <v>1694</v>
      </c>
      <c r="AS218" t="s">
        <v>1694</v>
      </c>
      <c r="AT218" t="s">
        <v>1694</v>
      </c>
      <c r="AU218" t="s">
        <v>1695</v>
      </c>
      <c r="AV218" t="s">
        <v>1694</v>
      </c>
      <c r="AW218" t="s">
        <v>1694</v>
      </c>
      <c r="AX218" t="s">
        <v>1695</v>
      </c>
      <c r="AY218" t="s">
        <v>1694</v>
      </c>
      <c r="AZ218" t="s">
        <v>1694</v>
      </c>
      <c r="BA218" t="s">
        <v>1694</v>
      </c>
      <c r="BB218" t="s">
        <v>1695</v>
      </c>
      <c r="BC218" t="s">
        <v>1694</v>
      </c>
      <c r="BD218" t="s">
        <v>1694</v>
      </c>
      <c r="BE218" t="s">
        <v>1695</v>
      </c>
      <c r="BF218" t="s">
        <v>1694</v>
      </c>
      <c r="BG218" t="s">
        <v>1697</v>
      </c>
      <c r="BH218" t="s">
        <v>1698</v>
      </c>
      <c r="BI218" t="b">
        <v>0</v>
      </c>
      <c r="BJ218">
        <f t="shared" si="3"/>
        <v>0</v>
      </c>
    </row>
    <row r="219" spans="1:62" x14ac:dyDescent="0.2">
      <c r="A219" s="5" t="s">
        <v>861</v>
      </c>
      <c r="B219" s="6">
        <v>38440</v>
      </c>
      <c r="C219" s="7">
        <v>33.769750000000002</v>
      </c>
      <c r="D219" s="7">
        <v>-112.640683</v>
      </c>
      <c r="E219" s="17">
        <v>536</v>
      </c>
      <c r="F219" t="s">
        <v>1694</v>
      </c>
      <c r="G219" t="s">
        <v>1694</v>
      </c>
      <c r="H219" t="s">
        <v>1694</v>
      </c>
      <c r="I219">
        <v>0</v>
      </c>
      <c r="J219" s="8">
        <v>16.757250992324582</v>
      </c>
      <c r="K219" s="8">
        <v>57.545342333877961</v>
      </c>
      <c r="L219" s="8">
        <v>25.69740667379746</v>
      </c>
      <c r="M219" s="8">
        <v>2.4099596188208081</v>
      </c>
      <c r="N219" s="8">
        <v>2.4869220720032743</v>
      </c>
      <c r="O219" s="8">
        <v>1.491162514145375</v>
      </c>
      <c r="P219" s="8">
        <v>0.80047804192605387</v>
      </c>
      <c r="Q219" s="8">
        <v>24.659668642223274</v>
      </c>
      <c r="R219" s="8">
        <v>6.0010510867905094</v>
      </c>
      <c r="S219" s="8">
        <v>0.36499999999999999</v>
      </c>
      <c r="T219" s="8">
        <v>0.33300000000000002</v>
      </c>
      <c r="U219" s="8">
        <v>7.3999999999999996E-2</v>
      </c>
      <c r="V219" s="8">
        <v>0.10199999999999999</v>
      </c>
      <c r="W219" s="8">
        <v>0.29099999999999998</v>
      </c>
      <c r="X219" s="8">
        <v>0.23100000000000004</v>
      </c>
      <c r="Y219" s="8">
        <v>2.0435967302452123</v>
      </c>
      <c r="Z219" s="8">
        <v>2.5139664804469235</v>
      </c>
      <c r="AA219" s="8">
        <v>7.85</v>
      </c>
      <c r="AB219">
        <v>0.19500000000000001</v>
      </c>
      <c r="AC219" s="8">
        <v>4.2234332425068191</v>
      </c>
      <c r="AD219" s="8">
        <v>7.1229050279329575</v>
      </c>
      <c r="AE219" s="8">
        <v>4.3999999999999997E-2</v>
      </c>
      <c r="AF219" s="8">
        <v>0.01</v>
      </c>
      <c r="AG219" s="8">
        <v>1.4393898807531931</v>
      </c>
      <c r="AH219" s="8">
        <v>8.295454545454545</v>
      </c>
      <c r="AI219" s="8">
        <v>7.5681818181818192</v>
      </c>
      <c r="AJ219" t="s">
        <v>1694</v>
      </c>
      <c r="AK219" t="s">
        <v>1694</v>
      </c>
      <c r="AL219" t="s">
        <v>1694</v>
      </c>
      <c r="AM219" t="s">
        <v>1694</v>
      </c>
      <c r="AN219" t="s">
        <v>1694</v>
      </c>
      <c r="AO219" t="s">
        <v>1694</v>
      </c>
      <c r="AP219" t="s">
        <v>1695</v>
      </c>
      <c r="AQ219" t="s">
        <v>1694</v>
      </c>
      <c r="AR219" t="s">
        <v>1694</v>
      </c>
      <c r="AS219" t="s">
        <v>1694</v>
      </c>
      <c r="AT219" t="s">
        <v>1694</v>
      </c>
      <c r="AU219" t="s">
        <v>1695</v>
      </c>
      <c r="AV219" t="s">
        <v>1694</v>
      </c>
      <c r="AW219" t="s">
        <v>1694</v>
      </c>
      <c r="AX219" t="s">
        <v>1695</v>
      </c>
      <c r="AY219" t="s">
        <v>1694</v>
      </c>
      <c r="AZ219" t="s">
        <v>1694</v>
      </c>
      <c r="BA219" t="s">
        <v>1694</v>
      </c>
      <c r="BB219" t="s">
        <v>1695</v>
      </c>
      <c r="BC219" t="s">
        <v>1694</v>
      </c>
      <c r="BD219" t="s">
        <v>1694</v>
      </c>
      <c r="BE219" t="s">
        <v>1695</v>
      </c>
      <c r="BF219" t="s">
        <v>1694</v>
      </c>
      <c r="BG219" t="s">
        <v>1697</v>
      </c>
      <c r="BH219" t="s">
        <v>1698</v>
      </c>
      <c r="BI219" t="b">
        <v>0</v>
      </c>
      <c r="BJ219">
        <f t="shared" si="3"/>
        <v>0</v>
      </c>
    </row>
    <row r="220" spans="1:62" x14ac:dyDescent="0.2">
      <c r="A220" s="5" t="s">
        <v>861</v>
      </c>
      <c r="B220" s="6">
        <v>40232</v>
      </c>
      <c r="C220" s="7">
        <v>33.769750000000002</v>
      </c>
      <c r="D220" s="7">
        <v>-112.640683</v>
      </c>
      <c r="E220" s="17">
        <v>536</v>
      </c>
      <c r="F220" t="s">
        <v>1694</v>
      </c>
      <c r="G220" t="s">
        <v>1694</v>
      </c>
      <c r="H220" t="s">
        <v>1694</v>
      </c>
      <c r="I220">
        <v>0</v>
      </c>
      <c r="J220" s="8">
        <v>7.94092228993728</v>
      </c>
      <c r="K220" s="8">
        <v>82.243109629989632</v>
      </c>
      <c r="L220" s="8">
        <v>9.8159680800730911</v>
      </c>
      <c r="M220" s="8">
        <v>0.69643705671533285</v>
      </c>
      <c r="N220" s="8">
        <v>0.33053125952807016</v>
      </c>
      <c r="O220" s="8">
        <v>11.802693104827751</v>
      </c>
      <c r="P220" s="8">
        <v>4.7665264376388361</v>
      </c>
      <c r="Q220" s="8">
        <v>36.107382367316752</v>
      </c>
      <c r="R220" s="8">
        <v>14.567972462291754</v>
      </c>
      <c r="S220" s="8">
        <v>0.40699999999999997</v>
      </c>
      <c r="T220" s="8">
        <v>0.28100000000000003</v>
      </c>
      <c r="U220" s="8">
        <v>0.01</v>
      </c>
      <c r="V220" s="8">
        <v>1.2999999999999999E-2</v>
      </c>
      <c r="W220" s="8">
        <v>0.39699999999999996</v>
      </c>
      <c r="X220" s="8">
        <v>0.26800000000000002</v>
      </c>
      <c r="Y220" s="8">
        <v>2.8449502133712561</v>
      </c>
      <c r="Z220" s="8">
        <v>3.0065359477124236</v>
      </c>
      <c r="AA220" s="8">
        <v>7.62</v>
      </c>
      <c r="AB220">
        <v>0.23300000000000001</v>
      </c>
      <c r="AC220" s="8">
        <v>9.2460881934566217</v>
      </c>
      <c r="AD220" s="8">
        <v>7.7124183006535922</v>
      </c>
      <c r="AE220" s="8">
        <v>5.3999999999999999E-2</v>
      </c>
      <c r="AF220" s="8">
        <v>3.7999999999999999E-2</v>
      </c>
      <c r="AG220" s="8">
        <v>1.4490330947061247</v>
      </c>
      <c r="AH220" s="8">
        <v>7.5370370370370363</v>
      </c>
      <c r="AI220" s="8">
        <v>5.2037037037037042</v>
      </c>
      <c r="AJ220" t="s">
        <v>1694</v>
      </c>
      <c r="AK220" t="s">
        <v>1694</v>
      </c>
      <c r="AL220" t="s">
        <v>1694</v>
      </c>
      <c r="AM220" t="s">
        <v>1694</v>
      </c>
      <c r="AN220" t="s">
        <v>1694</v>
      </c>
      <c r="AO220" t="s">
        <v>1694</v>
      </c>
      <c r="AP220" t="s">
        <v>1695</v>
      </c>
      <c r="AQ220" t="s">
        <v>1694</v>
      </c>
      <c r="AR220" t="s">
        <v>1694</v>
      </c>
      <c r="AS220" t="s">
        <v>1694</v>
      </c>
      <c r="AT220" t="s">
        <v>1694</v>
      </c>
      <c r="AU220" t="s">
        <v>1695</v>
      </c>
      <c r="AV220" t="s">
        <v>1694</v>
      </c>
      <c r="AW220" t="s">
        <v>1694</v>
      </c>
      <c r="AX220" t="s">
        <v>1695</v>
      </c>
      <c r="AY220" t="s">
        <v>1694</v>
      </c>
      <c r="AZ220" t="s">
        <v>1694</v>
      </c>
      <c r="BA220" t="s">
        <v>1694</v>
      </c>
      <c r="BB220" t="s">
        <v>1695</v>
      </c>
      <c r="BC220" t="s">
        <v>1694</v>
      </c>
      <c r="BD220" t="s">
        <v>1694</v>
      </c>
      <c r="BE220" t="s">
        <v>1695</v>
      </c>
      <c r="BF220" t="s">
        <v>1694</v>
      </c>
      <c r="BG220" t="s">
        <v>1697</v>
      </c>
      <c r="BH220" t="s">
        <v>1698</v>
      </c>
      <c r="BI220" t="b">
        <v>0</v>
      </c>
      <c r="BJ220">
        <f t="shared" si="3"/>
        <v>0</v>
      </c>
    </row>
    <row r="221" spans="1:62" x14ac:dyDescent="0.2">
      <c r="A221" s="5" t="s">
        <v>861</v>
      </c>
      <c r="B221" s="6">
        <v>42110</v>
      </c>
      <c r="C221" s="7">
        <v>33.769750000000002</v>
      </c>
      <c r="D221" s="7">
        <v>-112.640683</v>
      </c>
      <c r="E221" s="17">
        <v>536</v>
      </c>
      <c r="F221" t="s">
        <v>1694</v>
      </c>
      <c r="G221" t="s">
        <v>1694</v>
      </c>
      <c r="H221" t="s">
        <v>1694</v>
      </c>
      <c r="I221">
        <v>0</v>
      </c>
      <c r="J221">
        <v>9.56223675976476</v>
      </c>
      <c r="K221">
        <v>56.660717005781898</v>
      </c>
      <c r="L221">
        <v>33.777046234453401</v>
      </c>
      <c r="M221">
        <v>3.03999828964055</v>
      </c>
      <c r="N221">
        <v>5.4420842792548099</v>
      </c>
      <c r="O221">
        <v>3.4528375635423498</v>
      </c>
      <c r="P221">
        <v>112.62091077902301</v>
      </c>
      <c r="Q221">
        <v>8.7886083006904094</v>
      </c>
      <c r="R221">
        <v>4.6755322875467904</v>
      </c>
      <c r="S221">
        <v>0.45500000000000002</v>
      </c>
      <c r="T221">
        <v>0.35699999999999998</v>
      </c>
      <c r="U221">
        <v>3.0000000000000001E-3</v>
      </c>
      <c r="V221">
        <v>1.6E-2</v>
      </c>
      <c r="W221">
        <v>0.45200000000000001</v>
      </c>
      <c r="X221">
        <v>0.34100000000000003</v>
      </c>
      <c r="Y221">
        <v>1.78926441351888</v>
      </c>
      <c r="Z221">
        <v>1.68831168831169</v>
      </c>
      <c r="AA221">
        <v>7.15</v>
      </c>
      <c r="AB221">
        <v>0.41899999999999998</v>
      </c>
      <c r="AC221">
        <v>2.9754204398447399</v>
      </c>
      <c r="AD221">
        <v>4.4036697247706504</v>
      </c>
      <c r="AE221">
        <v>0.186</v>
      </c>
      <c r="AF221">
        <v>4.2999999999999997E-2</v>
      </c>
      <c r="AG221">
        <v>1.5504591891303463</v>
      </c>
      <c r="AH221">
        <v>2.4462365591397801</v>
      </c>
      <c r="AI221">
        <v>8.3023255813953494</v>
      </c>
      <c r="AJ221" t="s">
        <v>1694</v>
      </c>
      <c r="AK221" t="s">
        <v>1694</v>
      </c>
      <c r="AL221" t="s">
        <v>1694</v>
      </c>
      <c r="AM221" t="s">
        <v>1694</v>
      </c>
      <c r="AN221" t="s">
        <v>1694</v>
      </c>
      <c r="AO221" t="s">
        <v>1694</v>
      </c>
      <c r="AP221" t="s">
        <v>1695</v>
      </c>
      <c r="AQ221" t="s">
        <v>1694</v>
      </c>
      <c r="AR221" t="s">
        <v>1694</v>
      </c>
      <c r="AS221" t="s">
        <v>1694</v>
      </c>
      <c r="AT221" t="s">
        <v>1694</v>
      </c>
      <c r="AU221" t="s">
        <v>1695</v>
      </c>
      <c r="AV221" t="s">
        <v>1694</v>
      </c>
      <c r="AW221" t="s">
        <v>1694</v>
      </c>
      <c r="AX221" t="s">
        <v>1695</v>
      </c>
      <c r="AY221" t="s">
        <v>1694</v>
      </c>
      <c r="AZ221" t="s">
        <v>1694</v>
      </c>
      <c r="BA221" t="s">
        <v>1694</v>
      </c>
      <c r="BB221" t="s">
        <v>1695</v>
      </c>
      <c r="BC221" t="s">
        <v>1694</v>
      </c>
      <c r="BD221" t="s">
        <v>1694</v>
      </c>
      <c r="BE221" t="s">
        <v>1695</v>
      </c>
      <c r="BF221" t="s">
        <v>1694</v>
      </c>
      <c r="BG221" t="s">
        <v>1697</v>
      </c>
      <c r="BH221" t="s">
        <v>1698</v>
      </c>
      <c r="BI221" t="b">
        <v>0</v>
      </c>
      <c r="BJ221">
        <f t="shared" si="3"/>
        <v>0</v>
      </c>
    </row>
    <row r="222" spans="1:62" x14ac:dyDescent="0.2">
      <c r="A222" s="5" t="s">
        <v>48</v>
      </c>
      <c r="B222" s="6">
        <v>38455</v>
      </c>
      <c r="C222" s="7">
        <v>33.588053000000002</v>
      </c>
      <c r="D222" s="7">
        <v>-112.659278</v>
      </c>
      <c r="E222" s="17">
        <v>480</v>
      </c>
      <c r="F222" t="s">
        <v>1694</v>
      </c>
      <c r="G222" t="s">
        <v>1694</v>
      </c>
      <c r="H222" t="s">
        <v>1694</v>
      </c>
      <c r="I222">
        <v>0</v>
      </c>
      <c r="J222" s="8">
        <v>9.7643616971609308</v>
      </c>
      <c r="K222" s="8">
        <v>76.478738724623383</v>
      </c>
      <c r="L222" s="8">
        <v>13.75689957821568</v>
      </c>
      <c r="M222" s="8">
        <v>2.939174504248554</v>
      </c>
      <c r="N222" s="8">
        <v>0.98758432401042884</v>
      </c>
      <c r="O222" s="8">
        <v>0.93073859301204209</v>
      </c>
      <c r="P222" s="8">
        <v>7.4068824300782168E-2</v>
      </c>
      <c r="Q222" s="8">
        <v>7.754220256074384</v>
      </c>
      <c r="R222" s="8">
        <v>1.8428782827580654</v>
      </c>
      <c r="S222" s="8">
        <v>0.96199999999999997</v>
      </c>
      <c r="T222" s="8">
        <v>2.6909999999999998</v>
      </c>
      <c r="U222" s="8">
        <v>0.56299999999999994</v>
      </c>
      <c r="V222" s="8">
        <v>0.36199999999999999</v>
      </c>
      <c r="W222" s="8">
        <v>0.39900000000000002</v>
      </c>
      <c r="X222" s="8">
        <v>2.3289999999999997</v>
      </c>
      <c r="Y222" s="8">
        <v>2.8753993610223598</v>
      </c>
      <c r="Z222" s="8">
        <v>2.7322404371584601</v>
      </c>
      <c r="AA222" s="8">
        <v>8.6199999999999992</v>
      </c>
      <c r="AB222">
        <v>0.16500000000000001</v>
      </c>
      <c r="AC222" s="8">
        <v>2.715654952076676</v>
      </c>
      <c r="AD222" s="8">
        <v>3.6429872495446296</v>
      </c>
      <c r="AE222" s="8">
        <v>3.3000000000000002E-2</v>
      </c>
      <c r="AF222" s="8">
        <v>0.17199999999999999</v>
      </c>
      <c r="AG222" s="8">
        <v>1.58916068590924</v>
      </c>
      <c r="AH222" s="8">
        <v>29.151515151515149</v>
      </c>
      <c r="AI222" s="8">
        <v>81.545454545454533</v>
      </c>
      <c r="AJ222" t="s">
        <v>1694</v>
      </c>
      <c r="AK222" t="s">
        <v>1694</v>
      </c>
      <c r="AL222" t="s">
        <v>1694</v>
      </c>
      <c r="AM222" t="s">
        <v>1694</v>
      </c>
      <c r="AN222" t="s">
        <v>1694</v>
      </c>
      <c r="AO222" t="s">
        <v>1694</v>
      </c>
      <c r="AP222" t="s">
        <v>1695</v>
      </c>
      <c r="AQ222" t="s">
        <v>1694</v>
      </c>
      <c r="AR222" t="s">
        <v>1694</v>
      </c>
      <c r="AS222" t="s">
        <v>1694</v>
      </c>
      <c r="AT222" t="s">
        <v>1694</v>
      </c>
      <c r="AU222" t="s">
        <v>1695</v>
      </c>
      <c r="AV222" t="s">
        <v>1694</v>
      </c>
      <c r="AW222" t="s">
        <v>1694</v>
      </c>
      <c r="AX222" t="s">
        <v>1695</v>
      </c>
      <c r="AY222" t="s">
        <v>1694</v>
      </c>
      <c r="AZ222" t="s">
        <v>1694</v>
      </c>
      <c r="BA222" t="s">
        <v>1694</v>
      </c>
      <c r="BB222" t="s">
        <v>1695</v>
      </c>
      <c r="BC222" t="s">
        <v>1694</v>
      </c>
      <c r="BD222" t="s">
        <v>1694</v>
      </c>
      <c r="BE222" t="s">
        <v>1695</v>
      </c>
      <c r="BF222" t="s">
        <v>1694</v>
      </c>
      <c r="BG222" t="s">
        <v>1697</v>
      </c>
      <c r="BH222" t="s">
        <v>1698</v>
      </c>
      <c r="BI222" t="b">
        <v>0</v>
      </c>
      <c r="BJ222">
        <f t="shared" si="3"/>
        <v>0</v>
      </c>
    </row>
    <row r="223" spans="1:62" x14ac:dyDescent="0.2">
      <c r="A223" s="5" t="s">
        <v>48</v>
      </c>
      <c r="B223" s="6">
        <v>40274</v>
      </c>
      <c r="C223" s="7">
        <v>33.588053000000002</v>
      </c>
      <c r="D223" s="7">
        <v>-112.659278</v>
      </c>
      <c r="E223" s="17">
        <v>480</v>
      </c>
      <c r="F223" t="s">
        <v>1694</v>
      </c>
      <c r="G223" t="s">
        <v>1694</v>
      </c>
      <c r="H223" t="s">
        <v>1694</v>
      </c>
      <c r="I223">
        <v>0</v>
      </c>
      <c r="J223" s="8">
        <v>7.844478629350446</v>
      </c>
      <c r="K223" s="8">
        <v>73.72271049029564</v>
      </c>
      <c r="L223" s="8">
        <v>18.432810880353912</v>
      </c>
      <c r="M223" s="8">
        <v>0.83610555275816634</v>
      </c>
      <c r="N223" s="8">
        <v>7.2126672249422E-2</v>
      </c>
      <c r="O223" s="8">
        <v>0.66560559690159904</v>
      </c>
      <c r="P223" s="8">
        <v>0.42204407076233214</v>
      </c>
      <c r="Q223" s="8">
        <v>13.12011032354113</v>
      </c>
      <c r="R223" s="8">
        <v>2.5000000000000001E-3</v>
      </c>
      <c r="S223" s="8">
        <v>0.61399999999999999</v>
      </c>
      <c r="T223" s="8">
        <v>0.879</v>
      </c>
      <c r="U223" s="8">
        <v>0.51600000000000001</v>
      </c>
      <c r="V223" s="8">
        <v>0.82799999999999996</v>
      </c>
      <c r="W223" s="8">
        <v>9.7999999999999976E-2</v>
      </c>
      <c r="X223" s="8">
        <v>5.1000000000000045E-2</v>
      </c>
      <c r="Y223" s="8">
        <v>4.1714947856315314</v>
      </c>
      <c r="Z223" s="8">
        <v>3.4883720930232585</v>
      </c>
      <c r="AA223" s="8">
        <v>8.5</v>
      </c>
      <c r="AB223">
        <v>0.13900000000000001</v>
      </c>
      <c r="AC223" s="8">
        <v>2.7809965237543475</v>
      </c>
      <c r="AD223" s="8">
        <v>4.0697674418604555</v>
      </c>
      <c r="AE223" s="8">
        <v>3.5000000000000003E-2</v>
      </c>
      <c r="AF223" s="8">
        <v>1.7999999999999999E-2</v>
      </c>
      <c r="AG223" s="8">
        <v>1.6177556173982519</v>
      </c>
      <c r="AH223" s="8">
        <v>17.542857142857141</v>
      </c>
      <c r="AI223" s="8">
        <v>25.11428571428571</v>
      </c>
      <c r="AJ223" t="s">
        <v>1694</v>
      </c>
      <c r="AK223" t="s">
        <v>1694</v>
      </c>
      <c r="AL223" t="s">
        <v>1694</v>
      </c>
      <c r="AM223" t="s">
        <v>1694</v>
      </c>
      <c r="AN223" t="s">
        <v>1694</v>
      </c>
      <c r="AO223" t="s">
        <v>1694</v>
      </c>
      <c r="AP223" t="s">
        <v>1695</v>
      </c>
      <c r="AQ223" t="s">
        <v>1694</v>
      </c>
      <c r="AR223" t="s">
        <v>1694</v>
      </c>
      <c r="AS223" t="s">
        <v>1694</v>
      </c>
      <c r="AT223" t="s">
        <v>1694</v>
      </c>
      <c r="AU223" t="s">
        <v>1695</v>
      </c>
      <c r="AV223" t="s">
        <v>1694</v>
      </c>
      <c r="AW223" t="s">
        <v>1694</v>
      </c>
      <c r="AX223" t="s">
        <v>1695</v>
      </c>
      <c r="AY223" t="s">
        <v>1694</v>
      </c>
      <c r="AZ223" t="s">
        <v>1694</v>
      </c>
      <c r="BA223" t="s">
        <v>1694</v>
      </c>
      <c r="BB223" t="s">
        <v>1695</v>
      </c>
      <c r="BC223" t="s">
        <v>1694</v>
      </c>
      <c r="BD223" t="s">
        <v>1694</v>
      </c>
      <c r="BE223" t="s">
        <v>1695</v>
      </c>
      <c r="BF223" t="s">
        <v>1694</v>
      </c>
      <c r="BG223" t="s">
        <v>1697</v>
      </c>
      <c r="BH223" t="s">
        <v>1698</v>
      </c>
      <c r="BI223" t="b">
        <v>0</v>
      </c>
      <c r="BJ223">
        <f t="shared" si="3"/>
        <v>0</v>
      </c>
    </row>
    <row r="224" spans="1:62" x14ac:dyDescent="0.2">
      <c r="A224" s="5" t="s">
        <v>48</v>
      </c>
      <c r="B224" s="6">
        <v>42075</v>
      </c>
      <c r="C224" s="7">
        <v>33.588053000000002</v>
      </c>
      <c r="D224" s="7">
        <v>-112.659278</v>
      </c>
      <c r="E224" s="17">
        <v>480</v>
      </c>
      <c r="F224" t="s">
        <v>1694</v>
      </c>
      <c r="G224" t="s">
        <v>1694</v>
      </c>
      <c r="H224" t="s">
        <v>1694</v>
      </c>
      <c r="I224">
        <v>0</v>
      </c>
      <c r="J224">
        <v>3.52845929076878</v>
      </c>
      <c r="K224">
        <v>89.979162470781404</v>
      </c>
      <c r="L224">
        <v>6.4923782384498603</v>
      </c>
      <c r="M224">
        <v>2.60991155757478</v>
      </c>
      <c r="N224">
        <v>2.4258864244350602</v>
      </c>
      <c r="O224">
        <v>2.7285439011009101</v>
      </c>
      <c r="P224">
        <v>3.3928481460630202</v>
      </c>
      <c r="Q224">
        <v>10.300362010099899</v>
      </c>
      <c r="R224">
        <v>9.7308897664841503</v>
      </c>
      <c r="S224">
        <v>0.78200000000000003</v>
      </c>
      <c r="T224">
        <v>2.6549999999999998</v>
      </c>
      <c r="U224">
        <v>0.72299999999999998</v>
      </c>
      <c r="V224">
        <v>1.9319999999999999</v>
      </c>
      <c r="W224">
        <v>5.9000000000000101E-2</v>
      </c>
      <c r="X224">
        <v>0.72299999999999998</v>
      </c>
      <c r="Y224">
        <v>1.7449664429530201</v>
      </c>
      <c r="Z224">
        <v>1.8820577164366299</v>
      </c>
      <c r="AA224">
        <v>7.6</v>
      </c>
      <c r="AB224">
        <v>0.14399999999999999</v>
      </c>
      <c r="AC224">
        <v>2.67686424474185</v>
      </c>
      <c r="AD224">
        <v>2.4390243902438802</v>
      </c>
      <c r="AE224">
        <v>3.6999999999999998E-2</v>
      </c>
      <c r="AF224">
        <v>3.3000000000000002E-2</v>
      </c>
      <c r="AG224">
        <v>1.3953323837292411</v>
      </c>
      <c r="AH224">
        <v>21.135135135135101</v>
      </c>
      <c r="AI224">
        <v>80.454545454545396</v>
      </c>
      <c r="AJ224" t="s">
        <v>1694</v>
      </c>
      <c r="AK224" t="s">
        <v>1694</v>
      </c>
      <c r="AL224" t="s">
        <v>1694</v>
      </c>
      <c r="AM224" t="s">
        <v>1694</v>
      </c>
      <c r="AN224" t="s">
        <v>1694</v>
      </c>
      <c r="AO224" t="s">
        <v>1694</v>
      </c>
      <c r="AP224" t="s">
        <v>1697</v>
      </c>
      <c r="AQ224" t="s">
        <v>1697</v>
      </c>
      <c r="AR224" t="s">
        <v>1694</v>
      </c>
      <c r="AS224" t="s">
        <v>1694</v>
      </c>
      <c r="AT224" t="s">
        <v>1694</v>
      </c>
      <c r="AU224" t="s">
        <v>1695</v>
      </c>
      <c r="AV224" t="s">
        <v>1694</v>
      </c>
      <c r="AW224" t="s">
        <v>1694</v>
      </c>
      <c r="AX224" t="s">
        <v>1695</v>
      </c>
      <c r="AY224" t="s">
        <v>1694</v>
      </c>
      <c r="AZ224" t="s">
        <v>1694</v>
      </c>
      <c r="BA224" t="s">
        <v>1694</v>
      </c>
      <c r="BB224" t="s">
        <v>1695</v>
      </c>
      <c r="BC224" t="s">
        <v>1694</v>
      </c>
      <c r="BD224" t="s">
        <v>1694</v>
      </c>
      <c r="BE224" t="s">
        <v>1695</v>
      </c>
      <c r="BF224" t="s">
        <v>1694</v>
      </c>
      <c r="BG224" t="s">
        <v>1697</v>
      </c>
      <c r="BH224" t="s">
        <v>1698</v>
      </c>
      <c r="BI224" t="b">
        <v>0</v>
      </c>
      <c r="BJ224">
        <f t="shared" si="3"/>
        <v>0</v>
      </c>
    </row>
    <row r="225" spans="1:62" x14ac:dyDescent="0.2">
      <c r="A225" s="5" t="s">
        <v>49</v>
      </c>
      <c r="B225" s="6">
        <v>36616</v>
      </c>
      <c r="C225" s="7">
        <v>33.450843999999996</v>
      </c>
      <c r="D225" s="7">
        <v>-112.643383</v>
      </c>
      <c r="E225" s="17">
        <v>346</v>
      </c>
      <c r="F225" t="s">
        <v>1694</v>
      </c>
      <c r="G225" t="s">
        <v>1694</v>
      </c>
      <c r="H225" t="s">
        <v>1694</v>
      </c>
      <c r="I225">
        <v>0</v>
      </c>
      <c r="J225" s="8">
        <v>5.9051197307830421</v>
      </c>
      <c r="K225" s="8">
        <v>83.008182435803604</v>
      </c>
      <c r="L225" s="8">
        <v>11.086697833413353</v>
      </c>
      <c r="M225" s="8">
        <v>2.3423072819762871</v>
      </c>
      <c r="N225" s="8">
        <v>2.2891053903548459</v>
      </c>
      <c r="O225" s="8">
        <v>1.6421223865313948</v>
      </c>
      <c r="P225" s="8">
        <v>1.6187295547868696</v>
      </c>
      <c r="Q225" s="8">
        <v>6.0735919497793613</v>
      </c>
      <c r="R225" s="8">
        <v>2.4253822357502792</v>
      </c>
      <c r="S225" s="8">
        <v>0.34799999999999998</v>
      </c>
      <c r="T225" s="8">
        <v>0.64800000000000002</v>
      </c>
      <c r="U225" s="8">
        <v>0.224</v>
      </c>
      <c r="V225" s="8">
        <v>0.46800000000000003</v>
      </c>
      <c r="W225" s="8">
        <v>0.124</v>
      </c>
      <c r="X225" s="8">
        <v>0.18</v>
      </c>
      <c r="Y225" s="8">
        <v>1</v>
      </c>
      <c r="Z225" s="8">
        <v>1.21096</v>
      </c>
      <c r="AA225" s="9">
        <v>8.57</v>
      </c>
      <c r="AB225" s="10">
        <v>0.23949999999999999</v>
      </c>
      <c r="AC225" s="8">
        <v>2.9411800000000001</v>
      </c>
      <c r="AD225" s="8">
        <v>4.0282</v>
      </c>
      <c r="AE225" s="8">
        <v>1.6E-2</v>
      </c>
      <c r="AF225" s="8">
        <v>1.9E-2</v>
      </c>
      <c r="AG225" s="8">
        <v>1.5926769637769844</v>
      </c>
      <c r="AH225" s="8">
        <v>21.749999999999996</v>
      </c>
      <c r="AI225" s="8">
        <v>40.5</v>
      </c>
      <c r="AJ225" t="s">
        <v>1694</v>
      </c>
      <c r="AK225" t="s">
        <v>1694</v>
      </c>
      <c r="AL225" t="s">
        <v>1694</v>
      </c>
      <c r="AM225" t="s">
        <v>1694</v>
      </c>
      <c r="AN225" t="s">
        <v>1694</v>
      </c>
      <c r="AO225" t="s">
        <v>1694</v>
      </c>
      <c r="AP225" t="s">
        <v>1695</v>
      </c>
      <c r="AQ225" t="s">
        <v>1694</v>
      </c>
      <c r="AR225" t="s">
        <v>1694</v>
      </c>
      <c r="AS225" t="s">
        <v>1694</v>
      </c>
      <c r="AT225" t="s">
        <v>1694</v>
      </c>
      <c r="AU225" t="s">
        <v>1695</v>
      </c>
      <c r="AV225" t="s">
        <v>1694</v>
      </c>
      <c r="AW225" t="s">
        <v>1694</v>
      </c>
      <c r="AX225" t="s">
        <v>1695</v>
      </c>
      <c r="AY225" t="s">
        <v>1694</v>
      </c>
      <c r="AZ225" t="s">
        <v>1694</v>
      </c>
      <c r="BA225" t="s">
        <v>1694</v>
      </c>
      <c r="BB225" t="s">
        <v>1695</v>
      </c>
      <c r="BC225" t="s">
        <v>1694</v>
      </c>
      <c r="BD225" t="s">
        <v>1694</v>
      </c>
      <c r="BE225" t="s">
        <v>1695</v>
      </c>
      <c r="BF225" t="s">
        <v>1694</v>
      </c>
      <c r="BG225" t="s">
        <v>1697</v>
      </c>
      <c r="BH225" t="s">
        <v>1698</v>
      </c>
      <c r="BI225" t="b">
        <v>0</v>
      </c>
      <c r="BJ225">
        <f t="shared" si="3"/>
        <v>0</v>
      </c>
    </row>
    <row r="226" spans="1:62" x14ac:dyDescent="0.2">
      <c r="A226" s="5" t="s">
        <v>49</v>
      </c>
      <c r="B226" s="6">
        <v>38405</v>
      </c>
      <c r="C226" s="7">
        <v>33.450843999999996</v>
      </c>
      <c r="D226" s="7">
        <v>-112.643383</v>
      </c>
      <c r="E226" s="17">
        <v>346</v>
      </c>
      <c r="F226" t="s">
        <v>1694</v>
      </c>
      <c r="G226" t="s">
        <v>1694</v>
      </c>
      <c r="H226" t="s">
        <v>1694</v>
      </c>
      <c r="I226">
        <v>0</v>
      </c>
      <c r="J226" s="8">
        <v>4.7002542715626863</v>
      </c>
      <c r="K226" s="8">
        <v>83.225886282258529</v>
      </c>
      <c r="L226" s="8">
        <v>12.073859446178787</v>
      </c>
      <c r="M226" s="8">
        <v>1.7599226162759944</v>
      </c>
      <c r="N226" s="8">
        <v>1.1289348298717148</v>
      </c>
      <c r="O226" s="8">
        <v>1.0735527959283564</v>
      </c>
      <c r="P226" s="8">
        <v>1.2157759706310776</v>
      </c>
      <c r="Q226" s="8">
        <v>7.7297041780932432</v>
      </c>
      <c r="R226" s="8">
        <v>3.6093298164999346</v>
      </c>
      <c r="S226" s="8">
        <v>0.39100000000000001</v>
      </c>
      <c r="T226" s="8">
        <v>0.437</v>
      </c>
      <c r="U226" s="8">
        <v>0.32400000000000001</v>
      </c>
      <c r="V226" s="8">
        <v>0.22800000000000001</v>
      </c>
      <c r="W226" s="8">
        <v>6.7000000000000004E-2</v>
      </c>
      <c r="X226" s="8">
        <v>0.20899999999999999</v>
      </c>
      <c r="Y226" s="8">
        <v>1.8148820326678865</v>
      </c>
      <c r="Z226" s="8">
        <v>2.168674698795177</v>
      </c>
      <c r="AA226" s="8">
        <v>8.7799999999999994</v>
      </c>
      <c r="AB226">
        <v>8.4000000000000005E-2</v>
      </c>
      <c r="AC226" s="8">
        <v>10.344827586206902</v>
      </c>
      <c r="AD226" s="8">
        <v>9.8795180722891587</v>
      </c>
      <c r="AE226" s="8">
        <v>0.02</v>
      </c>
      <c r="AF226" s="8">
        <v>1.0999999999999999E-2</v>
      </c>
      <c r="AG226" s="8">
        <v>1.5872218289912647</v>
      </c>
      <c r="AH226" s="8">
        <v>19.55</v>
      </c>
      <c r="AI226" s="8">
        <v>21.849999999999998</v>
      </c>
      <c r="AJ226" t="s">
        <v>1694</v>
      </c>
      <c r="AK226" t="s">
        <v>1694</v>
      </c>
      <c r="AL226" t="s">
        <v>1694</v>
      </c>
      <c r="AM226" t="s">
        <v>1694</v>
      </c>
      <c r="AN226" t="s">
        <v>1694</v>
      </c>
      <c r="AO226" t="s">
        <v>1694</v>
      </c>
      <c r="AP226" t="s">
        <v>1695</v>
      </c>
      <c r="AQ226" t="s">
        <v>1694</v>
      </c>
      <c r="AR226" t="s">
        <v>1694</v>
      </c>
      <c r="AS226" t="s">
        <v>1694</v>
      </c>
      <c r="AT226" t="s">
        <v>1694</v>
      </c>
      <c r="AU226" t="s">
        <v>1695</v>
      </c>
      <c r="AV226" t="s">
        <v>1694</v>
      </c>
      <c r="AW226" t="s">
        <v>1694</v>
      </c>
      <c r="AX226" t="s">
        <v>1695</v>
      </c>
      <c r="AY226" t="s">
        <v>1694</v>
      </c>
      <c r="AZ226" t="s">
        <v>1694</v>
      </c>
      <c r="BA226" t="s">
        <v>1694</v>
      </c>
      <c r="BB226" t="s">
        <v>1695</v>
      </c>
      <c r="BC226" t="s">
        <v>1694</v>
      </c>
      <c r="BD226" t="s">
        <v>1694</v>
      </c>
      <c r="BE226" t="s">
        <v>1695</v>
      </c>
      <c r="BF226" t="s">
        <v>1694</v>
      </c>
      <c r="BG226" t="s">
        <v>1697</v>
      </c>
      <c r="BH226" t="s">
        <v>1698</v>
      </c>
      <c r="BI226" t="b">
        <v>0</v>
      </c>
      <c r="BJ226">
        <f t="shared" si="3"/>
        <v>0</v>
      </c>
    </row>
    <row r="227" spans="1:62" x14ac:dyDescent="0.2">
      <c r="A227" s="5" t="s">
        <v>49</v>
      </c>
      <c r="B227" s="6">
        <v>40263</v>
      </c>
      <c r="C227" s="7">
        <v>33.450843999999996</v>
      </c>
      <c r="D227" s="7">
        <v>-112.643383</v>
      </c>
      <c r="E227" s="17">
        <v>346</v>
      </c>
      <c r="F227" t="s">
        <v>1694</v>
      </c>
      <c r="G227" t="s">
        <v>1694</v>
      </c>
      <c r="H227" t="s">
        <v>1694</v>
      </c>
      <c r="I227">
        <v>0</v>
      </c>
      <c r="J227" s="8">
        <v>4.9046579278055589</v>
      </c>
      <c r="K227" s="8">
        <v>83.116795565793112</v>
      </c>
      <c r="L227" s="8">
        <v>11.978546506401329</v>
      </c>
      <c r="M227" s="8">
        <v>5.0000000000000001E-3</v>
      </c>
      <c r="N227" s="8">
        <v>5.0000000000000001E-3</v>
      </c>
      <c r="O227" s="8">
        <v>1.4694285369807674</v>
      </c>
      <c r="P227" s="8">
        <v>0.35093554433478569</v>
      </c>
      <c r="Q227" s="8">
        <v>8.8078624319256082</v>
      </c>
      <c r="R227" s="8">
        <v>2.5000000000000001E-3</v>
      </c>
      <c r="S227" s="8">
        <v>1.0389999999999999</v>
      </c>
      <c r="T227" s="8">
        <v>0.32600000000000001</v>
      </c>
      <c r="U227" s="8">
        <v>5.8000000000000003E-2</v>
      </c>
      <c r="V227" s="8">
        <v>0.23400000000000001</v>
      </c>
      <c r="W227" s="8">
        <v>0.98099999999999987</v>
      </c>
      <c r="X227" s="8">
        <v>9.1999999999999998E-2</v>
      </c>
      <c r="Y227" s="8">
        <v>1.7991004497751009</v>
      </c>
      <c r="Z227" s="8">
        <v>1.6895459345300963</v>
      </c>
      <c r="AA227" s="8">
        <v>8.86</v>
      </c>
      <c r="AB227">
        <v>0.108</v>
      </c>
      <c r="AC227" s="8">
        <v>1.7991004497751273</v>
      </c>
      <c r="AD227" s="8">
        <v>3.4846884899683217</v>
      </c>
      <c r="AE227" s="8">
        <v>0.02</v>
      </c>
      <c r="AF227" s="8">
        <v>1.2E-2</v>
      </c>
      <c r="AG227" s="8">
        <v>1.6645039576419747</v>
      </c>
      <c r="AH227" s="8">
        <v>51.949999999999996</v>
      </c>
      <c r="AI227" s="8">
        <v>16.3</v>
      </c>
      <c r="AJ227" t="s">
        <v>1694</v>
      </c>
      <c r="AK227" t="s">
        <v>1694</v>
      </c>
      <c r="AL227" t="s">
        <v>1694</v>
      </c>
      <c r="AM227" t="s">
        <v>1694</v>
      </c>
      <c r="AN227" t="s">
        <v>1694</v>
      </c>
      <c r="AO227" t="s">
        <v>1694</v>
      </c>
      <c r="AP227" t="s">
        <v>1695</v>
      </c>
      <c r="AQ227" t="s">
        <v>1694</v>
      </c>
      <c r="AR227" t="s">
        <v>1694</v>
      </c>
      <c r="AS227" t="s">
        <v>1694</v>
      </c>
      <c r="AT227" t="s">
        <v>1694</v>
      </c>
      <c r="AU227" t="s">
        <v>1695</v>
      </c>
      <c r="AV227" t="s">
        <v>1694</v>
      </c>
      <c r="AW227" t="s">
        <v>1694</v>
      </c>
      <c r="AX227" t="s">
        <v>1695</v>
      </c>
      <c r="AY227" t="s">
        <v>1694</v>
      </c>
      <c r="AZ227" t="s">
        <v>1694</v>
      </c>
      <c r="BA227" t="s">
        <v>1694</v>
      </c>
      <c r="BB227" t="s">
        <v>1695</v>
      </c>
      <c r="BC227" t="s">
        <v>1694</v>
      </c>
      <c r="BD227" t="s">
        <v>1694</v>
      </c>
      <c r="BE227" t="s">
        <v>1695</v>
      </c>
      <c r="BF227" t="s">
        <v>1694</v>
      </c>
      <c r="BG227" t="s">
        <v>1697</v>
      </c>
      <c r="BH227" t="s">
        <v>1698</v>
      </c>
      <c r="BI227" t="b">
        <v>0</v>
      </c>
      <c r="BJ227">
        <f t="shared" si="3"/>
        <v>0</v>
      </c>
    </row>
    <row r="228" spans="1:62" x14ac:dyDescent="0.2">
      <c r="A228" s="5" t="s">
        <v>49</v>
      </c>
      <c r="B228" s="6">
        <v>42094</v>
      </c>
      <c r="C228" s="7">
        <v>33.450843999999996</v>
      </c>
      <c r="D228" s="7">
        <v>-112.643383</v>
      </c>
      <c r="E228" s="17">
        <v>346</v>
      </c>
      <c r="F228" t="s">
        <v>1694</v>
      </c>
      <c r="G228" t="s">
        <v>1694</v>
      </c>
      <c r="H228" t="s">
        <v>1694</v>
      </c>
      <c r="I228">
        <v>0</v>
      </c>
      <c r="J228">
        <v>8.2197562722433304</v>
      </c>
      <c r="K228">
        <v>89.307004741969294</v>
      </c>
      <c r="L228">
        <v>2.47323898578742</v>
      </c>
      <c r="M228">
        <v>3.2949933702365</v>
      </c>
      <c r="N228">
        <v>1.3039721984598101</v>
      </c>
      <c r="O228">
        <v>1.61804423041222</v>
      </c>
      <c r="P228">
        <v>1.3500815406967199</v>
      </c>
      <c r="Q228">
        <v>1.0127151455816601</v>
      </c>
      <c r="R228">
        <v>1.1330806795530399</v>
      </c>
      <c r="S228">
        <v>0.35799999999999998</v>
      </c>
      <c r="T228">
        <v>0.46400000000000002</v>
      </c>
      <c r="U228">
        <v>0.17100000000000001</v>
      </c>
      <c r="V228">
        <v>0.38600000000000001</v>
      </c>
      <c r="W228">
        <v>0.187</v>
      </c>
      <c r="X228">
        <v>7.8E-2</v>
      </c>
      <c r="Y228">
        <v>1.20593692022263</v>
      </c>
      <c r="Z228">
        <v>1.1123470522803101</v>
      </c>
      <c r="AA228">
        <v>8.17</v>
      </c>
      <c r="AB228">
        <v>0.13200000000000001</v>
      </c>
      <c r="AC228">
        <v>1.3002364066194001</v>
      </c>
      <c r="AD228">
        <v>1.18518518518519</v>
      </c>
      <c r="AE228">
        <v>2.9000000000000001E-2</v>
      </c>
      <c r="AF228">
        <v>2.7E-2</v>
      </c>
      <c r="AG228">
        <v>1.5433875506094856</v>
      </c>
      <c r="AH228">
        <v>12.3448275862069</v>
      </c>
      <c r="AI228">
        <v>17.185185185185201</v>
      </c>
      <c r="AJ228" t="s">
        <v>1694</v>
      </c>
      <c r="AK228" t="s">
        <v>1694</v>
      </c>
      <c r="AL228" t="s">
        <v>1694</v>
      </c>
      <c r="AM228" t="s">
        <v>1694</v>
      </c>
      <c r="AN228" t="s">
        <v>1694</v>
      </c>
      <c r="AO228" t="s">
        <v>1694</v>
      </c>
      <c r="AP228" t="s">
        <v>1697</v>
      </c>
      <c r="AQ228" t="s">
        <v>1697</v>
      </c>
      <c r="AR228" t="s">
        <v>1694</v>
      </c>
      <c r="AS228" t="s">
        <v>1694</v>
      </c>
      <c r="AT228" t="s">
        <v>1694</v>
      </c>
      <c r="AU228" t="s">
        <v>1695</v>
      </c>
      <c r="AV228" t="s">
        <v>1694</v>
      </c>
      <c r="AW228" t="s">
        <v>1694</v>
      </c>
      <c r="AX228" t="s">
        <v>1695</v>
      </c>
      <c r="AY228" t="s">
        <v>1694</v>
      </c>
      <c r="AZ228" t="s">
        <v>1694</v>
      </c>
      <c r="BA228" t="s">
        <v>1694</v>
      </c>
      <c r="BB228" t="s">
        <v>1695</v>
      </c>
      <c r="BC228" t="s">
        <v>1694</v>
      </c>
      <c r="BD228" t="s">
        <v>1694</v>
      </c>
      <c r="BE228" t="s">
        <v>1695</v>
      </c>
      <c r="BF228" t="s">
        <v>1694</v>
      </c>
      <c r="BG228" t="s">
        <v>1697</v>
      </c>
      <c r="BH228" t="s">
        <v>1698</v>
      </c>
      <c r="BI228" t="b">
        <v>0</v>
      </c>
      <c r="BJ228">
        <f t="shared" si="3"/>
        <v>0</v>
      </c>
    </row>
    <row r="229" spans="1:62" x14ac:dyDescent="0.2">
      <c r="A229" s="5" t="s">
        <v>49</v>
      </c>
      <c r="B229" s="6">
        <v>45089</v>
      </c>
      <c r="C229" s="7">
        <v>33.450843999999996</v>
      </c>
      <c r="D229" s="7">
        <v>-112.643383</v>
      </c>
      <c r="E229" s="17">
        <v>346</v>
      </c>
      <c r="F229" t="s">
        <v>1694</v>
      </c>
      <c r="G229" t="s">
        <v>1694</v>
      </c>
      <c r="H229" t="s">
        <v>1694</v>
      </c>
      <c r="I229">
        <v>0</v>
      </c>
      <c r="J229" s="6" t="s">
        <v>1697</v>
      </c>
      <c r="K229" s="6" t="s">
        <v>1697</v>
      </c>
      <c r="L229" s="6" t="s">
        <v>1697</v>
      </c>
      <c r="M229" s="6" t="s">
        <v>1697</v>
      </c>
      <c r="N229" s="6" t="s">
        <v>1697</v>
      </c>
      <c r="O229" s="6" t="s">
        <v>1697</v>
      </c>
      <c r="P229" s="6" t="s">
        <v>1697</v>
      </c>
      <c r="Q229" s="6" t="s">
        <v>1697</v>
      </c>
      <c r="R229" s="6" t="s">
        <v>1697</v>
      </c>
      <c r="S229" s="6" t="s">
        <v>1697</v>
      </c>
      <c r="T229" s="6" t="s">
        <v>1697</v>
      </c>
      <c r="U229" s="6" t="s">
        <v>1697</v>
      </c>
      <c r="V229" s="6" t="s">
        <v>1697</v>
      </c>
      <c r="W229" s="6" t="s">
        <v>1697</v>
      </c>
      <c r="X229" s="6" t="s">
        <v>1697</v>
      </c>
      <c r="Y229" s="6" t="s">
        <v>1697</v>
      </c>
      <c r="Z229" s="6" t="s">
        <v>1697</v>
      </c>
      <c r="AA229" s="6" t="s">
        <v>1697</v>
      </c>
      <c r="AB229" s="6" t="s">
        <v>1697</v>
      </c>
      <c r="AC229" s="6" t="s">
        <v>1697</v>
      </c>
      <c r="AD229" s="6" t="s">
        <v>1697</v>
      </c>
      <c r="AE229" s="6" t="s">
        <v>1697</v>
      </c>
      <c r="AF229" s="6" t="s">
        <v>1697</v>
      </c>
      <c r="AG229" s="6" t="s">
        <v>1697</v>
      </c>
      <c r="AH229" s="6" t="s">
        <v>1697</v>
      </c>
      <c r="AI229" s="6" t="s">
        <v>1697</v>
      </c>
      <c r="AJ229" t="s">
        <v>1694</v>
      </c>
      <c r="AK229" t="s">
        <v>1694</v>
      </c>
      <c r="AL229" t="s">
        <v>1694</v>
      </c>
      <c r="AM229" t="s">
        <v>1694</v>
      </c>
      <c r="AN229" t="s">
        <v>1694</v>
      </c>
      <c r="AO229" t="s">
        <v>1694</v>
      </c>
      <c r="AP229" t="s">
        <v>1697</v>
      </c>
      <c r="AQ229" t="s">
        <v>1697</v>
      </c>
      <c r="AR229" t="s">
        <v>1694</v>
      </c>
      <c r="AS229" t="s">
        <v>1694</v>
      </c>
      <c r="AT229" t="s">
        <v>1694</v>
      </c>
      <c r="AU229" t="s">
        <v>1695</v>
      </c>
      <c r="AV229" t="s">
        <v>1694</v>
      </c>
      <c r="AW229" t="s">
        <v>1694</v>
      </c>
      <c r="AX229" t="s">
        <v>1695</v>
      </c>
      <c r="AY229" t="s">
        <v>1694</v>
      </c>
      <c r="AZ229" t="s">
        <v>1694</v>
      </c>
      <c r="BA229" t="s">
        <v>1694</v>
      </c>
      <c r="BB229" t="s">
        <v>1695</v>
      </c>
      <c r="BC229" t="s">
        <v>1694</v>
      </c>
      <c r="BD229" t="s">
        <v>1694</v>
      </c>
      <c r="BE229" t="s">
        <v>1695</v>
      </c>
      <c r="BF229" t="s">
        <v>1694</v>
      </c>
      <c r="BG229" s="6" t="s">
        <v>1697</v>
      </c>
      <c r="BH229" s="6" t="s">
        <v>1697</v>
      </c>
      <c r="BI229" t="b">
        <v>1</v>
      </c>
      <c r="BJ229">
        <f t="shared" si="3"/>
        <v>1</v>
      </c>
    </row>
    <row r="230" spans="1:62" x14ac:dyDescent="0.2">
      <c r="A230" s="5" t="s">
        <v>50</v>
      </c>
      <c r="B230" s="6">
        <v>38470</v>
      </c>
      <c r="C230" s="7">
        <v>33.342768999999997</v>
      </c>
      <c r="D230" s="7">
        <v>-112.633022</v>
      </c>
      <c r="E230" s="17">
        <v>249</v>
      </c>
      <c r="F230" t="s">
        <v>1694</v>
      </c>
      <c r="G230" t="s">
        <v>1694</v>
      </c>
      <c r="H230" t="s">
        <v>1694</v>
      </c>
      <c r="I230">
        <v>0</v>
      </c>
      <c r="J230" s="8">
        <v>15.037042032108026</v>
      </c>
      <c r="K230" s="8">
        <v>42.052160302112469</v>
      </c>
      <c r="L230" s="8">
        <v>42.910797665779505</v>
      </c>
      <c r="M230" s="8">
        <v>2.5796730409733506</v>
      </c>
      <c r="N230" s="8">
        <v>2.5200643976310486</v>
      </c>
      <c r="O230" s="8">
        <v>43.75125477490802</v>
      </c>
      <c r="P230" s="8">
        <v>47.452131508906803</v>
      </c>
      <c r="Q230" s="8">
        <v>13.26892316484105</v>
      </c>
      <c r="R230" s="8">
        <v>4.0380373596507146</v>
      </c>
      <c r="S230" s="8">
        <v>1.262</v>
      </c>
      <c r="T230" s="8">
        <v>1.19</v>
      </c>
      <c r="U230" s="8">
        <v>0.82499999999999996</v>
      </c>
      <c r="V230" s="8">
        <v>0.85499999999999998</v>
      </c>
      <c r="W230" s="8">
        <v>0.43700000000000006</v>
      </c>
      <c r="X230" s="8">
        <v>0.33499999999999996</v>
      </c>
      <c r="Y230" s="8">
        <v>2.8409090909090811</v>
      </c>
      <c r="Z230" s="8">
        <v>3.3395176252319221</v>
      </c>
      <c r="AA230" s="8">
        <v>8.24</v>
      </c>
      <c r="AB230">
        <v>9.9990000000000006</v>
      </c>
      <c r="AC230" s="8">
        <v>2.4147727272727266</v>
      </c>
      <c r="AD230" s="8">
        <v>7.5139146567717878</v>
      </c>
      <c r="AE230" s="8">
        <v>5.5E-2</v>
      </c>
      <c r="AF230" s="8">
        <v>4.7E-2</v>
      </c>
      <c r="AG230" s="8">
        <v>1.2553729540709271</v>
      </c>
      <c r="AH230" s="8">
        <v>22.945454545454545</v>
      </c>
      <c r="AI230" s="8">
        <v>21.636363636363637</v>
      </c>
      <c r="AJ230" t="s">
        <v>1702</v>
      </c>
      <c r="AK230" t="s">
        <v>1703</v>
      </c>
      <c r="AL230" t="s">
        <v>1702</v>
      </c>
      <c r="AM230" t="s">
        <v>1703</v>
      </c>
      <c r="AN230" t="s">
        <v>1702</v>
      </c>
      <c r="AO230" t="s">
        <v>1703</v>
      </c>
      <c r="AP230" t="s">
        <v>1697</v>
      </c>
      <c r="AQ230" t="s">
        <v>1697</v>
      </c>
      <c r="AR230" t="s">
        <v>1697</v>
      </c>
      <c r="AS230" t="s">
        <v>1694</v>
      </c>
      <c r="AT230" t="s">
        <v>1694</v>
      </c>
      <c r="AU230" t="s">
        <v>1695</v>
      </c>
      <c r="AV230" t="s">
        <v>1694</v>
      </c>
      <c r="AW230" t="s">
        <v>1694</v>
      </c>
      <c r="AX230" t="s">
        <v>1695</v>
      </c>
      <c r="AY230" t="s">
        <v>1694</v>
      </c>
      <c r="AZ230" t="s">
        <v>1694</v>
      </c>
      <c r="BA230" t="s">
        <v>1702</v>
      </c>
      <c r="BB230" t="s">
        <v>1695</v>
      </c>
      <c r="BC230" t="s">
        <v>1694</v>
      </c>
      <c r="BD230" t="s">
        <v>1694</v>
      </c>
      <c r="BE230" t="s">
        <v>1695</v>
      </c>
      <c r="BF230" t="s">
        <v>1694</v>
      </c>
      <c r="BG230">
        <v>50</v>
      </c>
      <c r="BH230" t="s">
        <v>1729</v>
      </c>
      <c r="BI230" t="b">
        <v>0</v>
      </c>
      <c r="BJ230">
        <f t="shared" si="3"/>
        <v>0</v>
      </c>
    </row>
    <row r="231" spans="1:62" x14ac:dyDescent="0.2">
      <c r="A231" s="5" t="s">
        <v>50</v>
      </c>
      <c r="B231" s="6">
        <v>40290</v>
      </c>
      <c r="C231" s="7">
        <v>33.342768999999997</v>
      </c>
      <c r="D231" s="7">
        <v>-112.633022</v>
      </c>
      <c r="E231" s="17">
        <v>249</v>
      </c>
      <c r="F231" t="s">
        <v>1694</v>
      </c>
      <c r="G231" t="s">
        <v>1694</v>
      </c>
      <c r="H231" t="s">
        <v>1694</v>
      </c>
      <c r="I231">
        <v>0</v>
      </c>
      <c r="J231" s="8">
        <v>15.399935406394128</v>
      </c>
      <c r="K231" s="8">
        <v>43.862917837555749</v>
      </c>
      <c r="L231" s="8">
        <v>40.737146756050123</v>
      </c>
      <c r="M231" s="8">
        <v>0.62731501343942031</v>
      </c>
      <c r="N231" s="8">
        <v>0.45137862026628245</v>
      </c>
      <c r="O231" s="8">
        <v>44.508557379871093</v>
      </c>
      <c r="P231" s="8">
        <v>119.86533922093996</v>
      </c>
      <c r="Q231" s="8">
        <v>15.46983732201705</v>
      </c>
      <c r="R231" s="8">
        <v>6.9864369145919278</v>
      </c>
      <c r="S231" s="8">
        <v>1.149</v>
      </c>
      <c r="T231" s="8">
        <v>1.121</v>
      </c>
      <c r="U231" s="8">
        <v>1.1240000000000001</v>
      </c>
      <c r="V231" s="8">
        <v>1.02</v>
      </c>
      <c r="W231" s="8">
        <v>2.4999999999999911E-2</v>
      </c>
      <c r="X231" s="8">
        <v>0.10099999999999998</v>
      </c>
      <c r="Y231" s="8">
        <v>2.8688524590163809</v>
      </c>
      <c r="Z231" s="8">
        <v>3.9848197343453502</v>
      </c>
      <c r="AA231" s="8">
        <v>8.26</v>
      </c>
      <c r="AB231">
        <v>9.9990000000000006</v>
      </c>
      <c r="AC231" s="8">
        <v>1.7759562841530161</v>
      </c>
      <c r="AD231" s="8">
        <v>7.4003795066413609</v>
      </c>
      <c r="AE231" s="8">
        <v>0.05</v>
      </c>
      <c r="AF231" s="8">
        <v>0.04</v>
      </c>
      <c r="AG231" s="8">
        <v>1.2843992525759984</v>
      </c>
      <c r="AH231" s="8">
        <v>22.98</v>
      </c>
      <c r="AI231" s="8">
        <v>22.419999999999998</v>
      </c>
      <c r="AJ231" t="s">
        <v>1702</v>
      </c>
      <c r="AK231" t="s">
        <v>1703</v>
      </c>
      <c r="AL231" t="s">
        <v>1702</v>
      </c>
      <c r="AM231" t="s">
        <v>1703</v>
      </c>
      <c r="AN231" t="s">
        <v>1702</v>
      </c>
      <c r="AO231" t="s">
        <v>1703</v>
      </c>
      <c r="AP231" t="s">
        <v>1697</v>
      </c>
      <c r="AQ231" t="s">
        <v>1697</v>
      </c>
      <c r="AR231" t="s">
        <v>1697</v>
      </c>
      <c r="AS231" t="s">
        <v>1694</v>
      </c>
      <c r="AT231" t="s">
        <v>1694</v>
      </c>
      <c r="AU231" t="s">
        <v>1695</v>
      </c>
      <c r="AV231" t="s">
        <v>1694</v>
      </c>
      <c r="AW231" t="s">
        <v>1694</v>
      </c>
      <c r="AX231" t="s">
        <v>1695</v>
      </c>
      <c r="AY231" t="s">
        <v>1694</v>
      </c>
      <c r="AZ231" t="s">
        <v>1694</v>
      </c>
      <c r="BA231" t="s">
        <v>1702</v>
      </c>
      <c r="BB231" t="s">
        <v>1695</v>
      </c>
      <c r="BC231" t="s">
        <v>1694</v>
      </c>
      <c r="BD231" t="s">
        <v>1694</v>
      </c>
      <c r="BE231" t="s">
        <v>1695</v>
      </c>
      <c r="BF231" t="s">
        <v>1694</v>
      </c>
      <c r="BG231">
        <v>55</v>
      </c>
      <c r="BH231" t="s">
        <v>1729</v>
      </c>
      <c r="BI231" t="b">
        <v>0</v>
      </c>
      <c r="BJ231">
        <f t="shared" si="3"/>
        <v>0</v>
      </c>
    </row>
    <row r="232" spans="1:62" x14ac:dyDescent="0.2">
      <c r="A232" s="5" t="s">
        <v>50</v>
      </c>
      <c r="B232" s="6">
        <v>42090</v>
      </c>
      <c r="C232" s="7">
        <v>33.342768999999997</v>
      </c>
      <c r="D232" s="7">
        <v>-112.633022</v>
      </c>
      <c r="E232" s="17">
        <v>249</v>
      </c>
      <c r="F232" t="s">
        <v>1694</v>
      </c>
      <c r="G232" t="s">
        <v>1694</v>
      </c>
      <c r="H232" t="s">
        <v>1694</v>
      </c>
      <c r="I232">
        <v>0</v>
      </c>
      <c r="J232">
        <v>10.302845262686899</v>
      </c>
      <c r="K232">
        <v>58.7292632964717</v>
      </c>
      <c r="L232">
        <v>30.967891440841399</v>
      </c>
      <c r="M232">
        <v>6.7739881307840797</v>
      </c>
      <c r="N232">
        <v>3.6482229860575202</v>
      </c>
      <c r="O232">
        <v>103.075348240056</v>
      </c>
      <c r="P232">
        <v>283.217310759729</v>
      </c>
      <c r="Q232">
        <v>4.2176191987183202E-3</v>
      </c>
      <c r="R232">
        <v>25.238160004927199</v>
      </c>
      <c r="S232">
        <v>1.0980000000000001</v>
      </c>
      <c r="T232">
        <v>1.099</v>
      </c>
      <c r="U232">
        <v>0.93799999999999994</v>
      </c>
      <c r="V232">
        <v>1.091</v>
      </c>
      <c r="W232">
        <v>0.16</v>
      </c>
      <c r="X232">
        <v>8.0000000000000106E-3</v>
      </c>
      <c r="Y232">
        <v>1.8518518518518501</v>
      </c>
      <c r="Z232">
        <v>2.0440251572327002</v>
      </c>
      <c r="AA232">
        <v>8.59</v>
      </c>
      <c r="AB232">
        <v>22.5</v>
      </c>
      <c r="AC232">
        <v>4.5454545454545503</v>
      </c>
      <c r="AD232">
        <v>5.9850374064837997</v>
      </c>
      <c r="AE232">
        <v>6.2E-2</v>
      </c>
      <c r="AF232">
        <v>1.7999999999999999E-2</v>
      </c>
      <c r="AG232">
        <v>1.2263461099390804</v>
      </c>
      <c r="AH232">
        <v>17.709677419354801</v>
      </c>
      <c r="AI232">
        <v>61.0555555555556</v>
      </c>
      <c r="AJ232" t="s">
        <v>1702</v>
      </c>
      <c r="AK232" t="s">
        <v>1703</v>
      </c>
      <c r="AL232" t="s">
        <v>1702</v>
      </c>
      <c r="AM232" t="s">
        <v>1703</v>
      </c>
      <c r="AN232" t="s">
        <v>1702</v>
      </c>
      <c r="AO232" t="s">
        <v>1703</v>
      </c>
      <c r="AP232" t="s">
        <v>1697</v>
      </c>
      <c r="AQ232" t="s">
        <v>1697</v>
      </c>
      <c r="AR232" t="s">
        <v>1697</v>
      </c>
      <c r="AS232" t="s">
        <v>1694</v>
      </c>
      <c r="AT232" t="s">
        <v>1694</v>
      </c>
      <c r="AU232" t="s">
        <v>1695</v>
      </c>
      <c r="AV232" t="s">
        <v>1694</v>
      </c>
      <c r="AW232" t="s">
        <v>1694</v>
      </c>
      <c r="AX232" t="s">
        <v>1695</v>
      </c>
      <c r="AY232" t="s">
        <v>1694</v>
      </c>
      <c r="AZ232" t="s">
        <v>1694</v>
      </c>
      <c r="BA232" t="s">
        <v>1702</v>
      </c>
      <c r="BB232" t="s">
        <v>1695</v>
      </c>
      <c r="BC232" t="s">
        <v>1694</v>
      </c>
      <c r="BD232" t="s">
        <v>1694</v>
      </c>
      <c r="BE232" t="s">
        <v>1695</v>
      </c>
      <c r="BF232" t="s">
        <v>1694</v>
      </c>
      <c r="BG232">
        <v>60</v>
      </c>
      <c r="BH232" t="s">
        <v>1729</v>
      </c>
      <c r="BI232" t="b">
        <v>0</v>
      </c>
      <c r="BJ232">
        <f t="shared" si="3"/>
        <v>0</v>
      </c>
    </row>
    <row r="233" spans="1:62" x14ac:dyDescent="0.2">
      <c r="A233" s="5" t="s">
        <v>50</v>
      </c>
      <c r="B233" s="6">
        <v>45086</v>
      </c>
      <c r="C233" s="7">
        <v>33.342768999999997</v>
      </c>
      <c r="D233" s="7">
        <v>-112.633022</v>
      </c>
      <c r="E233" s="17">
        <v>249</v>
      </c>
      <c r="F233" t="s">
        <v>1694</v>
      </c>
      <c r="G233" t="s">
        <v>1694</v>
      </c>
      <c r="H233" t="s">
        <v>1694</v>
      </c>
      <c r="I233">
        <v>0</v>
      </c>
      <c r="J233" s="6" t="s">
        <v>1697</v>
      </c>
      <c r="K233" s="6" t="s">
        <v>1697</v>
      </c>
      <c r="L233" s="6" t="s">
        <v>1697</v>
      </c>
      <c r="M233" s="6" t="s">
        <v>1697</v>
      </c>
      <c r="N233" s="6" t="s">
        <v>1697</v>
      </c>
      <c r="O233" s="6" t="s">
        <v>1697</v>
      </c>
      <c r="P233" s="6" t="s">
        <v>1697</v>
      </c>
      <c r="Q233" s="6" t="s">
        <v>1697</v>
      </c>
      <c r="R233" s="6" t="s">
        <v>1697</v>
      </c>
      <c r="S233" s="6" t="s">
        <v>1697</v>
      </c>
      <c r="T233" s="6" t="s">
        <v>1697</v>
      </c>
      <c r="U233" s="6" t="s">
        <v>1697</v>
      </c>
      <c r="V233" s="6" t="s">
        <v>1697</v>
      </c>
      <c r="W233" s="6" t="s">
        <v>1697</v>
      </c>
      <c r="X233" s="6" t="s">
        <v>1697</v>
      </c>
      <c r="Y233" s="6" t="s">
        <v>1697</v>
      </c>
      <c r="Z233" s="6" t="s">
        <v>1697</v>
      </c>
      <c r="AA233" s="6" t="s">
        <v>1697</v>
      </c>
      <c r="AB233" s="6" t="s">
        <v>1697</v>
      </c>
      <c r="AC233" s="6" t="s">
        <v>1697</v>
      </c>
      <c r="AD233" s="6" t="s">
        <v>1697</v>
      </c>
      <c r="AE233" s="6" t="s">
        <v>1697</v>
      </c>
      <c r="AF233" s="6" t="s">
        <v>1697</v>
      </c>
      <c r="AG233" s="6" t="s">
        <v>1697</v>
      </c>
      <c r="AH233" s="6" t="s">
        <v>1697</v>
      </c>
      <c r="AI233" s="6" t="s">
        <v>1697</v>
      </c>
      <c r="AJ233" t="s">
        <v>1702</v>
      </c>
      <c r="AK233" t="s">
        <v>1703</v>
      </c>
      <c r="AL233" t="s">
        <v>1702</v>
      </c>
      <c r="AM233" t="s">
        <v>1703</v>
      </c>
      <c r="AN233" t="s">
        <v>1702</v>
      </c>
      <c r="AO233" t="s">
        <v>1703</v>
      </c>
      <c r="AP233" t="s">
        <v>1697</v>
      </c>
      <c r="AQ233" t="s">
        <v>1697</v>
      </c>
      <c r="AR233" t="s">
        <v>1697</v>
      </c>
      <c r="AS233" t="s">
        <v>1694</v>
      </c>
      <c r="AT233" t="s">
        <v>1694</v>
      </c>
      <c r="AU233" t="s">
        <v>1695</v>
      </c>
      <c r="AV233" t="s">
        <v>1694</v>
      </c>
      <c r="AW233" t="s">
        <v>1694</v>
      </c>
      <c r="AX233" t="s">
        <v>1695</v>
      </c>
      <c r="AY233" t="s">
        <v>1694</v>
      </c>
      <c r="AZ233" t="s">
        <v>1694</v>
      </c>
      <c r="BA233" t="s">
        <v>1702</v>
      </c>
      <c r="BB233" t="s">
        <v>1695</v>
      </c>
      <c r="BC233" t="s">
        <v>1694</v>
      </c>
      <c r="BD233" t="s">
        <v>1694</v>
      </c>
      <c r="BE233" t="s">
        <v>1695</v>
      </c>
      <c r="BF233" t="s">
        <v>1694</v>
      </c>
      <c r="BG233" s="6" t="s">
        <v>1697</v>
      </c>
      <c r="BH233" s="6" t="s">
        <v>1697</v>
      </c>
      <c r="BI233" t="b">
        <v>1</v>
      </c>
      <c r="BJ233">
        <f t="shared" si="3"/>
        <v>1</v>
      </c>
    </row>
    <row r="234" spans="1:62" x14ac:dyDescent="0.2">
      <c r="A234" s="5" t="s">
        <v>51</v>
      </c>
      <c r="B234" s="6">
        <v>38455</v>
      </c>
      <c r="C234" s="7">
        <v>33.695875000000001</v>
      </c>
      <c r="D234" s="7">
        <v>-112.602486</v>
      </c>
      <c r="E234" s="17">
        <v>480</v>
      </c>
      <c r="F234" t="s">
        <v>1694</v>
      </c>
      <c r="G234" t="s">
        <v>1694</v>
      </c>
      <c r="H234" t="s">
        <v>1694</v>
      </c>
      <c r="I234">
        <v>0</v>
      </c>
      <c r="J234" s="8">
        <v>23.545616002204653</v>
      </c>
      <c r="K234" s="8">
        <v>43.959329201242923</v>
      </c>
      <c r="L234" s="8">
        <v>32.495054796552424</v>
      </c>
      <c r="M234" s="8">
        <v>1.5960965058894425</v>
      </c>
      <c r="N234" s="8">
        <v>1.0342566575701786</v>
      </c>
      <c r="O234" s="8">
        <v>0.91131961787881077</v>
      </c>
      <c r="P234" s="8">
        <v>2.5000000000000001E-3</v>
      </c>
      <c r="Q234" s="8">
        <v>24.700465385627254</v>
      </c>
      <c r="R234" s="8">
        <v>13.403766425750563</v>
      </c>
      <c r="S234" s="8">
        <v>1.248</v>
      </c>
      <c r="T234" s="8">
        <v>0.318</v>
      </c>
      <c r="U234" s="8">
        <v>0.122</v>
      </c>
      <c r="V234" s="8">
        <v>2.1999999999999999E-2</v>
      </c>
      <c r="W234" s="8">
        <v>1.1259999999999999</v>
      </c>
      <c r="X234" s="8">
        <v>0.29599999999999999</v>
      </c>
      <c r="Y234" s="8">
        <v>5.1229508196721314</v>
      </c>
      <c r="Z234" s="8">
        <v>3.3057851239669449</v>
      </c>
      <c r="AA234" s="8">
        <v>7.05</v>
      </c>
      <c r="AB234">
        <v>0.36299999999999999</v>
      </c>
      <c r="AC234" s="8">
        <v>6.5573770491803334</v>
      </c>
      <c r="AD234" s="8">
        <v>7.0247933884297495</v>
      </c>
      <c r="AE234" s="8">
        <v>0.14299999999999999</v>
      </c>
      <c r="AF234" s="8">
        <v>3.6999999999999998E-2</v>
      </c>
      <c r="AG234" s="8">
        <v>0.96013167324472515</v>
      </c>
      <c r="AH234" s="8">
        <v>8.7272727272727284</v>
      </c>
      <c r="AI234" s="8">
        <v>2.2237762237762242</v>
      </c>
      <c r="AJ234" t="s">
        <v>1694</v>
      </c>
      <c r="AK234" t="s">
        <v>1694</v>
      </c>
      <c r="AL234" t="s">
        <v>1694</v>
      </c>
      <c r="AM234" t="s">
        <v>1694</v>
      </c>
      <c r="AN234" t="s">
        <v>1694</v>
      </c>
      <c r="AO234" t="s">
        <v>1694</v>
      </c>
      <c r="AP234" t="s">
        <v>1695</v>
      </c>
      <c r="AQ234" t="s">
        <v>1694</v>
      </c>
      <c r="AR234" t="s">
        <v>1694</v>
      </c>
      <c r="AS234" t="s">
        <v>1694</v>
      </c>
      <c r="AT234" t="s">
        <v>1694</v>
      </c>
      <c r="AU234" t="s">
        <v>1695</v>
      </c>
      <c r="AV234" t="s">
        <v>1694</v>
      </c>
      <c r="AW234" t="s">
        <v>1694</v>
      </c>
      <c r="AX234" t="s">
        <v>1695</v>
      </c>
      <c r="AY234" t="s">
        <v>1694</v>
      </c>
      <c r="AZ234" t="s">
        <v>1694</v>
      </c>
      <c r="BA234" t="s">
        <v>1694</v>
      </c>
      <c r="BB234" t="s">
        <v>1695</v>
      </c>
      <c r="BC234" t="s">
        <v>1694</v>
      </c>
      <c r="BD234" t="s">
        <v>1694</v>
      </c>
      <c r="BE234" t="s">
        <v>1695</v>
      </c>
      <c r="BF234" t="s">
        <v>1694</v>
      </c>
      <c r="BG234" t="s">
        <v>1697</v>
      </c>
      <c r="BH234" t="s">
        <v>1698</v>
      </c>
      <c r="BI234" t="b">
        <v>0</v>
      </c>
      <c r="BJ234">
        <f t="shared" si="3"/>
        <v>0</v>
      </c>
    </row>
    <row r="235" spans="1:62" x14ac:dyDescent="0.2">
      <c r="A235" s="5" t="s">
        <v>52</v>
      </c>
      <c r="B235" s="6">
        <v>38443</v>
      </c>
      <c r="C235" s="7">
        <v>33.654400000000003</v>
      </c>
      <c r="D235" s="7">
        <v>-112.61773100000001</v>
      </c>
      <c r="E235" s="17">
        <v>517</v>
      </c>
      <c r="F235" t="s">
        <v>1694</v>
      </c>
      <c r="G235" t="s">
        <v>1694</v>
      </c>
      <c r="H235" t="s">
        <v>1694</v>
      </c>
      <c r="I235">
        <v>0</v>
      </c>
      <c r="J235" s="8">
        <v>5.7220470137069261</v>
      </c>
      <c r="K235" s="8">
        <v>84.391763812542919</v>
      </c>
      <c r="L235" s="8">
        <v>9.8861891737501537</v>
      </c>
      <c r="M235" s="8">
        <v>2.4226319273847046</v>
      </c>
      <c r="N235" s="8">
        <v>2.5502556642816776</v>
      </c>
      <c r="O235" s="8">
        <v>0.6173803943980376</v>
      </c>
      <c r="P235" s="8">
        <v>0.39050789859313195</v>
      </c>
      <c r="Q235" s="8">
        <v>4.9424309131631645</v>
      </c>
      <c r="R235" s="8">
        <v>3.7034147472612191</v>
      </c>
      <c r="S235" s="8">
        <v>0.23100000000000001</v>
      </c>
      <c r="T235" s="8">
        <v>0.16</v>
      </c>
      <c r="U235" s="8">
        <v>0.06</v>
      </c>
      <c r="V235" s="8">
        <v>5.1999999999999998E-2</v>
      </c>
      <c r="W235" s="8">
        <v>0.17100000000000001</v>
      </c>
      <c r="X235" s="8">
        <v>0.10800000000000001</v>
      </c>
      <c r="Y235" s="8">
        <v>1.4895729890764682</v>
      </c>
      <c r="Z235" s="8">
        <v>1.4525139664804358</v>
      </c>
      <c r="AA235" s="8">
        <v>7.7</v>
      </c>
      <c r="AB235">
        <v>0.122</v>
      </c>
      <c r="AC235" s="8">
        <v>1.8867924528301838</v>
      </c>
      <c r="AD235" s="8">
        <v>3.7988826815642445</v>
      </c>
      <c r="AE235" s="8">
        <v>2.1999999999999999E-2</v>
      </c>
      <c r="AF235" s="8">
        <v>1.6E-2</v>
      </c>
      <c r="AG235" s="8">
        <v>1.5313080218242019</v>
      </c>
      <c r="AH235" s="8">
        <v>10.500000000000002</v>
      </c>
      <c r="AI235" s="8">
        <v>7.2727272727272734</v>
      </c>
      <c r="AJ235" t="s">
        <v>1694</v>
      </c>
      <c r="AK235" t="s">
        <v>1694</v>
      </c>
      <c r="AL235" t="s">
        <v>1694</v>
      </c>
      <c r="AM235" t="s">
        <v>1694</v>
      </c>
      <c r="AN235" t="s">
        <v>1694</v>
      </c>
      <c r="AO235" t="s">
        <v>1694</v>
      </c>
      <c r="AP235" t="s">
        <v>1695</v>
      </c>
      <c r="AQ235" t="s">
        <v>1694</v>
      </c>
      <c r="AR235" t="s">
        <v>1694</v>
      </c>
      <c r="AS235" t="s">
        <v>1694</v>
      </c>
      <c r="AT235" t="s">
        <v>1694</v>
      </c>
      <c r="AU235" t="s">
        <v>1695</v>
      </c>
      <c r="AV235" t="s">
        <v>1694</v>
      </c>
      <c r="AW235" t="s">
        <v>1694</v>
      </c>
      <c r="AX235" t="s">
        <v>1695</v>
      </c>
      <c r="AY235" t="s">
        <v>1694</v>
      </c>
      <c r="AZ235" t="s">
        <v>1694</v>
      </c>
      <c r="BA235" t="s">
        <v>1694</v>
      </c>
      <c r="BB235" t="s">
        <v>1695</v>
      </c>
      <c r="BC235" t="s">
        <v>1694</v>
      </c>
      <c r="BD235" t="s">
        <v>1694</v>
      </c>
      <c r="BE235" t="s">
        <v>1695</v>
      </c>
      <c r="BF235" t="s">
        <v>1694</v>
      </c>
      <c r="BG235" t="s">
        <v>1697</v>
      </c>
      <c r="BH235" t="s">
        <v>1698</v>
      </c>
      <c r="BI235" t="b">
        <v>0</v>
      </c>
      <c r="BJ235">
        <f t="shared" si="3"/>
        <v>0</v>
      </c>
    </row>
    <row r="236" spans="1:62" x14ac:dyDescent="0.2">
      <c r="A236" s="5" t="s">
        <v>52</v>
      </c>
      <c r="B236" s="6">
        <v>40253</v>
      </c>
      <c r="C236" s="7">
        <v>33.654400000000003</v>
      </c>
      <c r="D236" s="7">
        <v>-112.61773100000001</v>
      </c>
      <c r="E236" s="17">
        <v>517</v>
      </c>
      <c r="F236" t="s">
        <v>1694</v>
      </c>
      <c r="G236" t="s">
        <v>1694</v>
      </c>
      <c r="H236" t="s">
        <v>1694</v>
      </c>
      <c r="I236">
        <v>0</v>
      </c>
      <c r="J236" s="8">
        <v>12.005914354765526</v>
      </c>
      <c r="K236" s="8">
        <v>75.415252513397462</v>
      </c>
      <c r="L236" s="8">
        <v>12.578833131837015</v>
      </c>
      <c r="M236" s="8">
        <v>0.61545420542997376</v>
      </c>
      <c r="N236" s="8">
        <v>0.71298496498800767</v>
      </c>
      <c r="O236" s="8">
        <v>5.1877696698936067</v>
      </c>
      <c r="P236" s="8">
        <v>1.5364567042114448</v>
      </c>
      <c r="Q236" s="8">
        <v>18.13735749182478</v>
      </c>
      <c r="R236" s="8">
        <v>9.0035835605398855</v>
      </c>
      <c r="S236" s="8">
        <v>0.13</v>
      </c>
      <c r="T236" s="8">
        <v>0.10199999999999999</v>
      </c>
      <c r="U236" s="8">
        <v>1.6E-2</v>
      </c>
      <c r="V236" s="8">
        <v>1.7000000000000001E-2</v>
      </c>
      <c r="W236" s="8">
        <v>0.114</v>
      </c>
      <c r="X236" s="8">
        <v>8.4999999999999992E-2</v>
      </c>
      <c r="Y236" s="8">
        <v>1.2971698113207688</v>
      </c>
      <c r="Z236" s="8">
        <v>1.2589928057554007</v>
      </c>
      <c r="AA236" s="8">
        <v>7.81</v>
      </c>
      <c r="AB236">
        <v>0.192</v>
      </c>
      <c r="AC236" s="8">
        <v>4.5990566037735707</v>
      </c>
      <c r="AD236" s="8">
        <v>5.8453237410071806</v>
      </c>
      <c r="AE236" s="8">
        <v>1.7000000000000001E-2</v>
      </c>
      <c r="AF236" s="8">
        <v>1.4999999999999999E-2</v>
      </c>
      <c r="AG236" s="8">
        <v>1.6519485216242957</v>
      </c>
      <c r="AH236" s="8">
        <v>7.6470588235294112</v>
      </c>
      <c r="AI236" s="8">
        <v>5.9999999999999991</v>
      </c>
      <c r="AJ236" t="s">
        <v>1694</v>
      </c>
      <c r="AK236" t="s">
        <v>1694</v>
      </c>
      <c r="AL236" t="s">
        <v>1694</v>
      </c>
      <c r="AM236" t="s">
        <v>1694</v>
      </c>
      <c r="AN236" t="s">
        <v>1694</v>
      </c>
      <c r="AO236" t="s">
        <v>1694</v>
      </c>
      <c r="AP236" t="s">
        <v>1695</v>
      </c>
      <c r="AQ236" t="s">
        <v>1694</v>
      </c>
      <c r="AR236" t="s">
        <v>1694</v>
      </c>
      <c r="AS236" t="s">
        <v>1694</v>
      </c>
      <c r="AT236" t="s">
        <v>1694</v>
      </c>
      <c r="AU236" t="s">
        <v>1695</v>
      </c>
      <c r="AV236" t="s">
        <v>1694</v>
      </c>
      <c r="AW236" t="s">
        <v>1694</v>
      </c>
      <c r="AX236" t="s">
        <v>1695</v>
      </c>
      <c r="AY236" t="s">
        <v>1694</v>
      </c>
      <c r="AZ236" t="s">
        <v>1694</v>
      </c>
      <c r="BA236" t="s">
        <v>1694</v>
      </c>
      <c r="BB236" t="s">
        <v>1695</v>
      </c>
      <c r="BC236" t="s">
        <v>1694</v>
      </c>
      <c r="BD236" t="s">
        <v>1694</v>
      </c>
      <c r="BE236" t="s">
        <v>1695</v>
      </c>
      <c r="BF236" t="s">
        <v>1694</v>
      </c>
      <c r="BG236" t="s">
        <v>1697</v>
      </c>
      <c r="BH236" t="s">
        <v>1698</v>
      </c>
      <c r="BI236" t="b">
        <v>0</v>
      </c>
      <c r="BJ236">
        <f t="shared" si="3"/>
        <v>0</v>
      </c>
    </row>
    <row r="237" spans="1:62" x14ac:dyDescent="0.2">
      <c r="A237" s="5" t="s">
        <v>52</v>
      </c>
      <c r="B237" s="6">
        <v>42096</v>
      </c>
      <c r="C237" s="7">
        <v>33.654400000000003</v>
      </c>
      <c r="D237" s="7">
        <v>-112.61773100000001</v>
      </c>
      <c r="E237" s="17">
        <v>517</v>
      </c>
      <c r="F237" t="s">
        <v>1694</v>
      </c>
      <c r="G237" t="s">
        <v>1694</v>
      </c>
      <c r="H237" t="s">
        <v>1694</v>
      </c>
      <c r="I237">
        <v>0</v>
      </c>
      <c r="J237">
        <v>7.1473507195452903</v>
      </c>
      <c r="K237">
        <v>82.969524034837093</v>
      </c>
      <c r="L237">
        <v>9.8831252456176308</v>
      </c>
      <c r="M237">
        <v>3.8945706763729899</v>
      </c>
      <c r="N237">
        <v>1.5589595910071099</v>
      </c>
      <c r="O237">
        <v>2.0734982767726602</v>
      </c>
      <c r="P237">
        <v>1.30158418683141</v>
      </c>
      <c r="Q237">
        <v>4.3632353911835002</v>
      </c>
      <c r="R237">
        <v>1.54129980686764</v>
      </c>
      <c r="S237">
        <v>0.16900000000000001</v>
      </c>
      <c r="T237">
        <v>0.193</v>
      </c>
      <c r="U237">
        <v>2.5000000000000001E-2</v>
      </c>
      <c r="V237">
        <v>5.6000000000000001E-2</v>
      </c>
      <c r="W237">
        <v>0.14399999999999999</v>
      </c>
      <c r="X237">
        <v>0.13700000000000001</v>
      </c>
      <c r="Y237">
        <v>1.0180995475113099</v>
      </c>
      <c r="Z237">
        <v>1.0457516339869299</v>
      </c>
      <c r="AA237">
        <v>7.62</v>
      </c>
      <c r="AB237">
        <v>0.113</v>
      </c>
      <c r="AC237">
        <v>1.5220700152206901</v>
      </c>
      <c r="AD237">
        <v>1.2939001848428699</v>
      </c>
      <c r="AE237">
        <v>5.8999999999999997E-2</v>
      </c>
      <c r="AF237">
        <v>5.0999999999999997E-2</v>
      </c>
      <c r="AG237">
        <v>1.5325883578574504</v>
      </c>
      <c r="AH237">
        <v>2.86440677966102</v>
      </c>
      <c r="AI237">
        <v>3.7843137254902</v>
      </c>
      <c r="AJ237" t="s">
        <v>1694</v>
      </c>
      <c r="AK237" t="s">
        <v>1694</v>
      </c>
      <c r="AL237" t="s">
        <v>1694</v>
      </c>
      <c r="AM237" t="s">
        <v>1694</v>
      </c>
      <c r="AN237" t="s">
        <v>1694</v>
      </c>
      <c r="AO237" t="s">
        <v>1694</v>
      </c>
      <c r="AP237" t="s">
        <v>1697</v>
      </c>
      <c r="AQ237" t="s">
        <v>1697</v>
      </c>
      <c r="AR237" t="s">
        <v>1694</v>
      </c>
      <c r="AS237" t="s">
        <v>1694</v>
      </c>
      <c r="AT237" t="s">
        <v>1694</v>
      </c>
      <c r="AU237" t="s">
        <v>1695</v>
      </c>
      <c r="AV237" t="s">
        <v>1694</v>
      </c>
      <c r="AW237" t="s">
        <v>1694</v>
      </c>
      <c r="AX237" t="s">
        <v>1695</v>
      </c>
      <c r="AY237" t="s">
        <v>1694</v>
      </c>
      <c r="AZ237" t="s">
        <v>1694</v>
      </c>
      <c r="BA237" t="s">
        <v>1694</v>
      </c>
      <c r="BB237" t="s">
        <v>1695</v>
      </c>
      <c r="BC237" t="s">
        <v>1694</v>
      </c>
      <c r="BD237" t="s">
        <v>1694</v>
      </c>
      <c r="BE237" t="s">
        <v>1695</v>
      </c>
      <c r="BF237" t="s">
        <v>1694</v>
      </c>
      <c r="BG237" t="s">
        <v>1697</v>
      </c>
      <c r="BH237" t="s">
        <v>1698</v>
      </c>
      <c r="BI237" t="b">
        <v>0</v>
      </c>
      <c r="BJ237">
        <f t="shared" si="3"/>
        <v>0</v>
      </c>
    </row>
    <row r="238" spans="1:62" x14ac:dyDescent="0.2">
      <c r="A238" s="5" t="s">
        <v>53</v>
      </c>
      <c r="B238" s="6">
        <v>36615</v>
      </c>
      <c r="C238" s="7">
        <v>33.536828</v>
      </c>
      <c r="D238" s="7">
        <v>-112.59781099999999</v>
      </c>
      <c r="E238" s="17">
        <v>537</v>
      </c>
      <c r="F238" t="s">
        <v>1694</v>
      </c>
      <c r="G238" t="s">
        <v>1694</v>
      </c>
      <c r="H238" t="s">
        <v>1694</v>
      </c>
      <c r="I238">
        <v>0</v>
      </c>
      <c r="J238" s="8">
        <v>5.1435036988646869</v>
      </c>
      <c r="K238" s="8">
        <v>67.25388344969528</v>
      </c>
      <c r="L238" s="8">
        <v>27.602612851440028</v>
      </c>
      <c r="M238" s="8">
        <v>7.5235482916700578</v>
      </c>
      <c r="N238" s="8">
        <v>4.2220413879670335</v>
      </c>
      <c r="O238" s="8">
        <v>8.6564459993447098</v>
      </c>
      <c r="P238" s="8">
        <v>10.118934883983355</v>
      </c>
      <c r="Q238" s="8">
        <v>14.982545647589744</v>
      </c>
      <c r="R238" s="8">
        <v>7.540891408187159</v>
      </c>
      <c r="S238" s="8">
        <v>0.50800000000000001</v>
      </c>
      <c r="T238" s="8">
        <v>0.34799999999999998</v>
      </c>
      <c r="U238" s="8">
        <v>0.10199999999999999</v>
      </c>
      <c r="V238" s="8">
        <v>7.1999999999999995E-2</v>
      </c>
      <c r="W238" s="8">
        <v>0.40600000000000003</v>
      </c>
      <c r="X238" s="8">
        <v>0.27600000000000002</v>
      </c>
      <c r="Y238" s="8">
        <v>1.72336</v>
      </c>
      <c r="Z238" s="8">
        <v>1.3931899999999999</v>
      </c>
      <c r="AA238" s="9">
        <v>8.74</v>
      </c>
      <c r="AB238" s="10">
        <v>0.20849999999999999</v>
      </c>
      <c r="AC238" s="8">
        <v>1.50637</v>
      </c>
      <c r="AD238" s="8">
        <v>2.4049</v>
      </c>
      <c r="AE238" s="8">
        <v>4.4999999999999998E-2</v>
      </c>
      <c r="AF238" s="8">
        <v>5.5E-2</v>
      </c>
      <c r="AG238" s="8">
        <v>1.7945303676004836</v>
      </c>
      <c r="AH238" s="8">
        <v>11.28888888888889</v>
      </c>
      <c r="AI238" s="8">
        <v>7.7333333333333334</v>
      </c>
      <c r="AJ238" t="s">
        <v>1694</v>
      </c>
      <c r="AK238" t="s">
        <v>1694</v>
      </c>
      <c r="AL238" t="s">
        <v>1694</v>
      </c>
      <c r="AM238" t="s">
        <v>1694</v>
      </c>
      <c r="AN238" t="s">
        <v>1694</v>
      </c>
      <c r="AO238" t="s">
        <v>1694</v>
      </c>
      <c r="AP238" t="s">
        <v>1695</v>
      </c>
      <c r="AQ238" t="s">
        <v>1694</v>
      </c>
      <c r="AR238" t="s">
        <v>1694</v>
      </c>
      <c r="AS238" t="s">
        <v>1694</v>
      </c>
      <c r="AT238" t="s">
        <v>1694</v>
      </c>
      <c r="AU238" t="s">
        <v>1695</v>
      </c>
      <c r="AV238" t="s">
        <v>1694</v>
      </c>
      <c r="AW238" t="s">
        <v>1694</v>
      </c>
      <c r="AX238" t="s">
        <v>1695</v>
      </c>
      <c r="AY238" t="s">
        <v>1694</v>
      </c>
      <c r="AZ238" t="s">
        <v>1694</v>
      </c>
      <c r="BA238" t="s">
        <v>1694</v>
      </c>
      <c r="BB238" t="s">
        <v>1695</v>
      </c>
      <c r="BC238" t="s">
        <v>1694</v>
      </c>
      <c r="BD238" t="s">
        <v>1694</v>
      </c>
      <c r="BE238" t="s">
        <v>1695</v>
      </c>
      <c r="BF238" t="s">
        <v>1694</v>
      </c>
      <c r="BG238" t="s">
        <v>1697</v>
      </c>
      <c r="BH238" t="s">
        <v>1698</v>
      </c>
      <c r="BI238" t="b">
        <v>0</v>
      </c>
      <c r="BJ238">
        <f t="shared" si="3"/>
        <v>0</v>
      </c>
    </row>
    <row r="239" spans="1:62" x14ac:dyDescent="0.2">
      <c r="A239" s="5" t="s">
        <v>53</v>
      </c>
      <c r="B239" s="6">
        <v>38470</v>
      </c>
      <c r="C239" s="7">
        <v>33.536828</v>
      </c>
      <c r="D239" s="7">
        <v>-112.59781099999999</v>
      </c>
      <c r="E239" s="17">
        <v>537</v>
      </c>
      <c r="F239" t="s">
        <v>1694</v>
      </c>
      <c r="G239" t="s">
        <v>1694</v>
      </c>
      <c r="H239" t="s">
        <v>1694</v>
      </c>
      <c r="I239">
        <v>0</v>
      </c>
      <c r="J239" s="8">
        <v>7.9840954274353875</v>
      </c>
      <c r="K239" s="8">
        <v>88.262742767792048</v>
      </c>
      <c r="L239" s="8">
        <v>3.7531618047725601</v>
      </c>
      <c r="M239" s="8">
        <v>1.6481656830532594</v>
      </c>
      <c r="N239" s="8">
        <v>2.130514561322348</v>
      </c>
      <c r="O239" s="8">
        <v>1.7658918032713495</v>
      </c>
      <c r="P239" s="8">
        <v>2.5000000000000001E-3</v>
      </c>
      <c r="Q239" s="8">
        <v>8.0106321222787695</v>
      </c>
      <c r="R239" s="8">
        <v>4.4627831855246898</v>
      </c>
      <c r="S239" s="8">
        <v>0.27900000000000003</v>
      </c>
      <c r="T239" s="8">
        <v>0.24199999999999999</v>
      </c>
      <c r="U239" s="8">
        <v>0.218</v>
      </c>
      <c r="V239" s="8">
        <v>7.4999999999999997E-2</v>
      </c>
      <c r="W239" s="8">
        <v>6.1000000000000026E-2</v>
      </c>
      <c r="X239" s="8">
        <v>0.16699999999999998</v>
      </c>
      <c r="Y239" s="8">
        <v>1.5100671140939574</v>
      </c>
      <c r="Z239" s="8">
        <v>1.6163793103448125</v>
      </c>
      <c r="AA239" s="8">
        <v>9.07</v>
      </c>
      <c r="AB239">
        <v>0.22900000000000001</v>
      </c>
      <c r="AC239" s="8">
        <v>1.2583892617449695</v>
      </c>
      <c r="AD239" s="8">
        <v>1.4008620689655258</v>
      </c>
      <c r="AE239" s="8">
        <v>1.9E-2</v>
      </c>
      <c r="AF239" s="8">
        <v>1.7999999999999999E-2</v>
      </c>
      <c r="AG239" s="8">
        <v>1.5575584551358872</v>
      </c>
      <c r="AH239" s="8">
        <v>14.684210526315791</v>
      </c>
      <c r="AI239" s="8">
        <v>12.736842105263158</v>
      </c>
      <c r="AJ239" t="s">
        <v>1694</v>
      </c>
      <c r="AK239" t="s">
        <v>1694</v>
      </c>
      <c r="AL239" t="s">
        <v>1694</v>
      </c>
      <c r="AM239" t="s">
        <v>1694</v>
      </c>
      <c r="AN239" t="s">
        <v>1694</v>
      </c>
      <c r="AO239" t="s">
        <v>1694</v>
      </c>
      <c r="AP239" t="s">
        <v>1695</v>
      </c>
      <c r="AQ239" t="s">
        <v>1694</v>
      </c>
      <c r="AR239" t="s">
        <v>1694</v>
      </c>
      <c r="AS239" t="s">
        <v>1694</v>
      </c>
      <c r="AT239" t="s">
        <v>1694</v>
      </c>
      <c r="AU239" t="s">
        <v>1695</v>
      </c>
      <c r="AV239" t="s">
        <v>1694</v>
      </c>
      <c r="AW239" t="s">
        <v>1694</v>
      </c>
      <c r="AX239" t="s">
        <v>1695</v>
      </c>
      <c r="AY239" t="s">
        <v>1694</v>
      </c>
      <c r="AZ239" t="s">
        <v>1694</v>
      </c>
      <c r="BA239" t="s">
        <v>1694</v>
      </c>
      <c r="BB239" t="s">
        <v>1695</v>
      </c>
      <c r="BC239" t="s">
        <v>1694</v>
      </c>
      <c r="BD239" t="s">
        <v>1694</v>
      </c>
      <c r="BE239" t="s">
        <v>1695</v>
      </c>
      <c r="BF239" t="s">
        <v>1694</v>
      </c>
      <c r="BG239" t="s">
        <v>1697</v>
      </c>
      <c r="BH239" t="s">
        <v>1698</v>
      </c>
      <c r="BI239" t="b">
        <v>0</v>
      </c>
      <c r="BJ239">
        <f t="shared" si="3"/>
        <v>0</v>
      </c>
    </row>
    <row r="240" spans="1:62" x14ac:dyDescent="0.2">
      <c r="A240" s="5" t="s">
        <v>53</v>
      </c>
      <c r="B240" s="6">
        <v>40269</v>
      </c>
      <c r="C240" s="7">
        <v>33.536828</v>
      </c>
      <c r="D240" s="7">
        <v>-112.59781099999999</v>
      </c>
      <c r="E240" s="17">
        <v>537</v>
      </c>
      <c r="F240" t="s">
        <v>1694</v>
      </c>
      <c r="G240" t="s">
        <v>1694</v>
      </c>
      <c r="H240" t="s">
        <v>1694</v>
      </c>
      <c r="I240">
        <v>0</v>
      </c>
      <c r="J240" s="8">
        <v>7.7311707645263299</v>
      </c>
      <c r="K240" s="8">
        <v>77.074509303453027</v>
      </c>
      <c r="L240" s="8">
        <v>15.194319932020647</v>
      </c>
      <c r="M240" s="8">
        <v>0.53724186745154878</v>
      </c>
      <c r="N240" s="8">
        <v>5.0000000000000001E-3</v>
      </c>
      <c r="O240" s="8">
        <v>1.1787585277417951</v>
      </c>
      <c r="P240" s="8">
        <v>0.18000875477885611</v>
      </c>
      <c r="Q240" s="8">
        <v>13.020172338661018</v>
      </c>
      <c r="R240" s="8">
        <v>2.5000000000000001E-3</v>
      </c>
      <c r="S240" s="8">
        <v>0.254</v>
      </c>
      <c r="T240" s="8">
        <v>0.17100000000000001</v>
      </c>
      <c r="U240" s="8">
        <v>0.05</v>
      </c>
      <c r="V240" s="8">
        <v>0.105</v>
      </c>
      <c r="W240" s="8">
        <v>0.20400000000000001</v>
      </c>
      <c r="X240" s="8">
        <v>6.6000000000000017E-2</v>
      </c>
      <c r="Y240" s="8">
        <v>1.8032786885246095</v>
      </c>
      <c r="Z240" s="8">
        <v>1.47058823529411</v>
      </c>
      <c r="AA240" s="8">
        <v>7.7</v>
      </c>
      <c r="AB240">
        <v>0.184</v>
      </c>
      <c r="AC240" s="8">
        <v>1.3114754098360373</v>
      </c>
      <c r="AD240" s="8">
        <v>1.6042780748662995</v>
      </c>
      <c r="AE240" s="8">
        <v>2.4E-2</v>
      </c>
      <c r="AF240" s="8">
        <v>1.4999999999999999E-2</v>
      </c>
      <c r="AG240" s="8">
        <v>1.5320532217177365</v>
      </c>
      <c r="AH240" s="8">
        <v>10.583333333333334</v>
      </c>
      <c r="AI240" s="8">
        <v>7.125</v>
      </c>
      <c r="AJ240" t="s">
        <v>1694</v>
      </c>
      <c r="AK240" t="s">
        <v>1694</v>
      </c>
      <c r="AL240" t="s">
        <v>1694</v>
      </c>
      <c r="AM240" t="s">
        <v>1694</v>
      </c>
      <c r="AN240" t="s">
        <v>1694</v>
      </c>
      <c r="AO240" t="s">
        <v>1694</v>
      </c>
      <c r="AP240" t="s">
        <v>1695</v>
      </c>
      <c r="AQ240" t="s">
        <v>1694</v>
      </c>
      <c r="AR240" t="s">
        <v>1694</v>
      </c>
      <c r="AS240" t="s">
        <v>1694</v>
      </c>
      <c r="AT240" t="s">
        <v>1694</v>
      </c>
      <c r="AU240" t="s">
        <v>1695</v>
      </c>
      <c r="AV240" t="s">
        <v>1694</v>
      </c>
      <c r="AW240" t="s">
        <v>1694</v>
      </c>
      <c r="AX240" t="s">
        <v>1695</v>
      </c>
      <c r="AY240" t="s">
        <v>1694</v>
      </c>
      <c r="AZ240" t="s">
        <v>1694</v>
      </c>
      <c r="BA240" t="s">
        <v>1694</v>
      </c>
      <c r="BB240" t="s">
        <v>1695</v>
      </c>
      <c r="BC240" t="s">
        <v>1694</v>
      </c>
      <c r="BD240" t="s">
        <v>1694</v>
      </c>
      <c r="BE240" t="s">
        <v>1695</v>
      </c>
      <c r="BF240" t="s">
        <v>1694</v>
      </c>
      <c r="BG240" t="s">
        <v>1697</v>
      </c>
      <c r="BH240" t="s">
        <v>1698</v>
      </c>
      <c r="BI240" t="b">
        <v>0</v>
      </c>
      <c r="BJ240">
        <f t="shared" si="3"/>
        <v>0</v>
      </c>
    </row>
    <row r="241" spans="1:62" x14ac:dyDescent="0.2">
      <c r="A241" s="5" t="s">
        <v>53</v>
      </c>
      <c r="B241" s="6">
        <v>42080</v>
      </c>
      <c r="C241" s="7">
        <v>33.536828</v>
      </c>
      <c r="D241" s="7">
        <v>-112.59781099999999</v>
      </c>
      <c r="E241" s="17">
        <v>537</v>
      </c>
      <c r="F241" t="s">
        <v>1694</v>
      </c>
      <c r="G241" t="s">
        <v>1694</v>
      </c>
      <c r="H241" t="s">
        <v>1694</v>
      </c>
      <c r="I241">
        <v>0</v>
      </c>
      <c r="J241">
        <v>7.1236491729930398</v>
      </c>
      <c r="K241">
        <v>91.414732661947795</v>
      </c>
      <c r="L241">
        <v>1.46161816505918</v>
      </c>
      <c r="M241">
        <v>2.2896570095231699</v>
      </c>
      <c r="N241">
        <v>2.16281615904097</v>
      </c>
      <c r="O241">
        <v>1.6864204512449501</v>
      </c>
      <c r="P241">
        <v>1.55596774160132</v>
      </c>
      <c r="Q241">
        <v>8.8309417387034106</v>
      </c>
      <c r="R241">
        <v>18.338356258031901</v>
      </c>
      <c r="S241">
        <v>0.17799999999999999</v>
      </c>
      <c r="T241">
        <v>0.30099999999999999</v>
      </c>
      <c r="U241">
        <v>1.7000000000000001E-2</v>
      </c>
      <c r="V241">
        <v>0.10199999999999999</v>
      </c>
      <c r="W241">
        <v>0.161</v>
      </c>
      <c r="X241">
        <v>0.19900000000000001</v>
      </c>
      <c r="Y241">
        <v>1.3192612137203099</v>
      </c>
      <c r="Z241">
        <v>1.3297872340425501</v>
      </c>
      <c r="AA241">
        <v>7.45</v>
      </c>
      <c r="AB241">
        <v>0.14000000000000001</v>
      </c>
      <c r="AC241">
        <v>1.5037593984962401</v>
      </c>
      <c r="AD241">
        <v>1.13636363636365</v>
      </c>
      <c r="AE241">
        <v>3.5999999999999997E-2</v>
      </c>
      <c r="AF241">
        <v>3.3000000000000002E-2</v>
      </c>
      <c r="AG241">
        <v>1.8245967747472362</v>
      </c>
      <c r="AH241">
        <v>4.9444444444444402</v>
      </c>
      <c r="AI241">
        <v>9.1212121212121193</v>
      </c>
      <c r="AJ241" t="s">
        <v>1694</v>
      </c>
      <c r="AK241" t="s">
        <v>1694</v>
      </c>
      <c r="AL241" t="s">
        <v>1694</v>
      </c>
      <c r="AM241" t="s">
        <v>1694</v>
      </c>
      <c r="AN241" t="s">
        <v>1694</v>
      </c>
      <c r="AO241" t="s">
        <v>1694</v>
      </c>
      <c r="AP241" t="s">
        <v>1697</v>
      </c>
      <c r="AQ241" t="s">
        <v>1697</v>
      </c>
      <c r="AR241" t="s">
        <v>1694</v>
      </c>
      <c r="AS241" t="s">
        <v>1694</v>
      </c>
      <c r="AT241" t="s">
        <v>1694</v>
      </c>
      <c r="AU241" t="s">
        <v>1695</v>
      </c>
      <c r="AV241" t="s">
        <v>1694</v>
      </c>
      <c r="AW241" t="s">
        <v>1694</v>
      </c>
      <c r="AX241" t="s">
        <v>1695</v>
      </c>
      <c r="AY241" t="s">
        <v>1694</v>
      </c>
      <c r="AZ241" t="s">
        <v>1694</v>
      </c>
      <c r="BA241" t="s">
        <v>1694</v>
      </c>
      <c r="BB241" t="s">
        <v>1697</v>
      </c>
      <c r="BC241" t="s">
        <v>1697</v>
      </c>
      <c r="BD241" t="s">
        <v>1694</v>
      </c>
      <c r="BE241" t="s">
        <v>1697</v>
      </c>
      <c r="BF241" t="s">
        <v>1697</v>
      </c>
      <c r="BG241" t="s">
        <v>1697</v>
      </c>
      <c r="BH241" t="s">
        <v>1698</v>
      </c>
      <c r="BI241" t="b">
        <v>0</v>
      </c>
      <c r="BJ241">
        <f t="shared" si="3"/>
        <v>0</v>
      </c>
    </row>
    <row r="242" spans="1:62" x14ac:dyDescent="0.2">
      <c r="A242" s="5" t="s">
        <v>54</v>
      </c>
      <c r="B242" s="6">
        <v>36615</v>
      </c>
      <c r="C242" s="7">
        <v>33.440550000000002</v>
      </c>
      <c r="D242" s="7">
        <v>-112.577067</v>
      </c>
      <c r="E242" s="17">
        <v>335</v>
      </c>
      <c r="F242" t="s">
        <v>1694</v>
      </c>
      <c r="G242" t="s">
        <v>1694</v>
      </c>
      <c r="H242" t="s">
        <v>1694</v>
      </c>
      <c r="I242">
        <v>0</v>
      </c>
      <c r="J242" s="8">
        <v>8.1806067483036387</v>
      </c>
      <c r="K242" s="8">
        <v>75.575745781690571</v>
      </c>
      <c r="L242" s="8">
        <v>16.243647470005783</v>
      </c>
      <c r="M242" s="8">
        <v>3.2283412970469789</v>
      </c>
      <c r="N242" s="8">
        <v>1.9159227840723625</v>
      </c>
      <c r="O242" s="8">
        <v>4.2860097173380565</v>
      </c>
      <c r="P242" s="8">
        <v>8.8352784575553116</v>
      </c>
      <c r="Q242" s="8">
        <v>9.6817070877587472</v>
      </c>
      <c r="R242" s="8">
        <v>4.9617139405400916</v>
      </c>
      <c r="S242" s="8">
        <v>0.625</v>
      </c>
      <c r="T242" s="8">
        <v>0.57599999999999996</v>
      </c>
      <c r="U242" s="8">
        <v>0.34699999999999998</v>
      </c>
      <c r="V242" s="8">
        <v>0.245</v>
      </c>
      <c r="W242" s="8">
        <v>0.27800000000000002</v>
      </c>
      <c r="X242" s="8">
        <v>0.33100000000000002</v>
      </c>
      <c r="Y242" s="8">
        <v>1.35629</v>
      </c>
      <c r="Z242" s="8">
        <v>1.1074200000000001</v>
      </c>
      <c r="AA242" s="9">
        <v>8.64</v>
      </c>
      <c r="AB242" s="10">
        <v>0.27800000000000002</v>
      </c>
      <c r="AC242" s="8">
        <v>0.96516999999999997</v>
      </c>
      <c r="AD242" s="8">
        <v>1.9360599999999999</v>
      </c>
      <c r="AE242" s="8">
        <v>4.4999999999999998E-2</v>
      </c>
      <c r="AF242" s="8">
        <v>3.5999999999999997E-2</v>
      </c>
      <c r="AG242" s="8">
        <v>1.3934203175580397</v>
      </c>
      <c r="AH242" s="8">
        <v>13.888888888888889</v>
      </c>
      <c r="AI242" s="8">
        <v>12.799999999999999</v>
      </c>
      <c r="AJ242" t="s">
        <v>1694</v>
      </c>
      <c r="AK242" t="s">
        <v>1694</v>
      </c>
      <c r="AL242" t="s">
        <v>1694</v>
      </c>
      <c r="AM242" t="s">
        <v>1694</v>
      </c>
      <c r="AN242" t="s">
        <v>1694</v>
      </c>
      <c r="AO242" t="s">
        <v>1694</v>
      </c>
      <c r="AP242" t="s">
        <v>1695</v>
      </c>
      <c r="AQ242" t="s">
        <v>1694</v>
      </c>
      <c r="AR242" t="s">
        <v>1694</v>
      </c>
      <c r="AS242" t="s">
        <v>1694</v>
      </c>
      <c r="AT242" t="s">
        <v>1694</v>
      </c>
      <c r="AU242" t="s">
        <v>1695</v>
      </c>
      <c r="AV242" t="s">
        <v>1694</v>
      </c>
      <c r="AW242" t="s">
        <v>1694</v>
      </c>
      <c r="AX242" t="s">
        <v>1695</v>
      </c>
      <c r="AY242" t="s">
        <v>1694</v>
      </c>
      <c r="AZ242" t="s">
        <v>1694</v>
      </c>
      <c r="BA242" t="s">
        <v>1694</v>
      </c>
      <c r="BB242" t="s">
        <v>1695</v>
      </c>
      <c r="BC242" t="s">
        <v>1694</v>
      </c>
      <c r="BD242" t="s">
        <v>1694</v>
      </c>
      <c r="BE242" t="s">
        <v>1695</v>
      </c>
      <c r="BF242" t="s">
        <v>1694</v>
      </c>
      <c r="BG242" t="s">
        <v>1697</v>
      </c>
      <c r="BH242" t="s">
        <v>1698</v>
      </c>
      <c r="BI242" t="b">
        <v>0</v>
      </c>
      <c r="BJ242">
        <f t="shared" si="3"/>
        <v>0</v>
      </c>
    </row>
    <row r="243" spans="1:62" x14ac:dyDescent="0.2">
      <c r="A243" s="5" t="s">
        <v>54</v>
      </c>
      <c r="B243" s="6">
        <v>38405</v>
      </c>
      <c r="C243" s="7">
        <v>33.440550000000002</v>
      </c>
      <c r="D243" s="7">
        <v>-112.577067</v>
      </c>
      <c r="E243" s="17">
        <v>335</v>
      </c>
      <c r="F243" t="s">
        <v>1694</v>
      </c>
      <c r="G243" t="s">
        <v>1694</v>
      </c>
      <c r="H243" t="s">
        <v>1694</v>
      </c>
      <c r="I243">
        <v>0</v>
      </c>
      <c r="J243" s="8">
        <v>7.2534606629892702</v>
      </c>
      <c r="K243" s="8">
        <v>78.231184636479668</v>
      </c>
      <c r="L243" s="8">
        <v>14.515354700531063</v>
      </c>
      <c r="M243" s="8">
        <v>2.3712116348017673</v>
      </c>
      <c r="N243" s="8">
        <v>3.354908264386804</v>
      </c>
      <c r="O243" s="8">
        <v>2.2482599204046383</v>
      </c>
      <c r="P243" s="8">
        <v>0.5385510634936711</v>
      </c>
      <c r="Q243" s="8">
        <v>11.447143574998837</v>
      </c>
      <c r="R243" s="8">
        <v>6.4630965266341303</v>
      </c>
      <c r="S243" s="8">
        <v>0.39500000000000002</v>
      </c>
      <c r="T243" s="8">
        <v>0.52200000000000002</v>
      </c>
      <c r="U243" s="8">
        <v>0.28899999999999998</v>
      </c>
      <c r="V243" s="8">
        <v>0.42899999999999999</v>
      </c>
      <c r="W243" s="8">
        <v>0.10600000000000004</v>
      </c>
      <c r="X243" s="8">
        <v>9.3000000000000027E-2</v>
      </c>
      <c r="Y243" s="8">
        <v>2.1551724137931147</v>
      </c>
      <c r="Z243" s="8">
        <v>2.244389027431418</v>
      </c>
      <c r="AA243" s="8">
        <v>8.58</v>
      </c>
      <c r="AB243">
        <v>0.123</v>
      </c>
      <c r="AC243" s="8">
        <v>8.6206896551724022</v>
      </c>
      <c r="AD243" s="8">
        <v>8.977556109725672</v>
      </c>
      <c r="AE243" s="8">
        <v>2.1000000000000001E-2</v>
      </c>
      <c r="AF243" s="8">
        <v>2.1000000000000001E-2</v>
      </c>
      <c r="AG243" s="8">
        <v>1.6194276624439274</v>
      </c>
      <c r="AH243" s="8">
        <v>18.80952380952381</v>
      </c>
      <c r="AI243" s="8">
        <v>24.857142857142858</v>
      </c>
      <c r="AJ243" t="s">
        <v>1694</v>
      </c>
      <c r="AK243" t="s">
        <v>1694</v>
      </c>
      <c r="AL243" t="s">
        <v>1694</v>
      </c>
      <c r="AM243" t="s">
        <v>1694</v>
      </c>
      <c r="AN243" t="s">
        <v>1694</v>
      </c>
      <c r="AO243" t="s">
        <v>1694</v>
      </c>
      <c r="AP243" t="s">
        <v>1695</v>
      </c>
      <c r="AQ243" t="s">
        <v>1694</v>
      </c>
      <c r="AR243" t="s">
        <v>1694</v>
      </c>
      <c r="AS243" t="s">
        <v>1694</v>
      </c>
      <c r="AT243" t="s">
        <v>1694</v>
      </c>
      <c r="AU243" t="s">
        <v>1695</v>
      </c>
      <c r="AV243" t="s">
        <v>1694</v>
      </c>
      <c r="AW243" t="s">
        <v>1694</v>
      </c>
      <c r="AX243" t="s">
        <v>1695</v>
      </c>
      <c r="AY243" t="s">
        <v>1694</v>
      </c>
      <c r="AZ243" t="s">
        <v>1694</v>
      </c>
      <c r="BA243" t="s">
        <v>1694</v>
      </c>
      <c r="BB243" t="s">
        <v>1695</v>
      </c>
      <c r="BC243" t="s">
        <v>1694</v>
      </c>
      <c r="BD243" t="s">
        <v>1694</v>
      </c>
      <c r="BE243" t="s">
        <v>1695</v>
      </c>
      <c r="BF243" t="s">
        <v>1694</v>
      </c>
      <c r="BG243" t="s">
        <v>1697</v>
      </c>
      <c r="BH243" t="s">
        <v>1698</v>
      </c>
      <c r="BI243" t="b">
        <v>0</v>
      </c>
      <c r="BJ243">
        <f t="shared" si="3"/>
        <v>0</v>
      </c>
    </row>
    <row r="244" spans="1:62" x14ac:dyDescent="0.2">
      <c r="A244" s="5" t="s">
        <v>54</v>
      </c>
      <c r="B244" s="6">
        <v>40256</v>
      </c>
      <c r="C244" s="7">
        <v>33.440550000000002</v>
      </c>
      <c r="D244" s="7">
        <v>-112.577067</v>
      </c>
      <c r="E244" s="17">
        <v>335</v>
      </c>
      <c r="F244" t="s">
        <v>1694</v>
      </c>
      <c r="G244" t="s">
        <v>1694</v>
      </c>
      <c r="H244" t="s">
        <v>1694</v>
      </c>
      <c r="I244">
        <v>0</v>
      </c>
      <c r="J244" s="8">
        <v>6.6039572119178427</v>
      </c>
      <c r="K244" s="8">
        <v>74.417346565675544</v>
      </c>
      <c r="L244" s="8">
        <v>18.978696222406612</v>
      </c>
      <c r="M244" s="8">
        <v>5.0000000000000001E-3</v>
      </c>
      <c r="N244" s="8">
        <v>0.5759213096066006</v>
      </c>
      <c r="O244" s="8">
        <v>3.9909986954807071</v>
      </c>
      <c r="P244" s="8">
        <v>0.79354674700104888</v>
      </c>
      <c r="Q244" s="8">
        <v>14.560526419280446</v>
      </c>
      <c r="R244" s="8">
        <v>7.1434691628568787</v>
      </c>
      <c r="S244" s="8">
        <v>0.53400000000000003</v>
      </c>
      <c r="T244" s="8">
        <v>0.64200000000000002</v>
      </c>
      <c r="U244" s="8">
        <v>0.28399999999999997</v>
      </c>
      <c r="V244" s="8">
        <v>0.62</v>
      </c>
      <c r="W244" s="8">
        <v>0.25000000000000006</v>
      </c>
      <c r="X244" s="8">
        <v>2.200000000000002E-2</v>
      </c>
      <c r="Y244" s="8">
        <v>1.5167930660888469</v>
      </c>
      <c r="Z244" s="8">
        <v>1.4874141876430296</v>
      </c>
      <c r="AA244" s="8">
        <v>8.93</v>
      </c>
      <c r="AB244">
        <v>0.13900000000000001</v>
      </c>
      <c r="AC244" s="8">
        <v>3.3586132177681529</v>
      </c>
      <c r="AD244" s="8">
        <v>4.691075514874143</v>
      </c>
      <c r="AE244" s="8">
        <v>3.3000000000000002E-2</v>
      </c>
      <c r="AF244" s="8">
        <v>1.9E-2</v>
      </c>
      <c r="AG244" s="8">
        <v>1.6408602573042628</v>
      </c>
      <c r="AH244" s="8">
        <v>16.181818181818183</v>
      </c>
      <c r="AI244" s="8">
        <v>19.454545454545453</v>
      </c>
      <c r="AJ244" t="s">
        <v>1694</v>
      </c>
      <c r="AK244" t="s">
        <v>1694</v>
      </c>
      <c r="AL244" t="s">
        <v>1694</v>
      </c>
      <c r="AM244" t="s">
        <v>1694</v>
      </c>
      <c r="AN244" t="s">
        <v>1694</v>
      </c>
      <c r="AO244" t="s">
        <v>1694</v>
      </c>
      <c r="AP244" t="s">
        <v>1695</v>
      </c>
      <c r="AQ244" t="s">
        <v>1694</v>
      </c>
      <c r="AR244" t="s">
        <v>1694</v>
      </c>
      <c r="AS244" t="s">
        <v>1694</v>
      </c>
      <c r="AT244" t="s">
        <v>1694</v>
      </c>
      <c r="AU244" t="s">
        <v>1695</v>
      </c>
      <c r="AV244" t="s">
        <v>1694</v>
      </c>
      <c r="AW244" t="s">
        <v>1694</v>
      </c>
      <c r="AX244" t="s">
        <v>1695</v>
      </c>
      <c r="AY244" t="s">
        <v>1694</v>
      </c>
      <c r="AZ244" t="s">
        <v>1694</v>
      </c>
      <c r="BA244" t="s">
        <v>1694</v>
      </c>
      <c r="BB244" t="s">
        <v>1695</v>
      </c>
      <c r="BC244" t="s">
        <v>1694</v>
      </c>
      <c r="BD244" t="s">
        <v>1694</v>
      </c>
      <c r="BE244" t="s">
        <v>1695</v>
      </c>
      <c r="BF244" t="s">
        <v>1694</v>
      </c>
      <c r="BG244" t="s">
        <v>1697</v>
      </c>
      <c r="BH244" t="s">
        <v>1698</v>
      </c>
      <c r="BI244" t="b">
        <v>0</v>
      </c>
      <c r="BJ244">
        <f t="shared" si="3"/>
        <v>0</v>
      </c>
    </row>
    <row r="245" spans="1:62" x14ac:dyDescent="0.2">
      <c r="A245" s="5" t="s">
        <v>54</v>
      </c>
      <c r="B245" s="6">
        <v>42069</v>
      </c>
      <c r="C245" s="7">
        <v>33.440550000000002</v>
      </c>
      <c r="D245" s="7">
        <v>-112.577067</v>
      </c>
      <c r="E245" s="17">
        <v>335</v>
      </c>
      <c r="F245" t="s">
        <v>1694</v>
      </c>
      <c r="G245" t="s">
        <v>1694</v>
      </c>
      <c r="H245" t="s">
        <v>1694</v>
      </c>
      <c r="I245">
        <v>0</v>
      </c>
      <c r="J245">
        <v>5.7942406322592701</v>
      </c>
      <c r="K245">
        <v>89.827377968746703</v>
      </c>
      <c r="L245">
        <v>4.3783813989939802</v>
      </c>
      <c r="M245">
        <v>4.3553660325973498</v>
      </c>
      <c r="N245">
        <v>3.43018274153598</v>
      </c>
      <c r="O245">
        <v>5.5642023191958003</v>
      </c>
      <c r="P245">
        <v>2.0902676081234901</v>
      </c>
      <c r="Q245">
        <v>9.20077263523536</v>
      </c>
      <c r="R245">
        <v>11.397448329231301</v>
      </c>
      <c r="S245">
        <v>0.59899999999999998</v>
      </c>
      <c r="T245">
        <v>0.55300000000000005</v>
      </c>
      <c r="U245">
        <v>0.41399999999999998</v>
      </c>
      <c r="V245">
        <v>0.53500000000000003</v>
      </c>
      <c r="W245">
        <v>0.185</v>
      </c>
      <c r="X245">
        <v>1.7999999999999999E-2</v>
      </c>
      <c r="Y245">
        <v>1.2578616352201299</v>
      </c>
      <c r="Z245">
        <v>1.11386138613861</v>
      </c>
      <c r="AA245">
        <v>8.2200000000000006</v>
      </c>
      <c r="AB245">
        <v>0.221</v>
      </c>
      <c r="AC245">
        <v>0.87412587412585496</v>
      </c>
      <c r="AD245">
        <v>1.02739726027398</v>
      </c>
      <c r="AE245">
        <v>6.9000000000000006E-2</v>
      </c>
      <c r="AF245">
        <v>2.8000000000000001E-2</v>
      </c>
      <c r="AG245">
        <v>1.4382445052050532</v>
      </c>
      <c r="AH245">
        <v>8.6811594202898501</v>
      </c>
      <c r="AI245">
        <v>19.75</v>
      </c>
      <c r="AJ245" t="s">
        <v>1694</v>
      </c>
      <c r="AK245" t="s">
        <v>1694</v>
      </c>
      <c r="AL245" t="s">
        <v>1694</v>
      </c>
      <c r="AM245" t="s">
        <v>1694</v>
      </c>
      <c r="AN245" t="s">
        <v>1694</v>
      </c>
      <c r="AO245" t="s">
        <v>1694</v>
      </c>
      <c r="AP245" t="s">
        <v>1697</v>
      </c>
      <c r="AQ245" t="s">
        <v>1697</v>
      </c>
      <c r="AR245" t="s">
        <v>1694</v>
      </c>
      <c r="AS245" t="s">
        <v>1694</v>
      </c>
      <c r="AT245" t="s">
        <v>1694</v>
      </c>
      <c r="AU245" t="s">
        <v>1695</v>
      </c>
      <c r="AV245" t="s">
        <v>1694</v>
      </c>
      <c r="AW245" t="s">
        <v>1694</v>
      </c>
      <c r="AX245" t="s">
        <v>1695</v>
      </c>
      <c r="AY245" t="s">
        <v>1694</v>
      </c>
      <c r="AZ245" t="s">
        <v>1694</v>
      </c>
      <c r="BA245" t="s">
        <v>1694</v>
      </c>
      <c r="BB245" t="s">
        <v>1695</v>
      </c>
      <c r="BC245" t="s">
        <v>1694</v>
      </c>
      <c r="BD245" t="s">
        <v>1694</v>
      </c>
      <c r="BE245" t="s">
        <v>1695</v>
      </c>
      <c r="BF245" t="s">
        <v>1694</v>
      </c>
      <c r="BG245" t="s">
        <v>1697</v>
      </c>
      <c r="BH245" t="s">
        <v>1698</v>
      </c>
      <c r="BI245" t="b">
        <v>0</v>
      </c>
      <c r="BJ245">
        <f t="shared" si="3"/>
        <v>0</v>
      </c>
    </row>
    <row r="246" spans="1:62" x14ac:dyDescent="0.2">
      <c r="A246" s="5" t="s">
        <v>54</v>
      </c>
      <c r="B246" s="6">
        <v>45028</v>
      </c>
      <c r="C246" s="7">
        <v>33.440550000000002</v>
      </c>
      <c r="D246" s="7">
        <v>-112.577067</v>
      </c>
      <c r="E246" s="17">
        <v>335</v>
      </c>
      <c r="F246" t="s">
        <v>1694</v>
      </c>
      <c r="G246" t="s">
        <v>1694</v>
      </c>
      <c r="H246" t="s">
        <v>1694</v>
      </c>
      <c r="I246">
        <v>0</v>
      </c>
      <c r="J246" s="6" t="s">
        <v>1697</v>
      </c>
      <c r="K246" s="6" t="s">
        <v>1697</v>
      </c>
      <c r="L246" s="6" t="s">
        <v>1697</v>
      </c>
      <c r="M246" s="6" t="s">
        <v>1697</v>
      </c>
      <c r="N246" s="6" t="s">
        <v>1697</v>
      </c>
      <c r="O246" s="6" t="s">
        <v>1697</v>
      </c>
      <c r="P246" s="6" t="s">
        <v>1697</v>
      </c>
      <c r="Q246" s="6" t="s">
        <v>1697</v>
      </c>
      <c r="R246" s="6" t="s">
        <v>1697</v>
      </c>
      <c r="S246" s="6" t="s">
        <v>1697</v>
      </c>
      <c r="T246" s="6" t="s">
        <v>1697</v>
      </c>
      <c r="U246" s="6" t="s">
        <v>1697</v>
      </c>
      <c r="V246" s="6" t="s">
        <v>1697</v>
      </c>
      <c r="W246" s="6" t="s">
        <v>1697</v>
      </c>
      <c r="X246" s="6" t="s">
        <v>1697</v>
      </c>
      <c r="Y246" s="6" t="s">
        <v>1697</v>
      </c>
      <c r="Z246" s="6" t="s">
        <v>1697</v>
      </c>
      <c r="AA246" s="6" t="s">
        <v>1697</v>
      </c>
      <c r="AB246" s="6" t="s">
        <v>1697</v>
      </c>
      <c r="AC246" s="6" t="s">
        <v>1697</v>
      </c>
      <c r="AD246" s="6" t="s">
        <v>1697</v>
      </c>
      <c r="AE246" s="6" t="s">
        <v>1697</v>
      </c>
      <c r="AF246" s="6" t="s">
        <v>1697</v>
      </c>
      <c r="AG246" s="6" t="s">
        <v>1697</v>
      </c>
      <c r="AH246" s="6" t="s">
        <v>1697</v>
      </c>
      <c r="AI246" s="6" t="s">
        <v>1697</v>
      </c>
      <c r="AJ246" t="s">
        <v>1694</v>
      </c>
      <c r="AK246" t="s">
        <v>1694</v>
      </c>
      <c r="AL246" t="s">
        <v>1694</v>
      </c>
      <c r="AM246" t="s">
        <v>1694</v>
      </c>
      <c r="AN246" t="s">
        <v>1694</v>
      </c>
      <c r="AO246" t="s">
        <v>1694</v>
      </c>
      <c r="AP246" t="s">
        <v>1697</v>
      </c>
      <c r="AQ246" t="s">
        <v>1697</v>
      </c>
      <c r="AR246" t="s">
        <v>1694</v>
      </c>
      <c r="AS246" t="s">
        <v>1694</v>
      </c>
      <c r="AT246" t="s">
        <v>1694</v>
      </c>
      <c r="AU246" t="s">
        <v>1695</v>
      </c>
      <c r="AV246" t="s">
        <v>1694</v>
      </c>
      <c r="AW246" t="s">
        <v>1694</v>
      </c>
      <c r="AX246" t="s">
        <v>1695</v>
      </c>
      <c r="AY246" t="s">
        <v>1694</v>
      </c>
      <c r="AZ246" t="s">
        <v>1694</v>
      </c>
      <c r="BA246" t="s">
        <v>1694</v>
      </c>
      <c r="BB246" t="s">
        <v>1695</v>
      </c>
      <c r="BC246" t="s">
        <v>1694</v>
      </c>
      <c r="BD246" t="s">
        <v>1694</v>
      </c>
      <c r="BE246" t="s">
        <v>1695</v>
      </c>
      <c r="BF246" t="s">
        <v>1694</v>
      </c>
      <c r="BG246" s="6" t="s">
        <v>1697</v>
      </c>
      <c r="BH246" s="6" t="s">
        <v>1697</v>
      </c>
      <c r="BI246" t="b">
        <v>1</v>
      </c>
      <c r="BJ246">
        <f t="shared" si="3"/>
        <v>1</v>
      </c>
    </row>
    <row r="247" spans="1:62" x14ac:dyDescent="0.2">
      <c r="A247" s="5" t="s">
        <v>862</v>
      </c>
      <c r="B247" s="6">
        <v>38476</v>
      </c>
      <c r="C247" s="7">
        <v>33.801419000000003</v>
      </c>
      <c r="D247" s="7">
        <v>-112.564711</v>
      </c>
      <c r="E247" s="17">
        <v>547</v>
      </c>
      <c r="F247" t="s">
        <v>1694</v>
      </c>
      <c r="G247" t="s">
        <v>1694</v>
      </c>
      <c r="H247" t="s">
        <v>1694</v>
      </c>
      <c r="I247">
        <v>0</v>
      </c>
      <c r="J247" s="8">
        <v>15.154869289323129</v>
      </c>
      <c r="K247" s="8">
        <v>67.238470207898189</v>
      </c>
      <c r="L247" s="8">
        <v>17.606660502778681</v>
      </c>
      <c r="M247" s="8">
        <v>1.3761849197316305</v>
      </c>
      <c r="N247" s="8">
        <v>0.69052102539389904</v>
      </c>
      <c r="O247" s="8">
        <v>1.2110427293638346</v>
      </c>
      <c r="P247" s="8">
        <v>6.2146892285450901E-2</v>
      </c>
      <c r="Q247" s="8">
        <v>16.584230774443579</v>
      </c>
      <c r="R247" s="8">
        <v>22.458066994119324</v>
      </c>
      <c r="S247" s="8">
        <v>0.436</v>
      </c>
      <c r="T247" s="8">
        <v>0.41199999999999998</v>
      </c>
      <c r="U247" s="8">
        <v>0.128</v>
      </c>
      <c r="V247" s="8">
        <v>0.221</v>
      </c>
      <c r="W247" s="8">
        <v>0.308</v>
      </c>
      <c r="X247" s="8">
        <v>0.19099999999999998</v>
      </c>
      <c r="Y247" s="8">
        <v>2.7463651050081044</v>
      </c>
      <c r="Z247" s="8">
        <v>2.3684210526315752</v>
      </c>
      <c r="AA247" s="8">
        <v>7.53</v>
      </c>
      <c r="AB247">
        <v>0.41399999999999998</v>
      </c>
      <c r="AC247" s="8">
        <v>3.5541195476574932</v>
      </c>
      <c r="AD247" s="8">
        <v>3.8157894736842231</v>
      </c>
      <c r="AE247" s="8">
        <v>2.5999999999999999E-2</v>
      </c>
      <c r="AF247" s="8">
        <v>0.02</v>
      </c>
      <c r="AG247" s="8">
        <v>1.3232744491665198</v>
      </c>
      <c r="AH247" s="8">
        <v>16.76923076923077</v>
      </c>
      <c r="AI247" s="8">
        <v>15.846153846153847</v>
      </c>
      <c r="AJ247" t="s">
        <v>1694</v>
      </c>
      <c r="AK247" t="s">
        <v>1694</v>
      </c>
      <c r="AL247" t="s">
        <v>1694</v>
      </c>
      <c r="AM247" t="s">
        <v>1694</v>
      </c>
      <c r="AN247" t="s">
        <v>1694</v>
      </c>
      <c r="AO247" t="s">
        <v>1694</v>
      </c>
      <c r="AP247" t="s">
        <v>1695</v>
      </c>
      <c r="AQ247" t="s">
        <v>1694</v>
      </c>
      <c r="AR247" t="s">
        <v>1694</v>
      </c>
      <c r="AS247" t="s">
        <v>1694</v>
      </c>
      <c r="AT247" t="s">
        <v>1694</v>
      </c>
      <c r="AU247" t="s">
        <v>1695</v>
      </c>
      <c r="AV247" t="s">
        <v>1694</v>
      </c>
      <c r="AW247" t="s">
        <v>1694</v>
      </c>
      <c r="AX247" t="s">
        <v>1695</v>
      </c>
      <c r="AY247" t="s">
        <v>1694</v>
      </c>
      <c r="AZ247" t="s">
        <v>1694</v>
      </c>
      <c r="BA247" t="s">
        <v>1694</v>
      </c>
      <c r="BB247" t="s">
        <v>1695</v>
      </c>
      <c r="BC247" t="s">
        <v>1694</v>
      </c>
      <c r="BD247" t="s">
        <v>1694</v>
      </c>
      <c r="BE247" t="s">
        <v>1695</v>
      </c>
      <c r="BF247" t="s">
        <v>1694</v>
      </c>
      <c r="BG247" t="s">
        <v>1697</v>
      </c>
      <c r="BH247" t="s">
        <v>1698</v>
      </c>
      <c r="BI247" t="b">
        <v>0</v>
      </c>
      <c r="BJ247">
        <f t="shared" si="3"/>
        <v>0</v>
      </c>
    </row>
    <row r="248" spans="1:62" x14ac:dyDescent="0.2">
      <c r="A248" s="5" t="s">
        <v>862</v>
      </c>
      <c r="B248" s="6">
        <v>40235</v>
      </c>
      <c r="C248" s="7">
        <v>33.801419000000003</v>
      </c>
      <c r="D248" s="7">
        <v>-112.564711</v>
      </c>
      <c r="E248" s="17">
        <v>547</v>
      </c>
      <c r="F248" t="s">
        <v>1694</v>
      </c>
      <c r="G248" t="s">
        <v>1694</v>
      </c>
      <c r="H248" t="s">
        <v>1694</v>
      </c>
      <c r="I248">
        <v>0</v>
      </c>
      <c r="J248" s="8" t="s">
        <v>1697</v>
      </c>
      <c r="K248" s="8" t="s">
        <v>1697</v>
      </c>
      <c r="L248" s="8" t="s">
        <v>1697</v>
      </c>
      <c r="M248" s="8">
        <v>0.4446095141848756</v>
      </c>
      <c r="N248" s="8">
        <v>5.0000000000000001E-3</v>
      </c>
      <c r="O248" s="8">
        <v>3.0700684473288522</v>
      </c>
      <c r="P248" s="8">
        <v>0.23669730282777088</v>
      </c>
      <c r="Q248" s="8">
        <v>17.445397483284722</v>
      </c>
      <c r="R248" s="8">
        <v>5.914597223854293</v>
      </c>
      <c r="S248" s="8">
        <v>0.23200000000000001</v>
      </c>
      <c r="T248" s="8">
        <v>0.13100000000000001</v>
      </c>
      <c r="U248" s="8">
        <v>1.7000000000000001E-2</v>
      </c>
      <c r="V248" s="8">
        <v>2.4E-2</v>
      </c>
      <c r="W248" s="8">
        <v>0.21500000000000002</v>
      </c>
      <c r="X248" s="8">
        <v>0.10700000000000001</v>
      </c>
      <c r="Y248" s="8">
        <v>2.0607375271149624</v>
      </c>
      <c r="Z248" s="8">
        <v>2.1390374331550728</v>
      </c>
      <c r="AA248" s="8">
        <v>7.52</v>
      </c>
      <c r="AB248">
        <v>0.27100000000000002</v>
      </c>
      <c r="AC248" s="8">
        <v>4.6637744034707138</v>
      </c>
      <c r="AD248" s="8">
        <v>7.3796791443850225</v>
      </c>
      <c r="AE248" s="8">
        <v>2.9000000000000001E-2</v>
      </c>
      <c r="AF248" s="8">
        <v>1.4999999999999999E-2</v>
      </c>
      <c r="AG248" s="8">
        <v>1.209651983815619</v>
      </c>
      <c r="AH248" s="8">
        <v>8</v>
      </c>
      <c r="AI248" s="8">
        <v>4.5172413793103452</v>
      </c>
      <c r="AJ248" t="s">
        <v>1694</v>
      </c>
      <c r="AK248" t="s">
        <v>1694</v>
      </c>
      <c r="AL248" t="s">
        <v>1694</v>
      </c>
      <c r="AM248" t="s">
        <v>1694</v>
      </c>
      <c r="AN248" t="s">
        <v>1694</v>
      </c>
      <c r="AO248" t="s">
        <v>1694</v>
      </c>
      <c r="AP248" t="s">
        <v>1695</v>
      </c>
      <c r="AQ248" t="s">
        <v>1694</v>
      </c>
      <c r="AR248" t="s">
        <v>1694</v>
      </c>
      <c r="AS248" t="s">
        <v>1694</v>
      </c>
      <c r="AT248" t="s">
        <v>1694</v>
      </c>
      <c r="AU248" t="s">
        <v>1695</v>
      </c>
      <c r="AV248" t="s">
        <v>1694</v>
      </c>
      <c r="AW248" t="s">
        <v>1694</v>
      </c>
      <c r="AX248" t="s">
        <v>1695</v>
      </c>
      <c r="AY248" t="s">
        <v>1694</v>
      </c>
      <c r="AZ248" t="s">
        <v>1694</v>
      </c>
      <c r="BA248" t="s">
        <v>1694</v>
      </c>
      <c r="BB248" t="s">
        <v>1695</v>
      </c>
      <c r="BC248" t="s">
        <v>1694</v>
      </c>
      <c r="BD248" t="s">
        <v>1694</v>
      </c>
      <c r="BE248" t="s">
        <v>1695</v>
      </c>
      <c r="BF248" t="s">
        <v>1694</v>
      </c>
      <c r="BG248" t="s">
        <v>1697</v>
      </c>
      <c r="BH248" t="s">
        <v>1698</v>
      </c>
      <c r="BI248" t="b">
        <v>0</v>
      </c>
      <c r="BJ248">
        <f t="shared" si="3"/>
        <v>0</v>
      </c>
    </row>
    <row r="249" spans="1:62" x14ac:dyDescent="0.2">
      <c r="A249" s="5" t="s">
        <v>862</v>
      </c>
      <c r="B249" s="6">
        <v>42067</v>
      </c>
      <c r="C249" s="7">
        <v>33.801419000000003</v>
      </c>
      <c r="D249" s="7">
        <v>-112.564711</v>
      </c>
      <c r="E249" s="17">
        <v>547</v>
      </c>
      <c r="F249" t="s">
        <v>1694</v>
      </c>
      <c r="G249" t="s">
        <v>1694</v>
      </c>
      <c r="H249" t="s">
        <v>1694</v>
      </c>
      <c r="I249">
        <v>0</v>
      </c>
      <c r="J249">
        <v>10.5704305559199</v>
      </c>
      <c r="K249">
        <v>71.638632440986797</v>
      </c>
      <c r="L249">
        <v>17.790937003093401</v>
      </c>
      <c r="M249">
        <v>2.2214363438089801</v>
      </c>
      <c r="N249">
        <v>2.6965319903209002</v>
      </c>
      <c r="O249">
        <v>7.8712311394806402</v>
      </c>
      <c r="P249">
        <v>1.5598925564261401</v>
      </c>
      <c r="Q249">
        <v>4.8193829516359497</v>
      </c>
      <c r="R249">
        <v>1.20132128904667</v>
      </c>
      <c r="S249">
        <v>0.191</v>
      </c>
      <c r="T249">
        <v>7.1999999999999995E-2</v>
      </c>
      <c r="U249">
        <v>0.02</v>
      </c>
      <c r="V249">
        <v>3.0000000000000001E-3</v>
      </c>
      <c r="W249">
        <v>0.17100000000000001</v>
      </c>
      <c r="X249">
        <v>6.9000000000000006E-2</v>
      </c>
      <c r="Y249">
        <v>1.10759493670887</v>
      </c>
      <c r="Z249">
        <v>1.4207650273224099</v>
      </c>
      <c r="AA249">
        <v>7.65</v>
      </c>
      <c r="AB249">
        <v>0.18</v>
      </c>
      <c r="AC249">
        <v>3.7878787878787601</v>
      </c>
      <c r="AD249">
        <v>3.7735849056603699</v>
      </c>
      <c r="AE249">
        <v>0.28399999999999997</v>
      </c>
      <c r="AF249">
        <v>2.7E-2</v>
      </c>
      <c r="AG249">
        <v>1.3913885976978515</v>
      </c>
      <c r="AH249">
        <v>0.67253521126760596</v>
      </c>
      <c r="AI249">
        <v>2.6666666666666701</v>
      </c>
      <c r="AJ249" t="s">
        <v>1694</v>
      </c>
      <c r="AK249" t="s">
        <v>1694</v>
      </c>
      <c r="AL249" t="s">
        <v>1694</v>
      </c>
      <c r="AM249" t="s">
        <v>1694</v>
      </c>
      <c r="AN249" t="s">
        <v>1694</v>
      </c>
      <c r="AO249" t="s">
        <v>1694</v>
      </c>
      <c r="AP249" t="s">
        <v>1695</v>
      </c>
      <c r="AQ249" t="s">
        <v>1694</v>
      </c>
      <c r="AR249" t="s">
        <v>1694</v>
      </c>
      <c r="AS249" t="s">
        <v>1694</v>
      </c>
      <c r="AT249" t="s">
        <v>1694</v>
      </c>
      <c r="AU249" t="s">
        <v>1695</v>
      </c>
      <c r="AV249" t="s">
        <v>1694</v>
      </c>
      <c r="AW249" t="s">
        <v>1694</v>
      </c>
      <c r="AX249" t="s">
        <v>1695</v>
      </c>
      <c r="AY249" t="s">
        <v>1694</v>
      </c>
      <c r="AZ249" t="s">
        <v>1694</v>
      </c>
      <c r="BA249" t="s">
        <v>1694</v>
      </c>
      <c r="BB249" t="s">
        <v>1695</v>
      </c>
      <c r="BC249" t="s">
        <v>1694</v>
      </c>
      <c r="BD249" t="s">
        <v>1694</v>
      </c>
      <c r="BE249" t="s">
        <v>1695</v>
      </c>
      <c r="BF249" t="s">
        <v>1694</v>
      </c>
      <c r="BG249" t="s">
        <v>1697</v>
      </c>
      <c r="BH249" t="s">
        <v>1698</v>
      </c>
      <c r="BI249" t="b">
        <v>0</v>
      </c>
      <c r="BJ249">
        <f t="shared" si="3"/>
        <v>0</v>
      </c>
    </row>
    <row r="250" spans="1:62" x14ac:dyDescent="0.2">
      <c r="A250" s="5" t="s">
        <v>863</v>
      </c>
      <c r="B250" s="6">
        <v>38443</v>
      </c>
      <c r="C250" s="7">
        <v>33.707943999999998</v>
      </c>
      <c r="D250" s="7">
        <v>-112.563444</v>
      </c>
      <c r="E250" s="17">
        <v>474</v>
      </c>
      <c r="F250" t="s">
        <v>1694</v>
      </c>
      <c r="G250" t="s">
        <v>1694</v>
      </c>
      <c r="H250" t="s">
        <v>1694</v>
      </c>
      <c r="I250">
        <v>0</v>
      </c>
      <c r="J250" s="8">
        <v>23.597366223622867</v>
      </c>
      <c r="K250" s="8">
        <v>54.373428942459938</v>
      </c>
      <c r="L250" s="8">
        <v>22.029204833917191</v>
      </c>
      <c r="M250" s="8">
        <v>2.734812695805219</v>
      </c>
      <c r="N250" s="8">
        <v>1.5085042237135391</v>
      </c>
      <c r="O250" s="8">
        <v>0.52873045452234213</v>
      </c>
      <c r="P250" s="8">
        <v>0.27655910768081549</v>
      </c>
      <c r="Q250" s="8">
        <v>4.1715009653348929</v>
      </c>
      <c r="R250" s="8">
        <v>2.7436854049126449</v>
      </c>
      <c r="S250" s="8">
        <v>0.19900000000000001</v>
      </c>
      <c r="T250" s="8">
        <v>0.23400000000000001</v>
      </c>
      <c r="U250" s="8">
        <v>3.5000000000000003E-2</v>
      </c>
      <c r="V250" s="8">
        <v>0.10100000000000001</v>
      </c>
      <c r="W250" s="8">
        <v>0.16400000000000001</v>
      </c>
      <c r="X250" s="8">
        <v>0.13300000000000001</v>
      </c>
      <c r="Y250" s="8">
        <v>2.2538552787663049</v>
      </c>
      <c r="Z250" s="8">
        <v>2.3904382470119487</v>
      </c>
      <c r="AA250" s="8">
        <v>7.82</v>
      </c>
      <c r="AB250">
        <v>0.19600000000000001</v>
      </c>
      <c r="AC250" s="8">
        <v>4.0332147093712916</v>
      </c>
      <c r="AD250" s="8">
        <v>7.7025232403718471</v>
      </c>
      <c r="AE250" s="8">
        <v>2.5999999999999999E-2</v>
      </c>
      <c r="AF250" s="8">
        <v>1.9E-2</v>
      </c>
      <c r="AG250" s="8">
        <v>1.1537238526842262</v>
      </c>
      <c r="AH250" s="8">
        <v>7.6538461538461542</v>
      </c>
      <c r="AI250" s="8">
        <v>9.0000000000000018</v>
      </c>
      <c r="AJ250" t="s">
        <v>1694</v>
      </c>
      <c r="AK250" t="s">
        <v>1694</v>
      </c>
      <c r="AL250" t="s">
        <v>1694</v>
      </c>
      <c r="AM250" t="s">
        <v>1694</v>
      </c>
      <c r="AN250" t="s">
        <v>1694</v>
      </c>
      <c r="AO250" t="s">
        <v>1694</v>
      </c>
      <c r="AP250" t="s">
        <v>1695</v>
      </c>
      <c r="AQ250" t="s">
        <v>1694</v>
      </c>
      <c r="AR250" t="s">
        <v>1694</v>
      </c>
      <c r="AS250" t="s">
        <v>1694</v>
      </c>
      <c r="AT250" t="s">
        <v>1694</v>
      </c>
      <c r="AU250" t="s">
        <v>1695</v>
      </c>
      <c r="AV250" t="s">
        <v>1694</v>
      </c>
      <c r="AW250" t="s">
        <v>1694</v>
      </c>
      <c r="AX250" t="s">
        <v>1695</v>
      </c>
      <c r="AY250" t="s">
        <v>1694</v>
      </c>
      <c r="AZ250" t="s">
        <v>1694</v>
      </c>
      <c r="BA250" t="s">
        <v>1694</v>
      </c>
      <c r="BB250" t="s">
        <v>1695</v>
      </c>
      <c r="BC250" t="s">
        <v>1711</v>
      </c>
      <c r="BD250" t="s">
        <v>1694</v>
      </c>
      <c r="BE250" t="s">
        <v>1695</v>
      </c>
      <c r="BF250" t="s">
        <v>1694</v>
      </c>
      <c r="BG250" t="s">
        <v>1697</v>
      </c>
      <c r="BH250" t="s">
        <v>1698</v>
      </c>
      <c r="BI250" t="b">
        <v>0</v>
      </c>
      <c r="BJ250">
        <f t="shared" si="3"/>
        <v>0</v>
      </c>
    </row>
    <row r="251" spans="1:62" x14ac:dyDescent="0.2">
      <c r="A251" s="5" t="s">
        <v>863</v>
      </c>
      <c r="B251" s="6">
        <v>40302</v>
      </c>
      <c r="C251" s="7">
        <v>33.707943999999998</v>
      </c>
      <c r="D251" s="7">
        <v>-112.563444</v>
      </c>
      <c r="E251" s="17">
        <v>474</v>
      </c>
      <c r="F251" t="s">
        <v>1694</v>
      </c>
      <c r="G251" t="s">
        <v>1694</v>
      </c>
      <c r="H251" t="s">
        <v>1694</v>
      </c>
      <c r="I251">
        <v>0</v>
      </c>
      <c r="J251" s="8">
        <v>28.578211948530125</v>
      </c>
      <c r="K251" s="8">
        <v>45.749586083528207</v>
      </c>
      <c r="L251" s="8">
        <v>25.672201967941675</v>
      </c>
      <c r="M251" s="8">
        <v>2.8153724942406968</v>
      </c>
      <c r="N251" s="8">
        <v>2.5888022780031856</v>
      </c>
      <c r="O251" s="8">
        <v>0.18043271233807778</v>
      </c>
      <c r="P251" s="8">
        <v>3.2399734031450915</v>
      </c>
      <c r="Q251" s="8">
        <v>11.254989570445202</v>
      </c>
      <c r="R251" s="8">
        <v>7.5680234357955909</v>
      </c>
      <c r="S251" s="8">
        <v>0.184</v>
      </c>
      <c r="T251" s="8">
        <v>0.36499999999999999</v>
      </c>
      <c r="U251" s="8">
        <v>0.01</v>
      </c>
      <c r="V251" s="8">
        <v>0.20200000000000001</v>
      </c>
      <c r="W251" s="8">
        <v>0.17399999999999999</v>
      </c>
      <c r="X251" s="8">
        <v>0.16299999999999998</v>
      </c>
      <c r="Y251" s="8">
        <v>2.4518388791593795</v>
      </c>
      <c r="Z251" s="8">
        <v>3.2586558044806542</v>
      </c>
      <c r="AA251" s="8">
        <v>7.69</v>
      </c>
      <c r="AB251">
        <v>0.254</v>
      </c>
      <c r="AC251" s="8">
        <v>3.3274956217162783</v>
      </c>
      <c r="AD251" s="8">
        <v>5.2953156822810543</v>
      </c>
      <c r="AE251" s="8">
        <v>2.7E-2</v>
      </c>
      <c r="AF251" s="8">
        <v>2.8000000000000001E-2</v>
      </c>
      <c r="AG251" s="8">
        <v>1.4958424083344617</v>
      </c>
      <c r="AH251" s="8">
        <v>6.8148148148148149</v>
      </c>
      <c r="AI251" s="8">
        <v>13.518518518518519</v>
      </c>
      <c r="AJ251" t="s">
        <v>1694</v>
      </c>
      <c r="AK251" t="s">
        <v>1694</v>
      </c>
      <c r="AL251" t="s">
        <v>1694</v>
      </c>
      <c r="AM251" t="s">
        <v>1694</v>
      </c>
      <c r="AN251" t="s">
        <v>1694</v>
      </c>
      <c r="AO251" t="s">
        <v>1694</v>
      </c>
      <c r="AP251" t="s">
        <v>1695</v>
      </c>
      <c r="AQ251" t="s">
        <v>1694</v>
      </c>
      <c r="AR251" t="s">
        <v>1694</v>
      </c>
      <c r="AS251" t="s">
        <v>1694</v>
      </c>
      <c r="AT251" t="s">
        <v>1694</v>
      </c>
      <c r="AU251" t="s">
        <v>1695</v>
      </c>
      <c r="AV251" t="s">
        <v>1694</v>
      </c>
      <c r="AW251" t="s">
        <v>1694</v>
      </c>
      <c r="AX251" t="s">
        <v>1695</v>
      </c>
      <c r="AY251" t="s">
        <v>1694</v>
      </c>
      <c r="AZ251" t="s">
        <v>1694</v>
      </c>
      <c r="BA251" t="s">
        <v>1694</v>
      </c>
      <c r="BB251" t="s">
        <v>1695</v>
      </c>
      <c r="BC251" t="s">
        <v>1711</v>
      </c>
      <c r="BD251" t="s">
        <v>1694</v>
      </c>
      <c r="BE251" t="s">
        <v>1695</v>
      </c>
      <c r="BF251" t="s">
        <v>1694</v>
      </c>
      <c r="BG251" t="s">
        <v>1697</v>
      </c>
      <c r="BH251" t="s">
        <v>1698</v>
      </c>
      <c r="BI251" t="b">
        <v>0</v>
      </c>
      <c r="BJ251">
        <f t="shared" si="3"/>
        <v>0</v>
      </c>
    </row>
    <row r="252" spans="1:62" x14ac:dyDescent="0.2">
      <c r="A252" s="5" t="s">
        <v>863</v>
      </c>
      <c r="B252" s="6">
        <v>42110</v>
      </c>
      <c r="C252" s="7">
        <v>33.707943999999998</v>
      </c>
      <c r="D252" s="7">
        <v>-112.563444</v>
      </c>
      <c r="E252" s="17">
        <v>474</v>
      </c>
      <c r="F252" t="s">
        <v>1697</v>
      </c>
      <c r="G252" t="s">
        <v>1697</v>
      </c>
      <c r="H252" t="s">
        <v>1697</v>
      </c>
      <c r="I252" t="s">
        <v>1697</v>
      </c>
      <c r="J252">
        <v>20.1712591781376</v>
      </c>
      <c r="K252">
        <v>60.100953625969403</v>
      </c>
      <c r="L252">
        <v>19.7277871958931</v>
      </c>
      <c r="M252">
        <v>2.58302103217108</v>
      </c>
      <c r="N252">
        <v>5.1163492922818801</v>
      </c>
      <c r="O252">
        <v>30.400170609398099</v>
      </c>
      <c r="P252">
        <v>216.15584219330401</v>
      </c>
      <c r="Q252" t="s">
        <v>1697</v>
      </c>
      <c r="R252" t="s">
        <v>1697</v>
      </c>
      <c r="S252">
        <v>0.17699999999999999</v>
      </c>
      <c r="T252">
        <v>0.22700000000000001</v>
      </c>
      <c r="U252">
        <v>1.4999999999999999E-2</v>
      </c>
      <c r="V252">
        <v>9.4E-2</v>
      </c>
      <c r="W252">
        <v>0.16200000000000001</v>
      </c>
      <c r="X252">
        <v>0.13300000000000001</v>
      </c>
      <c r="Y252">
        <v>1.5186915887850601</v>
      </c>
      <c r="Z252">
        <v>1.28824476650564</v>
      </c>
      <c r="AA252">
        <v>7.35</v>
      </c>
      <c r="AB252">
        <v>0.27600000000000002</v>
      </c>
      <c r="AC252">
        <v>4.2721518987341698</v>
      </c>
      <c r="AD252">
        <v>5.3030303030303001</v>
      </c>
      <c r="AE252" t="s">
        <v>1697</v>
      </c>
      <c r="AF252">
        <v>0.02</v>
      </c>
      <c r="AG252">
        <v>1.5919023870542783</v>
      </c>
      <c r="AH252" t="s">
        <v>1749</v>
      </c>
      <c r="AI252">
        <v>11.35</v>
      </c>
      <c r="AJ252" t="s">
        <v>1694</v>
      </c>
      <c r="AK252" t="s">
        <v>1694</v>
      </c>
      <c r="AL252" t="s">
        <v>1694</v>
      </c>
      <c r="AM252" t="s">
        <v>1694</v>
      </c>
      <c r="AN252" t="s">
        <v>1694</v>
      </c>
      <c r="AO252" t="s">
        <v>1694</v>
      </c>
      <c r="AP252" t="s">
        <v>1697</v>
      </c>
      <c r="AQ252" t="s">
        <v>1697</v>
      </c>
      <c r="AR252" t="s">
        <v>1694</v>
      </c>
      <c r="AS252" t="s">
        <v>1694</v>
      </c>
      <c r="AT252" t="s">
        <v>1694</v>
      </c>
      <c r="AU252" t="s">
        <v>1695</v>
      </c>
      <c r="AV252" t="s">
        <v>1694</v>
      </c>
      <c r="AW252" t="s">
        <v>1694</v>
      </c>
      <c r="AX252" t="s">
        <v>1695</v>
      </c>
      <c r="AY252" t="s">
        <v>1694</v>
      </c>
      <c r="AZ252" t="s">
        <v>1694</v>
      </c>
      <c r="BA252" t="s">
        <v>1694</v>
      </c>
      <c r="BB252" t="s">
        <v>1695</v>
      </c>
      <c r="BC252" t="s">
        <v>1711</v>
      </c>
      <c r="BD252" t="s">
        <v>1694</v>
      </c>
      <c r="BE252" t="s">
        <v>1695</v>
      </c>
      <c r="BF252" t="s">
        <v>1694</v>
      </c>
      <c r="BG252" t="s">
        <v>1697</v>
      </c>
      <c r="BH252" t="s">
        <v>1698</v>
      </c>
      <c r="BI252" t="b">
        <v>0</v>
      </c>
      <c r="BJ252">
        <f t="shared" si="3"/>
        <v>0</v>
      </c>
    </row>
    <row r="253" spans="1:62" x14ac:dyDescent="0.2">
      <c r="A253" s="5" t="s">
        <v>55</v>
      </c>
      <c r="B253" s="6">
        <v>36648</v>
      </c>
      <c r="C253" s="7">
        <v>33.632621999999998</v>
      </c>
      <c r="D253" s="7">
        <v>-112.54366899999999</v>
      </c>
      <c r="E253" s="17">
        <v>802</v>
      </c>
      <c r="F253" t="s">
        <v>1694</v>
      </c>
      <c r="G253" t="s">
        <v>1694</v>
      </c>
      <c r="H253" t="s">
        <v>1694</v>
      </c>
      <c r="I253">
        <v>0</v>
      </c>
      <c r="J253" s="8">
        <v>12.230415979596778</v>
      </c>
      <c r="K253" s="8">
        <v>62.851748376742187</v>
      </c>
      <c r="L253" s="8">
        <v>24.917835643661036</v>
      </c>
      <c r="M253" s="8">
        <v>2.7073616312243929</v>
      </c>
      <c r="N253" s="8">
        <v>1.3519357584141563</v>
      </c>
      <c r="O253" s="8">
        <v>2.3892706428523267</v>
      </c>
      <c r="P253" s="8">
        <v>0.75024844644413469</v>
      </c>
      <c r="Q253" s="8">
        <v>22.032082992749501</v>
      </c>
      <c r="R253" s="8">
        <v>10.879555597050128</v>
      </c>
      <c r="S253" s="8">
        <v>1.2070000000000001</v>
      </c>
      <c r="T253" s="8">
        <v>0.64200000000000002</v>
      </c>
      <c r="U253" s="8">
        <v>3.2000000000000001E-2</v>
      </c>
      <c r="V253" s="8">
        <v>2.7E-2</v>
      </c>
      <c r="W253" s="8">
        <v>1.175</v>
      </c>
      <c r="X253" s="8">
        <v>0.61499999999999999</v>
      </c>
      <c r="Y253" s="8">
        <v>3.4083199999999998</v>
      </c>
      <c r="Z253" s="8">
        <v>2.2906200000000001</v>
      </c>
      <c r="AA253" s="9">
        <v>7.66</v>
      </c>
      <c r="AB253" s="10">
        <v>0.3</v>
      </c>
      <c r="AC253" s="8">
        <v>1.2679199999999999</v>
      </c>
      <c r="AD253" s="8">
        <v>2.0710099999999998</v>
      </c>
      <c r="AE253" s="8">
        <v>0.122</v>
      </c>
      <c r="AF253" s="8">
        <v>7.6999999999999999E-2</v>
      </c>
      <c r="AG253" s="8">
        <v>1.3912353795966133</v>
      </c>
      <c r="AH253" s="8">
        <v>9.8934426229508201</v>
      </c>
      <c r="AI253" s="8">
        <v>5.2622950819672134</v>
      </c>
      <c r="AJ253" t="s">
        <v>1694</v>
      </c>
      <c r="AK253" t="s">
        <v>1694</v>
      </c>
      <c r="AL253" t="s">
        <v>1694</v>
      </c>
      <c r="AM253" t="s">
        <v>1694</v>
      </c>
      <c r="AN253" t="s">
        <v>1694</v>
      </c>
      <c r="AO253" t="s">
        <v>1694</v>
      </c>
      <c r="AP253" t="s">
        <v>1695</v>
      </c>
      <c r="AQ253" t="s">
        <v>1694</v>
      </c>
      <c r="AR253" t="s">
        <v>1694</v>
      </c>
      <c r="AS253" t="s">
        <v>1726</v>
      </c>
      <c r="AT253" t="s">
        <v>1694</v>
      </c>
      <c r="AU253" t="s">
        <v>1695</v>
      </c>
      <c r="AV253" t="s">
        <v>1694</v>
      </c>
      <c r="AW253" t="s">
        <v>1694</v>
      </c>
      <c r="AX253" t="s">
        <v>1695</v>
      </c>
      <c r="AY253" t="s">
        <v>1694</v>
      </c>
      <c r="AZ253" t="s">
        <v>1694</v>
      </c>
      <c r="BA253" t="s">
        <v>1726</v>
      </c>
      <c r="BB253" t="s">
        <v>1695</v>
      </c>
      <c r="BC253" t="s">
        <v>1694</v>
      </c>
      <c r="BD253" t="s">
        <v>1694</v>
      </c>
      <c r="BE253" t="s">
        <v>1695</v>
      </c>
      <c r="BF253" t="s">
        <v>1694</v>
      </c>
      <c r="BG253" t="s">
        <v>1697</v>
      </c>
      <c r="BH253" t="s">
        <v>1698</v>
      </c>
      <c r="BI253" t="b">
        <v>0</v>
      </c>
      <c r="BJ253">
        <f t="shared" si="3"/>
        <v>0</v>
      </c>
    </row>
    <row r="254" spans="1:62" x14ac:dyDescent="0.2">
      <c r="A254" s="5" t="s">
        <v>55</v>
      </c>
      <c r="B254" s="6">
        <v>38504</v>
      </c>
      <c r="C254" s="7">
        <v>33.632621999999998</v>
      </c>
      <c r="D254" s="7">
        <v>-112.54366899999999</v>
      </c>
      <c r="E254" s="17">
        <v>802</v>
      </c>
      <c r="F254" t="s">
        <v>1694</v>
      </c>
      <c r="G254" t="s">
        <v>1694</v>
      </c>
      <c r="H254" t="s">
        <v>1694</v>
      </c>
      <c r="I254">
        <v>0</v>
      </c>
      <c r="J254" s="8" t="s">
        <v>1697</v>
      </c>
      <c r="K254" s="8" t="s">
        <v>1697</v>
      </c>
      <c r="L254" s="8" t="s">
        <v>1697</v>
      </c>
      <c r="M254" s="8">
        <v>1.5824392286717222</v>
      </c>
      <c r="N254" s="8">
        <v>0.78128849020916191</v>
      </c>
      <c r="O254" s="8">
        <v>2.1553913631907946</v>
      </c>
      <c r="P254" s="8">
        <v>0.83537769337748857</v>
      </c>
      <c r="Q254" s="8">
        <v>14.627195159922135</v>
      </c>
      <c r="R254" s="8">
        <v>6.0644491671711869</v>
      </c>
      <c r="S254" s="8">
        <v>1.514</v>
      </c>
      <c r="T254" s="8">
        <v>0.89400000000000002</v>
      </c>
      <c r="U254" s="8">
        <v>0.122</v>
      </c>
      <c r="V254" s="8">
        <v>3.4000000000000002E-2</v>
      </c>
      <c r="W254" s="8">
        <v>1.3919999999999999</v>
      </c>
      <c r="X254" s="8">
        <v>0.86</v>
      </c>
      <c r="Y254" s="8">
        <v>4.157043879907615</v>
      </c>
      <c r="Z254" s="8">
        <v>3.4539473684210376</v>
      </c>
      <c r="AA254" s="8">
        <v>7.32</v>
      </c>
      <c r="AB254">
        <v>0.187</v>
      </c>
      <c r="AC254" s="8">
        <v>0.34642032332562772</v>
      </c>
      <c r="AD254" s="8">
        <v>0.65789473684212041</v>
      </c>
      <c r="AE254" s="8">
        <v>0.151</v>
      </c>
      <c r="AF254" s="8">
        <v>0.10299999999999999</v>
      </c>
      <c r="AG254" s="8">
        <v>1.1181167572771553</v>
      </c>
      <c r="AH254" s="8">
        <v>10.026490066225167</v>
      </c>
      <c r="AI254" s="8">
        <v>5.9205298013245038</v>
      </c>
      <c r="AJ254" t="s">
        <v>1694</v>
      </c>
      <c r="AK254" t="s">
        <v>1694</v>
      </c>
      <c r="AL254" t="s">
        <v>1694</v>
      </c>
      <c r="AM254" t="s">
        <v>1694</v>
      </c>
      <c r="AN254" t="s">
        <v>1694</v>
      </c>
      <c r="AO254" t="s">
        <v>1694</v>
      </c>
      <c r="AP254" t="s">
        <v>1695</v>
      </c>
      <c r="AQ254" t="s">
        <v>1694</v>
      </c>
      <c r="AR254" t="s">
        <v>1694</v>
      </c>
      <c r="AS254" t="s">
        <v>1726</v>
      </c>
      <c r="AT254" t="s">
        <v>1694</v>
      </c>
      <c r="AU254" t="s">
        <v>1695</v>
      </c>
      <c r="AV254" t="s">
        <v>1694</v>
      </c>
      <c r="AW254" t="s">
        <v>1694</v>
      </c>
      <c r="AX254" t="s">
        <v>1695</v>
      </c>
      <c r="AY254" t="s">
        <v>1694</v>
      </c>
      <c r="AZ254" t="s">
        <v>1694</v>
      </c>
      <c r="BA254" t="s">
        <v>1726</v>
      </c>
      <c r="BB254" t="s">
        <v>1695</v>
      </c>
      <c r="BC254" t="s">
        <v>1694</v>
      </c>
      <c r="BD254" t="s">
        <v>1694</v>
      </c>
      <c r="BE254" t="s">
        <v>1695</v>
      </c>
      <c r="BF254" t="s">
        <v>1694</v>
      </c>
      <c r="BG254" t="s">
        <v>1697</v>
      </c>
      <c r="BH254" t="s">
        <v>1698</v>
      </c>
      <c r="BI254" t="b">
        <v>0</v>
      </c>
      <c r="BJ254">
        <f t="shared" si="3"/>
        <v>0</v>
      </c>
    </row>
    <row r="255" spans="1:62" x14ac:dyDescent="0.2">
      <c r="A255" s="5" t="s">
        <v>55</v>
      </c>
      <c r="B255" s="6">
        <v>40301</v>
      </c>
      <c r="C255" s="7">
        <v>33.632621999999998</v>
      </c>
      <c r="D255" s="7">
        <v>-112.54366899999999</v>
      </c>
      <c r="E255" s="17">
        <v>802</v>
      </c>
      <c r="F255" t="s">
        <v>1694</v>
      </c>
      <c r="G255" t="s">
        <v>1694</v>
      </c>
      <c r="H255" t="s">
        <v>1694</v>
      </c>
      <c r="I255">
        <v>0</v>
      </c>
      <c r="J255" s="8">
        <v>7.6022914262389403</v>
      </c>
      <c r="K255" s="8">
        <v>65.752765043212349</v>
      </c>
      <c r="L255" s="8">
        <v>26.644943530548716</v>
      </c>
      <c r="M255" s="8">
        <v>0.62969592841642719</v>
      </c>
      <c r="N255" s="8">
        <v>0.14408439967038891</v>
      </c>
      <c r="O255" s="8">
        <v>0.61963935953508387</v>
      </c>
      <c r="P255" s="8">
        <v>0.57318821289641064</v>
      </c>
      <c r="Q255" s="8">
        <v>22.301010304836151</v>
      </c>
      <c r="R255" s="8">
        <v>9.9298281225751825</v>
      </c>
      <c r="S255" s="8">
        <v>0.84899999999999998</v>
      </c>
      <c r="T255" s="8">
        <v>0.442</v>
      </c>
      <c r="U255" s="8">
        <v>1.2E-2</v>
      </c>
      <c r="V255" s="8">
        <v>1.2E-2</v>
      </c>
      <c r="W255" s="8">
        <v>0.83699999999999997</v>
      </c>
      <c r="X255" s="8">
        <v>0.43</v>
      </c>
      <c r="Y255" s="8">
        <v>3.4003091190108288</v>
      </c>
      <c r="Z255" s="8">
        <v>2.9585798816568114</v>
      </c>
      <c r="AA255" s="8">
        <v>7.46</v>
      </c>
      <c r="AB255">
        <v>0.153</v>
      </c>
      <c r="AC255" s="8">
        <v>1.391035548686242</v>
      </c>
      <c r="AD255" s="8">
        <v>1.5779092702169639</v>
      </c>
      <c r="AE255" s="8">
        <v>8.7999999999999995E-2</v>
      </c>
      <c r="AF255" s="8">
        <v>4.8000000000000001E-2</v>
      </c>
      <c r="AG255" s="8">
        <v>1.5517295066405725</v>
      </c>
      <c r="AH255" s="8">
        <v>9.6477272727272734</v>
      </c>
      <c r="AI255" s="8">
        <v>5.0227272727272734</v>
      </c>
      <c r="AJ255" t="s">
        <v>1694</v>
      </c>
      <c r="AK255" t="s">
        <v>1694</v>
      </c>
      <c r="AL255" t="s">
        <v>1694</v>
      </c>
      <c r="AM255" t="s">
        <v>1694</v>
      </c>
      <c r="AN255" t="s">
        <v>1694</v>
      </c>
      <c r="AO255" t="s">
        <v>1694</v>
      </c>
      <c r="AP255" t="s">
        <v>1695</v>
      </c>
      <c r="AQ255" t="s">
        <v>1694</v>
      </c>
      <c r="AR255" t="s">
        <v>1694</v>
      </c>
      <c r="AS255" t="s">
        <v>1726</v>
      </c>
      <c r="AT255" t="s">
        <v>1694</v>
      </c>
      <c r="AU255" t="s">
        <v>1695</v>
      </c>
      <c r="AV255" t="s">
        <v>1694</v>
      </c>
      <c r="AW255" t="s">
        <v>1694</v>
      </c>
      <c r="AX255" t="s">
        <v>1695</v>
      </c>
      <c r="AY255" t="s">
        <v>1694</v>
      </c>
      <c r="AZ255" t="s">
        <v>1694</v>
      </c>
      <c r="BA255" t="s">
        <v>1726</v>
      </c>
      <c r="BB255" t="s">
        <v>1695</v>
      </c>
      <c r="BC255" t="s">
        <v>1694</v>
      </c>
      <c r="BD255" t="s">
        <v>1694</v>
      </c>
      <c r="BE255" t="s">
        <v>1695</v>
      </c>
      <c r="BF255" t="s">
        <v>1694</v>
      </c>
      <c r="BG255" t="s">
        <v>1697</v>
      </c>
      <c r="BH255" t="s">
        <v>1698</v>
      </c>
      <c r="BI255" t="b">
        <v>0</v>
      </c>
      <c r="BJ255">
        <f t="shared" si="3"/>
        <v>0</v>
      </c>
    </row>
    <row r="256" spans="1:62" x14ac:dyDescent="0.2">
      <c r="A256" s="5" t="s">
        <v>56</v>
      </c>
      <c r="B256" s="6">
        <v>36629</v>
      </c>
      <c r="C256" s="7">
        <v>33.483635999999997</v>
      </c>
      <c r="D256" s="7">
        <v>-112.54750799999999</v>
      </c>
      <c r="E256" s="17">
        <v>477</v>
      </c>
      <c r="F256" t="s">
        <v>1694</v>
      </c>
      <c r="G256" t="s">
        <v>1694</v>
      </c>
      <c r="H256" t="s">
        <v>1694</v>
      </c>
      <c r="I256">
        <v>0</v>
      </c>
      <c r="J256" s="8">
        <v>12.759118828089548</v>
      </c>
      <c r="K256" s="8">
        <v>69.320981867451096</v>
      </c>
      <c r="L256" s="8">
        <v>17.919899304459364</v>
      </c>
      <c r="M256" s="8">
        <v>7.5435376715006184</v>
      </c>
      <c r="N256" s="8">
        <v>5.9178277688494667</v>
      </c>
      <c r="O256" s="8">
        <v>2.4855006107117372</v>
      </c>
      <c r="P256" s="8">
        <v>1.0544836543548934</v>
      </c>
      <c r="Q256" s="8">
        <v>13.094904761193092</v>
      </c>
      <c r="R256" s="8">
        <v>8.6823343201040402</v>
      </c>
      <c r="S256" s="8">
        <v>0.84</v>
      </c>
      <c r="T256" s="8">
        <v>0.66600000000000004</v>
      </c>
      <c r="U256" s="8">
        <v>0.248</v>
      </c>
      <c r="V256" s="8">
        <v>0.26200000000000001</v>
      </c>
      <c r="W256" s="8">
        <v>0.59199999999999997</v>
      </c>
      <c r="X256" s="8">
        <v>0.40400000000000003</v>
      </c>
      <c r="Y256" s="8">
        <v>2.6731500000000001</v>
      </c>
      <c r="Z256" s="8">
        <v>2.09565</v>
      </c>
      <c r="AA256" s="9">
        <v>8.58</v>
      </c>
      <c r="AB256" s="10">
        <v>0.2545</v>
      </c>
      <c r="AC256" s="8">
        <v>1.17726</v>
      </c>
      <c r="AD256" s="8">
        <v>1.4979800000000001</v>
      </c>
      <c r="AE256" s="8">
        <v>0.05</v>
      </c>
      <c r="AF256" s="8">
        <v>0.03</v>
      </c>
      <c r="AG256" s="8">
        <v>1.898158102930569</v>
      </c>
      <c r="AH256" s="8">
        <v>16.799999999999997</v>
      </c>
      <c r="AI256" s="8">
        <v>13.32</v>
      </c>
      <c r="AJ256" t="s">
        <v>1694</v>
      </c>
      <c r="AK256" t="s">
        <v>1694</v>
      </c>
      <c r="AL256" t="s">
        <v>1694</v>
      </c>
      <c r="AM256" t="s">
        <v>1694</v>
      </c>
      <c r="AN256" t="s">
        <v>1694</v>
      </c>
      <c r="AO256" t="s">
        <v>1694</v>
      </c>
      <c r="AP256" t="s">
        <v>1695</v>
      </c>
      <c r="AQ256" t="s">
        <v>1694</v>
      </c>
      <c r="AR256" t="s">
        <v>1694</v>
      </c>
      <c r="AS256" t="s">
        <v>1694</v>
      </c>
      <c r="AT256" t="s">
        <v>1694</v>
      </c>
      <c r="AU256" t="s">
        <v>1695</v>
      </c>
      <c r="AV256" t="s">
        <v>1694</v>
      </c>
      <c r="AW256" t="s">
        <v>1694</v>
      </c>
      <c r="AX256" t="s">
        <v>1695</v>
      </c>
      <c r="AY256" t="s">
        <v>1694</v>
      </c>
      <c r="AZ256" t="s">
        <v>1694</v>
      </c>
      <c r="BA256" t="s">
        <v>1694</v>
      </c>
      <c r="BB256" t="s">
        <v>1695</v>
      </c>
      <c r="BC256" t="s">
        <v>1694</v>
      </c>
      <c r="BD256" t="s">
        <v>1694</v>
      </c>
      <c r="BE256" t="s">
        <v>1695</v>
      </c>
      <c r="BF256" t="s">
        <v>1694</v>
      </c>
      <c r="BG256" t="s">
        <v>1697</v>
      </c>
      <c r="BH256" t="s">
        <v>1698</v>
      </c>
      <c r="BI256" t="b">
        <v>0</v>
      </c>
      <c r="BJ256">
        <f t="shared" si="3"/>
        <v>0</v>
      </c>
    </row>
    <row r="257" spans="1:62" x14ac:dyDescent="0.2">
      <c r="A257" s="5" t="s">
        <v>56</v>
      </c>
      <c r="B257" s="6">
        <v>38464</v>
      </c>
      <c r="C257" s="7">
        <v>33.483635999999997</v>
      </c>
      <c r="D257" s="7">
        <v>-112.54750799999999</v>
      </c>
      <c r="E257" s="17">
        <v>477</v>
      </c>
      <c r="F257" t="s">
        <v>1694</v>
      </c>
      <c r="G257" t="s">
        <v>1694</v>
      </c>
      <c r="H257" t="s">
        <v>1694</v>
      </c>
      <c r="I257">
        <v>0</v>
      </c>
      <c r="J257" s="8">
        <v>5.2119057071308772</v>
      </c>
      <c r="K257" s="8">
        <v>80.110935023771788</v>
      </c>
      <c r="L257" s="8">
        <v>14.677159269097331</v>
      </c>
      <c r="M257" s="8">
        <v>2.4798603652077817</v>
      </c>
      <c r="N257" s="8">
        <v>2.5144796613375027</v>
      </c>
      <c r="O257" s="8">
        <v>4.7997297391118354E-2</v>
      </c>
      <c r="P257" s="8">
        <v>0.2278747193087112</v>
      </c>
      <c r="Q257" s="8">
        <v>10.328307327496209</v>
      </c>
      <c r="R257" s="8">
        <v>10.406489878023573</v>
      </c>
      <c r="S257" s="8">
        <v>1.88</v>
      </c>
      <c r="T257" s="8">
        <v>0.96199999999999997</v>
      </c>
      <c r="U257" s="8">
        <v>1.2889999999999999</v>
      </c>
      <c r="V257" s="8">
        <v>0.124</v>
      </c>
      <c r="W257" s="8">
        <v>0.59099999999999997</v>
      </c>
      <c r="X257" s="8">
        <v>0.83799999999999997</v>
      </c>
      <c r="Y257" s="8">
        <v>2.6694045174537964</v>
      </c>
      <c r="Z257" s="8">
        <v>2.7253668763102703</v>
      </c>
      <c r="AA257" s="8">
        <v>7.71</v>
      </c>
      <c r="AB257">
        <v>0.13500000000000001</v>
      </c>
      <c r="AC257" s="8">
        <v>2.772073921971248</v>
      </c>
      <c r="AD257" s="8">
        <v>1.1530398322851281</v>
      </c>
      <c r="AE257" s="8">
        <v>3.1E-2</v>
      </c>
      <c r="AF257" s="8">
        <v>5.0999999999999997E-2</v>
      </c>
      <c r="AG257" s="8">
        <v>1.5483775777873567</v>
      </c>
      <c r="AH257" s="8">
        <v>60.645161290322577</v>
      </c>
      <c r="AI257" s="8">
        <v>31.032258064516128</v>
      </c>
      <c r="AJ257" t="s">
        <v>1694</v>
      </c>
      <c r="AK257" t="s">
        <v>1694</v>
      </c>
      <c r="AL257" t="s">
        <v>1694</v>
      </c>
      <c r="AM257" t="s">
        <v>1694</v>
      </c>
      <c r="AN257" t="s">
        <v>1694</v>
      </c>
      <c r="AO257" t="s">
        <v>1694</v>
      </c>
      <c r="AP257" t="s">
        <v>1695</v>
      </c>
      <c r="AQ257" t="s">
        <v>1694</v>
      </c>
      <c r="AR257" t="s">
        <v>1694</v>
      </c>
      <c r="AS257" t="s">
        <v>1694</v>
      </c>
      <c r="AT257" t="s">
        <v>1694</v>
      </c>
      <c r="AU257" t="s">
        <v>1695</v>
      </c>
      <c r="AV257" t="s">
        <v>1694</v>
      </c>
      <c r="AW257" t="s">
        <v>1694</v>
      </c>
      <c r="AX257" t="s">
        <v>1695</v>
      </c>
      <c r="AY257" t="s">
        <v>1694</v>
      </c>
      <c r="AZ257" t="s">
        <v>1694</v>
      </c>
      <c r="BA257" t="s">
        <v>1694</v>
      </c>
      <c r="BB257" t="s">
        <v>1695</v>
      </c>
      <c r="BC257" t="s">
        <v>1694</v>
      </c>
      <c r="BD257" t="s">
        <v>1694</v>
      </c>
      <c r="BE257" t="s">
        <v>1695</v>
      </c>
      <c r="BF257" t="s">
        <v>1694</v>
      </c>
      <c r="BG257" t="s">
        <v>1697</v>
      </c>
      <c r="BH257" t="s">
        <v>1698</v>
      </c>
      <c r="BI257" t="b">
        <v>0</v>
      </c>
      <c r="BJ257">
        <f t="shared" si="3"/>
        <v>0</v>
      </c>
    </row>
    <row r="258" spans="1:62" x14ac:dyDescent="0.2">
      <c r="A258" s="5" t="s">
        <v>56</v>
      </c>
      <c r="B258" s="6">
        <v>40256</v>
      </c>
      <c r="C258" s="7">
        <v>33.483635999999997</v>
      </c>
      <c r="D258" s="7">
        <v>-112.54750799999999</v>
      </c>
      <c r="E258" s="17">
        <v>477</v>
      </c>
      <c r="F258" t="s">
        <v>1694</v>
      </c>
      <c r="G258" t="s">
        <v>1694</v>
      </c>
      <c r="H258" t="s">
        <v>1694</v>
      </c>
      <c r="I258">
        <v>0</v>
      </c>
      <c r="J258" s="8">
        <v>8.0505294453974958</v>
      </c>
      <c r="K258" s="8">
        <v>73.974187985639901</v>
      </c>
      <c r="L258" s="8">
        <v>17.975282568962598</v>
      </c>
      <c r="M258" s="8">
        <v>4.6791026847525494E-2</v>
      </c>
      <c r="N258" s="8">
        <v>5.0000000000000001E-3</v>
      </c>
      <c r="O258" s="8">
        <v>3.731749148226946</v>
      </c>
      <c r="P258" s="8">
        <v>3.0014697598343383</v>
      </c>
      <c r="Q258" s="8">
        <v>20.37919045796885</v>
      </c>
      <c r="R258" s="8">
        <v>7.3780372881409111</v>
      </c>
      <c r="S258" s="8">
        <v>0.83299999999999996</v>
      </c>
      <c r="T258" s="8">
        <v>1.5580000000000001</v>
      </c>
      <c r="U258" s="8">
        <v>0.157</v>
      </c>
      <c r="V258" s="8">
        <v>1.25</v>
      </c>
      <c r="W258" s="8">
        <v>0.67599999999999993</v>
      </c>
      <c r="X258" s="8">
        <v>0.30800000000000005</v>
      </c>
      <c r="Y258" s="8">
        <v>2.9040404040404098</v>
      </c>
      <c r="Z258" s="8">
        <v>2.2328548644338206</v>
      </c>
      <c r="AA258" s="8">
        <v>8.5</v>
      </c>
      <c r="AB258">
        <v>0.17399999999999999</v>
      </c>
      <c r="AC258" s="8">
        <v>2.9040404040404098</v>
      </c>
      <c r="AD258" s="8">
        <v>7.3365231259967949</v>
      </c>
      <c r="AE258" s="8">
        <v>5.8000000000000003E-2</v>
      </c>
      <c r="AF258" s="8">
        <v>2.1999999999999999E-2</v>
      </c>
      <c r="AG258" s="8">
        <v>1.6069565066958909</v>
      </c>
      <c r="AH258" s="8">
        <v>14.36206896551724</v>
      </c>
      <c r="AI258" s="8">
        <v>26.862068965517242</v>
      </c>
      <c r="AJ258" t="s">
        <v>1694</v>
      </c>
      <c r="AK258" t="s">
        <v>1694</v>
      </c>
      <c r="AL258" t="s">
        <v>1694</v>
      </c>
      <c r="AM258" t="s">
        <v>1694</v>
      </c>
      <c r="AN258" t="s">
        <v>1694</v>
      </c>
      <c r="AO258" t="s">
        <v>1694</v>
      </c>
      <c r="AP258" t="s">
        <v>1695</v>
      </c>
      <c r="AQ258" t="s">
        <v>1694</v>
      </c>
      <c r="AR258" t="s">
        <v>1694</v>
      </c>
      <c r="AS258" t="s">
        <v>1694</v>
      </c>
      <c r="AT258" t="s">
        <v>1694</v>
      </c>
      <c r="AU258" t="s">
        <v>1695</v>
      </c>
      <c r="AV258" t="s">
        <v>1694</v>
      </c>
      <c r="AW258" t="s">
        <v>1694</v>
      </c>
      <c r="AX258" t="s">
        <v>1695</v>
      </c>
      <c r="AY258" t="s">
        <v>1694</v>
      </c>
      <c r="AZ258" t="s">
        <v>1694</v>
      </c>
      <c r="BA258" t="s">
        <v>1694</v>
      </c>
      <c r="BB258" t="s">
        <v>1695</v>
      </c>
      <c r="BC258" t="s">
        <v>1694</v>
      </c>
      <c r="BD258" t="s">
        <v>1694</v>
      </c>
      <c r="BE258" t="s">
        <v>1695</v>
      </c>
      <c r="BF258" t="s">
        <v>1694</v>
      </c>
      <c r="BG258" t="s">
        <v>1697</v>
      </c>
      <c r="BH258" t="s">
        <v>1698</v>
      </c>
      <c r="BI258" t="b">
        <v>0</v>
      </c>
      <c r="BJ258">
        <f t="shared" ref="BJ258:BJ321" si="4">COUNTIF(BI258:BI258,TRUE)</f>
        <v>0</v>
      </c>
    </row>
    <row r="259" spans="1:62" x14ac:dyDescent="0.2">
      <c r="A259" s="5" t="s">
        <v>56</v>
      </c>
      <c r="B259" s="6">
        <v>42086</v>
      </c>
      <c r="C259" s="7">
        <v>33.483635999999997</v>
      </c>
      <c r="D259" s="7">
        <v>-112.54750799999999</v>
      </c>
      <c r="E259" s="17">
        <v>477</v>
      </c>
      <c r="F259" t="s">
        <v>1694</v>
      </c>
      <c r="G259" t="s">
        <v>1694</v>
      </c>
      <c r="H259" t="s">
        <v>1694</v>
      </c>
      <c r="I259">
        <v>0</v>
      </c>
      <c r="J259">
        <v>5.6396236953599299</v>
      </c>
      <c r="K259">
        <v>78.572192294782198</v>
      </c>
      <c r="L259">
        <v>15.7881840098579</v>
      </c>
      <c r="M259">
        <v>2.8857768097193901</v>
      </c>
      <c r="N259">
        <v>1.50635478682284</v>
      </c>
      <c r="O259">
        <v>22.307231780653002</v>
      </c>
      <c r="P259">
        <v>5.6178172637981101</v>
      </c>
      <c r="Q259">
        <v>5.2342737767629099</v>
      </c>
      <c r="R259">
        <v>1.55432233184908</v>
      </c>
      <c r="S259">
        <v>0.89500000000000002</v>
      </c>
      <c r="T259">
        <v>0.54900000000000004</v>
      </c>
      <c r="U259">
        <v>0.23599999999999999</v>
      </c>
      <c r="V259">
        <v>0.52400000000000002</v>
      </c>
      <c r="W259">
        <v>0.65900000000000003</v>
      </c>
      <c r="X259">
        <v>2.5000000000000001E-2</v>
      </c>
      <c r="Y259">
        <v>2.19638242894057</v>
      </c>
      <c r="Z259">
        <v>1.7381228273464699</v>
      </c>
      <c r="AA259">
        <v>8.09</v>
      </c>
      <c r="AB259">
        <v>0.34699999999999998</v>
      </c>
      <c r="AC259">
        <v>1.8214936247723099</v>
      </c>
      <c r="AD259">
        <v>1.86915887850466</v>
      </c>
      <c r="AE259">
        <v>8.5999999999999993E-2</v>
      </c>
      <c r="AF259">
        <v>4.5999999999999999E-2</v>
      </c>
      <c r="AG259">
        <v>1.4557748835039266</v>
      </c>
      <c r="AH259">
        <v>10.406976744186</v>
      </c>
      <c r="AI259">
        <v>11.9347826086957</v>
      </c>
      <c r="AJ259" t="s">
        <v>1694</v>
      </c>
      <c r="AK259" t="s">
        <v>1694</v>
      </c>
      <c r="AL259" t="s">
        <v>1694</v>
      </c>
      <c r="AM259" t="s">
        <v>1694</v>
      </c>
      <c r="AN259" t="s">
        <v>1694</v>
      </c>
      <c r="AO259" t="s">
        <v>1694</v>
      </c>
      <c r="AP259" t="s">
        <v>1697</v>
      </c>
      <c r="AQ259" t="s">
        <v>1697</v>
      </c>
      <c r="AR259" t="s">
        <v>1694</v>
      </c>
      <c r="AS259" t="s">
        <v>1694</v>
      </c>
      <c r="AT259" t="s">
        <v>1694</v>
      </c>
      <c r="AU259" t="s">
        <v>1697</v>
      </c>
      <c r="AV259" t="s">
        <v>1697</v>
      </c>
      <c r="AW259" t="s">
        <v>1694</v>
      </c>
      <c r="AX259" t="s">
        <v>1695</v>
      </c>
      <c r="AY259" t="s">
        <v>1694</v>
      </c>
      <c r="AZ259" t="s">
        <v>1694</v>
      </c>
      <c r="BA259" t="s">
        <v>1694</v>
      </c>
      <c r="BB259" t="s">
        <v>1695</v>
      </c>
      <c r="BC259" t="s">
        <v>1694</v>
      </c>
      <c r="BD259" t="s">
        <v>1694</v>
      </c>
      <c r="BE259" t="s">
        <v>1695</v>
      </c>
      <c r="BF259" t="s">
        <v>1694</v>
      </c>
      <c r="BG259" t="s">
        <v>1697</v>
      </c>
      <c r="BH259" t="s">
        <v>1698</v>
      </c>
      <c r="BI259" t="b">
        <v>0</v>
      </c>
      <c r="BJ259">
        <f t="shared" si="4"/>
        <v>0</v>
      </c>
    </row>
    <row r="260" spans="1:62" x14ac:dyDescent="0.2">
      <c r="A260" s="5" t="s">
        <v>56</v>
      </c>
      <c r="B260" s="6">
        <v>45044</v>
      </c>
      <c r="C260" s="7">
        <v>33.483635999999997</v>
      </c>
      <c r="D260" s="7">
        <v>-112.54750799999999</v>
      </c>
      <c r="E260" s="17">
        <v>477</v>
      </c>
      <c r="F260" t="s">
        <v>1694</v>
      </c>
      <c r="G260" t="s">
        <v>1694</v>
      </c>
      <c r="H260" t="s">
        <v>1694</v>
      </c>
      <c r="I260">
        <v>0</v>
      </c>
      <c r="J260" s="6" t="s">
        <v>1697</v>
      </c>
      <c r="K260" s="6" t="s">
        <v>1697</v>
      </c>
      <c r="L260" s="6" t="s">
        <v>1697</v>
      </c>
      <c r="M260" s="6" t="s">
        <v>1697</v>
      </c>
      <c r="N260" s="6" t="s">
        <v>1697</v>
      </c>
      <c r="O260" s="6" t="s">
        <v>1697</v>
      </c>
      <c r="P260" s="6" t="s">
        <v>1697</v>
      </c>
      <c r="Q260" s="6" t="s">
        <v>1697</v>
      </c>
      <c r="R260" s="6" t="s">
        <v>1697</v>
      </c>
      <c r="S260" s="6" t="s">
        <v>1697</v>
      </c>
      <c r="T260" s="6" t="s">
        <v>1697</v>
      </c>
      <c r="U260" s="6" t="s">
        <v>1697</v>
      </c>
      <c r="V260" s="6" t="s">
        <v>1697</v>
      </c>
      <c r="W260" s="6" t="s">
        <v>1697</v>
      </c>
      <c r="X260" s="6" t="s">
        <v>1697</v>
      </c>
      <c r="Y260" s="6" t="s">
        <v>1697</v>
      </c>
      <c r="Z260" s="6" t="s">
        <v>1697</v>
      </c>
      <c r="AA260" s="6" t="s">
        <v>1697</v>
      </c>
      <c r="AB260" s="6" t="s">
        <v>1697</v>
      </c>
      <c r="AC260" s="6" t="s">
        <v>1697</v>
      </c>
      <c r="AD260" s="6" t="s">
        <v>1697</v>
      </c>
      <c r="AE260" s="6" t="s">
        <v>1697</v>
      </c>
      <c r="AF260" s="6" t="s">
        <v>1697</v>
      </c>
      <c r="AG260" s="6" t="s">
        <v>1697</v>
      </c>
      <c r="AH260" s="6" t="s">
        <v>1697</v>
      </c>
      <c r="AI260" s="6" t="s">
        <v>1697</v>
      </c>
      <c r="AJ260" t="s">
        <v>1694</v>
      </c>
      <c r="AK260" t="s">
        <v>1694</v>
      </c>
      <c r="AL260" t="s">
        <v>1694</v>
      </c>
      <c r="AM260" t="s">
        <v>1694</v>
      </c>
      <c r="AN260" t="s">
        <v>1694</v>
      </c>
      <c r="AO260" t="s">
        <v>1694</v>
      </c>
      <c r="AP260" t="s">
        <v>1697</v>
      </c>
      <c r="AQ260" t="s">
        <v>1697</v>
      </c>
      <c r="AR260" t="s">
        <v>1694</v>
      </c>
      <c r="AS260" t="s">
        <v>1694</v>
      </c>
      <c r="AT260" t="s">
        <v>1694</v>
      </c>
      <c r="AU260" t="s">
        <v>1697</v>
      </c>
      <c r="AV260" t="s">
        <v>1697</v>
      </c>
      <c r="AW260" t="s">
        <v>1694</v>
      </c>
      <c r="AX260" t="s">
        <v>1695</v>
      </c>
      <c r="AY260" t="s">
        <v>1694</v>
      </c>
      <c r="AZ260" t="s">
        <v>1694</v>
      </c>
      <c r="BA260" t="s">
        <v>1694</v>
      </c>
      <c r="BB260" t="s">
        <v>1695</v>
      </c>
      <c r="BC260" t="s">
        <v>1694</v>
      </c>
      <c r="BD260" t="s">
        <v>1694</v>
      </c>
      <c r="BE260" t="s">
        <v>1695</v>
      </c>
      <c r="BF260" t="s">
        <v>1694</v>
      </c>
      <c r="BG260" s="6" t="s">
        <v>1697</v>
      </c>
      <c r="BH260" s="6" t="s">
        <v>1697</v>
      </c>
      <c r="BI260" t="b">
        <v>0</v>
      </c>
      <c r="BJ260">
        <f t="shared" si="4"/>
        <v>0</v>
      </c>
    </row>
    <row r="261" spans="1:62" x14ac:dyDescent="0.2">
      <c r="A261" s="5" t="s">
        <v>864</v>
      </c>
      <c r="B261" s="6">
        <v>38489</v>
      </c>
      <c r="C261" s="7">
        <v>33.819305999999997</v>
      </c>
      <c r="D261" s="7">
        <v>-112.51605000000001</v>
      </c>
      <c r="E261" s="17">
        <v>566</v>
      </c>
      <c r="F261" t="s">
        <v>1694</v>
      </c>
      <c r="G261" t="s">
        <v>1694</v>
      </c>
      <c r="H261" t="s">
        <v>1694</v>
      </c>
      <c r="I261">
        <v>0</v>
      </c>
      <c r="J261" s="8">
        <v>2.1617390245781891</v>
      </c>
      <c r="K261" s="8">
        <v>96.990890274969175</v>
      </c>
      <c r="L261" s="8">
        <v>0.84737070045264318</v>
      </c>
      <c r="M261" s="8">
        <v>0.79692670159056755</v>
      </c>
      <c r="N261" s="8">
        <v>0.37294413426430245</v>
      </c>
      <c r="O261" s="8">
        <v>2.3400665873977573</v>
      </c>
      <c r="P261" s="8">
        <v>3.4012505044904384</v>
      </c>
      <c r="Q261" s="8">
        <v>4.4938686202999047</v>
      </c>
      <c r="R261" s="8">
        <v>13.890409830900618</v>
      </c>
      <c r="S261" s="8">
        <v>0.20599999999999999</v>
      </c>
      <c r="T261" s="8">
        <v>0.316</v>
      </c>
      <c r="U261" s="8">
        <v>9.4E-2</v>
      </c>
      <c r="V261" s="8">
        <v>6.2E-2</v>
      </c>
      <c r="W261" s="8">
        <v>0.11199999999999999</v>
      </c>
      <c r="X261" s="8">
        <v>0.254</v>
      </c>
      <c r="Y261" s="8">
        <v>1.3317191283292908</v>
      </c>
      <c r="Z261" s="8">
        <v>1.6209476309226807</v>
      </c>
      <c r="AA261" s="8">
        <v>8.89</v>
      </c>
      <c r="AB261">
        <v>3.6999999999999998E-2</v>
      </c>
      <c r="AC261" s="8">
        <v>1.6949152542372952</v>
      </c>
      <c r="AD261" s="8">
        <v>2.7431421446384121</v>
      </c>
      <c r="AE261" s="8">
        <v>1.9E-2</v>
      </c>
      <c r="AF261" s="8">
        <v>2.3E-2</v>
      </c>
      <c r="AG261" s="8">
        <v>1.5213511713935643</v>
      </c>
      <c r="AH261" s="8">
        <v>10.842105263157894</v>
      </c>
      <c r="AI261" s="8">
        <v>16.631578947368421</v>
      </c>
      <c r="AJ261" t="s">
        <v>1694</v>
      </c>
      <c r="AK261" t="s">
        <v>1694</v>
      </c>
      <c r="AL261" t="s">
        <v>1694</v>
      </c>
      <c r="AM261" t="s">
        <v>1694</v>
      </c>
      <c r="AN261" t="s">
        <v>1694</v>
      </c>
      <c r="AO261" t="s">
        <v>1694</v>
      </c>
      <c r="AP261" t="s">
        <v>1695</v>
      </c>
      <c r="AQ261" t="s">
        <v>1694</v>
      </c>
      <c r="AR261" t="s">
        <v>1694</v>
      </c>
      <c r="AS261" t="s">
        <v>1694</v>
      </c>
      <c r="AT261" t="s">
        <v>1694</v>
      </c>
      <c r="AU261" t="s">
        <v>1695</v>
      </c>
      <c r="AV261" t="s">
        <v>1694</v>
      </c>
      <c r="AW261" t="s">
        <v>1694</v>
      </c>
      <c r="AX261" t="s">
        <v>1695</v>
      </c>
      <c r="AY261" t="s">
        <v>1694</v>
      </c>
      <c r="AZ261" t="s">
        <v>1694</v>
      </c>
      <c r="BA261" t="s">
        <v>1694</v>
      </c>
      <c r="BB261" t="s">
        <v>1695</v>
      </c>
      <c r="BC261" t="s">
        <v>1694</v>
      </c>
      <c r="BD261" t="s">
        <v>1694</v>
      </c>
      <c r="BE261" t="s">
        <v>1695</v>
      </c>
      <c r="BF261" t="s">
        <v>1694</v>
      </c>
      <c r="BG261" t="s">
        <v>1697</v>
      </c>
      <c r="BH261" t="s">
        <v>1698</v>
      </c>
      <c r="BI261" t="b">
        <v>0</v>
      </c>
      <c r="BJ261">
        <f t="shared" si="4"/>
        <v>0</v>
      </c>
    </row>
    <row r="262" spans="1:62" x14ac:dyDescent="0.2">
      <c r="A262" s="5" t="s">
        <v>864</v>
      </c>
      <c r="B262" s="6">
        <v>40262</v>
      </c>
      <c r="C262" s="7">
        <v>33.819305999999997</v>
      </c>
      <c r="D262" s="7">
        <v>-112.51605000000001</v>
      </c>
      <c r="E262" s="17">
        <v>566</v>
      </c>
      <c r="F262" t="s">
        <v>1694</v>
      </c>
      <c r="G262" t="s">
        <v>1694</v>
      </c>
      <c r="H262" t="s">
        <v>1694</v>
      </c>
      <c r="I262">
        <v>0</v>
      </c>
      <c r="J262" s="8">
        <v>0.90651227179735883</v>
      </c>
      <c r="K262" s="8">
        <v>97.811848218889168</v>
      </c>
      <c r="L262" s="8">
        <v>1.2816395093134787</v>
      </c>
      <c r="M262" s="8">
        <v>0.50207552272089728</v>
      </c>
      <c r="N262" s="8">
        <v>5.0000000000000001E-3</v>
      </c>
      <c r="O262" s="8">
        <v>1.4148081926383669</v>
      </c>
      <c r="P262" s="8">
        <v>0.81829603691551578</v>
      </c>
      <c r="Q262" s="8">
        <v>2.5000000000000001E-3</v>
      </c>
      <c r="R262" s="8">
        <v>7.4390548810501427</v>
      </c>
      <c r="S262" s="8">
        <v>0.17199999999999999</v>
      </c>
      <c r="T262" s="8">
        <v>0.19</v>
      </c>
      <c r="U262" s="8">
        <v>0.155</v>
      </c>
      <c r="V262" s="8">
        <v>8.7999999999999995E-2</v>
      </c>
      <c r="W262" s="8">
        <v>1.6999999999999987E-2</v>
      </c>
      <c r="X262" s="8">
        <v>0.10200000000000001</v>
      </c>
      <c r="Y262" s="8">
        <v>0.8810572687224677</v>
      </c>
      <c r="Z262" s="8">
        <v>0.44444444444445469</v>
      </c>
      <c r="AA262" s="8">
        <v>8.83</v>
      </c>
      <c r="AB262">
        <v>3.7999999999999999E-2</v>
      </c>
      <c r="AC262" s="8">
        <v>0</v>
      </c>
      <c r="AD262" s="8">
        <v>0</v>
      </c>
      <c r="AE262" s="8">
        <v>5.0000000000000001E-3</v>
      </c>
      <c r="AF262" s="8">
        <v>8.0000000000000002E-3</v>
      </c>
      <c r="AG262" s="8">
        <v>1.4595580499822749</v>
      </c>
      <c r="AH262" s="8">
        <v>34.4</v>
      </c>
      <c r="AI262" s="8">
        <v>38</v>
      </c>
      <c r="AJ262" t="s">
        <v>1694</v>
      </c>
      <c r="AK262" t="s">
        <v>1694</v>
      </c>
      <c r="AL262" t="s">
        <v>1694</v>
      </c>
      <c r="AM262" t="s">
        <v>1694</v>
      </c>
      <c r="AN262" t="s">
        <v>1694</v>
      </c>
      <c r="AO262" t="s">
        <v>1694</v>
      </c>
      <c r="AP262" t="s">
        <v>1695</v>
      </c>
      <c r="AQ262" t="s">
        <v>1694</v>
      </c>
      <c r="AR262" t="s">
        <v>1694</v>
      </c>
      <c r="AS262" t="s">
        <v>1694</v>
      </c>
      <c r="AT262" t="s">
        <v>1694</v>
      </c>
      <c r="AU262" t="s">
        <v>1695</v>
      </c>
      <c r="AV262" t="s">
        <v>1694</v>
      </c>
      <c r="AW262" t="s">
        <v>1694</v>
      </c>
      <c r="AX262" t="s">
        <v>1695</v>
      </c>
      <c r="AY262" t="s">
        <v>1694</v>
      </c>
      <c r="AZ262" t="s">
        <v>1694</v>
      </c>
      <c r="BA262" t="s">
        <v>1694</v>
      </c>
      <c r="BB262" t="s">
        <v>1695</v>
      </c>
      <c r="BC262" t="s">
        <v>1694</v>
      </c>
      <c r="BD262" t="s">
        <v>1694</v>
      </c>
      <c r="BE262" t="s">
        <v>1695</v>
      </c>
      <c r="BF262" t="s">
        <v>1694</v>
      </c>
      <c r="BG262" t="s">
        <v>1697</v>
      </c>
      <c r="BH262" t="s">
        <v>1698</v>
      </c>
      <c r="BI262" t="b">
        <v>1</v>
      </c>
      <c r="BJ262">
        <f t="shared" si="4"/>
        <v>1</v>
      </c>
    </row>
    <row r="263" spans="1:62" x14ac:dyDescent="0.2">
      <c r="A263" s="5" t="s">
        <v>864</v>
      </c>
      <c r="B263" s="6">
        <v>42067</v>
      </c>
      <c r="C263" s="7">
        <v>33.819305999999997</v>
      </c>
      <c r="D263" s="7">
        <v>-112.51605000000001</v>
      </c>
      <c r="E263" s="17">
        <v>566</v>
      </c>
      <c r="F263" t="s">
        <v>1694</v>
      </c>
      <c r="G263" t="s">
        <v>1694</v>
      </c>
      <c r="H263" t="s">
        <v>1694</v>
      </c>
      <c r="I263">
        <v>0</v>
      </c>
      <c r="J263">
        <v>3.9405781764716901</v>
      </c>
      <c r="K263">
        <v>91.3993409539449</v>
      </c>
      <c r="L263">
        <v>4.6600808695833997</v>
      </c>
      <c r="M263">
        <v>1.33559616953147</v>
      </c>
      <c r="N263">
        <v>1.06855571918301</v>
      </c>
      <c r="O263">
        <v>11.2275993783713</v>
      </c>
      <c r="P263">
        <v>13.0200572532779</v>
      </c>
      <c r="Q263">
        <v>3.2839683623924101</v>
      </c>
      <c r="R263">
        <v>2.5000588977351899</v>
      </c>
      <c r="S263">
        <v>0.26200000000000001</v>
      </c>
      <c r="T263">
        <v>0.25</v>
      </c>
      <c r="U263">
        <v>3.2000000000000001E-2</v>
      </c>
      <c r="V263">
        <v>0.127</v>
      </c>
      <c r="W263">
        <v>0.23</v>
      </c>
      <c r="X263">
        <v>0.123</v>
      </c>
      <c r="Y263">
        <v>1.01237345331833</v>
      </c>
      <c r="Z263">
        <v>0.96286107290233003</v>
      </c>
      <c r="AA263">
        <v>8.14</v>
      </c>
      <c r="AB263">
        <v>6.7000000000000004E-2</v>
      </c>
      <c r="AC263">
        <v>1.79640718562873</v>
      </c>
      <c r="AD263">
        <v>2.7777777777777901</v>
      </c>
      <c r="AE263">
        <v>6.8000000000000005E-2</v>
      </c>
      <c r="AF263">
        <v>3.7999999999999999E-2</v>
      </c>
      <c r="AG263">
        <v>1.5719494606692876</v>
      </c>
      <c r="AH263">
        <v>3.8529411764705901</v>
      </c>
      <c r="AI263">
        <v>6.5789473684210504</v>
      </c>
      <c r="AJ263" t="s">
        <v>1694</v>
      </c>
      <c r="AK263" t="s">
        <v>1694</v>
      </c>
      <c r="AL263" t="s">
        <v>1694</v>
      </c>
      <c r="AM263" t="s">
        <v>1694</v>
      </c>
      <c r="AN263" t="s">
        <v>1694</v>
      </c>
      <c r="AO263" t="s">
        <v>1694</v>
      </c>
      <c r="AP263" t="s">
        <v>1695</v>
      </c>
      <c r="AQ263" t="s">
        <v>1694</v>
      </c>
      <c r="AR263" t="s">
        <v>1694</v>
      </c>
      <c r="AS263" t="s">
        <v>1694</v>
      </c>
      <c r="AT263" t="s">
        <v>1694</v>
      </c>
      <c r="AU263" t="s">
        <v>1695</v>
      </c>
      <c r="AV263" t="s">
        <v>1694</v>
      </c>
      <c r="AW263" t="s">
        <v>1694</v>
      </c>
      <c r="AX263" t="s">
        <v>1695</v>
      </c>
      <c r="AY263" t="s">
        <v>1694</v>
      </c>
      <c r="AZ263" t="s">
        <v>1694</v>
      </c>
      <c r="BA263" t="s">
        <v>1694</v>
      </c>
      <c r="BB263" t="s">
        <v>1695</v>
      </c>
      <c r="BC263" t="s">
        <v>1694</v>
      </c>
      <c r="BD263" t="s">
        <v>1694</v>
      </c>
      <c r="BE263" t="s">
        <v>1695</v>
      </c>
      <c r="BF263" t="s">
        <v>1694</v>
      </c>
      <c r="BG263" t="s">
        <v>1697</v>
      </c>
      <c r="BH263" t="s">
        <v>1698</v>
      </c>
      <c r="BI263" t="b">
        <v>0</v>
      </c>
      <c r="BJ263">
        <f t="shared" si="4"/>
        <v>0</v>
      </c>
    </row>
    <row r="264" spans="1:62" x14ac:dyDescent="0.2">
      <c r="A264" s="5" t="s">
        <v>865</v>
      </c>
      <c r="B264" s="6">
        <v>38489</v>
      </c>
      <c r="C264" s="7">
        <v>33.705827999999997</v>
      </c>
      <c r="D264" s="7">
        <v>-112.52658099999999</v>
      </c>
      <c r="E264" s="17">
        <v>460</v>
      </c>
      <c r="F264" t="s">
        <v>1694</v>
      </c>
      <c r="G264" t="s">
        <v>1694</v>
      </c>
      <c r="H264" t="s">
        <v>1694</v>
      </c>
      <c r="I264">
        <v>0</v>
      </c>
      <c r="J264" s="8">
        <v>6.9739658369989357</v>
      </c>
      <c r="K264" s="8">
        <v>71.140004090172283</v>
      </c>
      <c r="L264" s="8">
        <v>21.886030072828788</v>
      </c>
      <c r="M264" s="8">
        <v>0.75268257389945981</v>
      </c>
      <c r="N264" s="8">
        <v>2.0068559786670916</v>
      </c>
      <c r="O264" s="8">
        <v>1.2795603756290819</v>
      </c>
      <c r="P264" s="8">
        <v>0.79557504868588247</v>
      </c>
      <c r="Q264" s="8">
        <v>10.241500888858649</v>
      </c>
      <c r="R264" s="8">
        <v>5.1892946727880318</v>
      </c>
      <c r="S264" s="8">
        <v>0.20399999999999999</v>
      </c>
      <c r="T264" s="8">
        <v>0.16400000000000001</v>
      </c>
      <c r="U264" s="8">
        <v>8.3000000000000004E-2</v>
      </c>
      <c r="V264" s="8">
        <v>5.5E-2</v>
      </c>
      <c r="W264" s="8">
        <v>0.12099999999999998</v>
      </c>
      <c r="X264" s="8">
        <v>0.10900000000000001</v>
      </c>
      <c r="Y264" s="8">
        <v>2.3007395234182364</v>
      </c>
      <c r="Z264" s="8">
        <v>2.7617951668584402</v>
      </c>
      <c r="AA264" s="8">
        <v>7.94</v>
      </c>
      <c r="AB264">
        <v>0.16900000000000001</v>
      </c>
      <c r="AC264" s="8">
        <v>1.807723911257195</v>
      </c>
      <c r="AD264" s="8">
        <v>4.3728423475259008</v>
      </c>
      <c r="AE264" s="8">
        <v>3.4000000000000002E-2</v>
      </c>
      <c r="AF264" s="8">
        <v>1.9E-2</v>
      </c>
      <c r="AG264" s="8">
        <v>1.3512235368644117</v>
      </c>
      <c r="AH264" s="8">
        <v>5.9999999999999991</v>
      </c>
      <c r="AI264" s="8">
        <v>4.8235294117647056</v>
      </c>
      <c r="AJ264" t="s">
        <v>1694</v>
      </c>
      <c r="AK264" t="s">
        <v>1694</v>
      </c>
      <c r="AL264" t="s">
        <v>1694</v>
      </c>
      <c r="AM264" t="s">
        <v>1694</v>
      </c>
      <c r="AN264" t="s">
        <v>1694</v>
      </c>
      <c r="AO264" t="s">
        <v>1694</v>
      </c>
      <c r="AP264" t="s">
        <v>1695</v>
      </c>
      <c r="AQ264" t="s">
        <v>1694</v>
      </c>
      <c r="AR264" t="s">
        <v>1694</v>
      </c>
      <c r="AS264" t="s">
        <v>1694</v>
      </c>
      <c r="AT264" t="s">
        <v>1694</v>
      </c>
      <c r="AU264" t="s">
        <v>1695</v>
      </c>
      <c r="AV264" t="s">
        <v>1694</v>
      </c>
      <c r="AW264" t="s">
        <v>1694</v>
      </c>
      <c r="AX264" t="s">
        <v>1695</v>
      </c>
      <c r="AY264" t="s">
        <v>1694</v>
      </c>
      <c r="AZ264" t="s">
        <v>1694</v>
      </c>
      <c r="BA264" t="s">
        <v>1694</v>
      </c>
      <c r="BB264" t="s">
        <v>1695</v>
      </c>
      <c r="BC264" t="s">
        <v>1694</v>
      </c>
      <c r="BD264" t="s">
        <v>1694</v>
      </c>
      <c r="BE264" t="s">
        <v>1695</v>
      </c>
      <c r="BF264" t="s">
        <v>1694</v>
      </c>
      <c r="BG264" t="s">
        <v>1697</v>
      </c>
      <c r="BH264" t="s">
        <v>1698</v>
      </c>
      <c r="BI264" t="b">
        <v>0</v>
      </c>
      <c r="BJ264">
        <f t="shared" si="4"/>
        <v>0</v>
      </c>
    </row>
    <row r="265" spans="1:62" x14ac:dyDescent="0.2">
      <c r="A265" s="5" t="s">
        <v>865</v>
      </c>
      <c r="B265" s="6">
        <v>40294</v>
      </c>
      <c r="C265" s="7">
        <v>33.705827999999997</v>
      </c>
      <c r="D265" s="7">
        <v>-112.52658099999999</v>
      </c>
      <c r="E265" s="17">
        <v>460</v>
      </c>
      <c r="F265" t="s">
        <v>1694</v>
      </c>
      <c r="G265" t="s">
        <v>1694</v>
      </c>
      <c r="H265" t="s">
        <v>1694</v>
      </c>
      <c r="I265">
        <v>0</v>
      </c>
      <c r="J265" s="8">
        <v>12.523978651790127</v>
      </c>
      <c r="K265" s="8">
        <v>66.546496367526316</v>
      </c>
      <c r="L265" s="8">
        <v>20.929524980683553</v>
      </c>
      <c r="M265" s="8">
        <v>3.0927623854963975</v>
      </c>
      <c r="N265" s="8">
        <v>2.670037483671722</v>
      </c>
      <c r="O265" s="8">
        <v>0.24140728620124655</v>
      </c>
      <c r="P265" s="8">
        <v>0.70825344940253143</v>
      </c>
      <c r="Q265" s="8">
        <v>24.229733077400795</v>
      </c>
      <c r="R265" s="8">
        <v>8.0618796577214251</v>
      </c>
      <c r="S265" s="8">
        <v>0.31</v>
      </c>
      <c r="T265" s="8">
        <v>0.16900000000000001</v>
      </c>
      <c r="U265" s="8">
        <v>1.2E-2</v>
      </c>
      <c r="V265" s="8">
        <v>1.2E-2</v>
      </c>
      <c r="W265" s="8">
        <v>0.29799999999999999</v>
      </c>
      <c r="X265" s="8">
        <v>0.157</v>
      </c>
      <c r="Y265" s="8">
        <v>2.1848739495798446</v>
      </c>
      <c r="Z265" s="8">
        <v>2.3904382470119367</v>
      </c>
      <c r="AA265" s="8">
        <v>8.23</v>
      </c>
      <c r="AB265">
        <v>0.17599999999999999</v>
      </c>
      <c r="AC265" s="8">
        <v>2.3529411764705674</v>
      </c>
      <c r="AD265" s="8">
        <v>3.5856573705179402</v>
      </c>
      <c r="AE265" s="8">
        <v>4.2000000000000003E-2</v>
      </c>
      <c r="AF265" s="8">
        <v>2.8000000000000001E-2</v>
      </c>
      <c r="AG265" s="8">
        <v>1.7027745107108245</v>
      </c>
      <c r="AH265" s="8">
        <v>7.3809523809523805</v>
      </c>
      <c r="AI265" s="8">
        <v>4.0238095238095237</v>
      </c>
      <c r="AJ265" t="s">
        <v>1694</v>
      </c>
      <c r="AK265" t="s">
        <v>1694</v>
      </c>
      <c r="AL265" t="s">
        <v>1694</v>
      </c>
      <c r="AM265" t="s">
        <v>1694</v>
      </c>
      <c r="AN265" t="s">
        <v>1694</v>
      </c>
      <c r="AO265" t="s">
        <v>1694</v>
      </c>
      <c r="AP265" t="s">
        <v>1695</v>
      </c>
      <c r="AQ265" t="s">
        <v>1694</v>
      </c>
      <c r="AR265" t="s">
        <v>1694</v>
      </c>
      <c r="AS265" t="s">
        <v>1694</v>
      </c>
      <c r="AT265" t="s">
        <v>1694</v>
      </c>
      <c r="AU265" t="s">
        <v>1695</v>
      </c>
      <c r="AV265" t="s">
        <v>1694</v>
      </c>
      <c r="AW265" t="s">
        <v>1694</v>
      </c>
      <c r="AX265" t="s">
        <v>1695</v>
      </c>
      <c r="AY265" t="s">
        <v>1694</v>
      </c>
      <c r="AZ265" t="s">
        <v>1694</v>
      </c>
      <c r="BA265" t="s">
        <v>1694</v>
      </c>
      <c r="BB265" t="s">
        <v>1695</v>
      </c>
      <c r="BC265" t="s">
        <v>1694</v>
      </c>
      <c r="BD265" t="s">
        <v>1694</v>
      </c>
      <c r="BE265" t="s">
        <v>1695</v>
      </c>
      <c r="BF265" t="s">
        <v>1694</v>
      </c>
      <c r="BG265" t="s">
        <v>1697</v>
      </c>
      <c r="BH265" t="s">
        <v>1698</v>
      </c>
      <c r="BI265" t="b">
        <v>0</v>
      </c>
      <c r="BJ265">
        <f t="shared" si="4"/>
        <v>0</v>
      </c>
    </row>
    <row r="266" spans="1:62" x14ac:dyDescent="0.2">
      <c r="A266" s="5" t="s">
        <v>865</v>
      </c>
      <c r="B266" s="6">
        <v>42129</v>
      </c>
      <c r="C266" s="7">
        <v>33.705827999999997</v>
      </c>
      <c r="D266" s="7">
        <v>-112.52658099999999</v>
      </c>
      <c r="E266" s="17">
        <v>460</v>
      </c>
      <c r="F266" t="s">
        <v>1694</v>
      </c>
      <c r="G266" t="s">
        <v>1694</v>
      </c>
      <c r="H266" t="s">
        <v>1694</v>
      </c>
      <c r="I266">
        <v>0</v>
      </c>
      <c r="J266">
        <v>9.74806032978662</v>
      </c>
      <c r="K266">
        <v>78.352122109370697</v>
      </c>
      <c r="L266">
        <v>11.899817560842701</v>
      </c>
      <c r="M266">
        <v>1.8793219819793601</v>
      </c>
      <c r="N266">
        <v>4.18472318071945</v>
      </c>
      <c r="O266">
        <v>12.330485929799099</v>
      </c>
      <c r="P266">
        <v>14.865136074794499</v>
      </c>
      <c r="Q266">
        <v>4.9365045192565997</v>
      </c>
      <c r="R266">
        <v>2.4569488045618102</v>
      </c>
      <c r="S266">
        <v>0.32700000000000001</v>
      </c>
      <c r="T266">
        <v>0.224</v>
      </c>
      <c r="U266">
        <v>1.9E-2</v>
      </c>
      <c r="V266">
        <v>3.5999999999999997E-2</v>
      </c>
      <c r="W266">
        <v>0.308</v>
      </c>
      <c r="X266">
        <v>0.188</v>
      </c>
      <c r="Y266">
        <v>1.31578947368421</v>
      </c>
      <c r="Z266">
        <v>1.2594458438287199</v>
      </c>
      <c r="AA266">
        <v>7.3</v>
      </c>
      <c r="AB266">
        <v>0.20899999999999999</v>
      </c>
      <c r="AC266">
        <v>3.5087719298245599</v>
      </c>
      <c r="AD266">
        <v>3.7037037037037202</v>
      </c>
      <c r="AE266">
        <v>5.6000000000000001E-2</v>
      </c>
      <c r="AF266">
        <v>5.0999999999999997E-2</v>
      </c>
      <c r="AG266">
        <v>1.690116219338158</v>
      </c>
      <c r="AH266">
        <v>5.83928571428571</v>
      </c>
      <c r="AI266">
        <v>4.3921568627451002</v>
      </c>
      <c r="AJ266" t="s">
        <v>1694</v>
      </c>
      <c r="AK266" t="s">
        <v>1694</v>
      </c>
      <c r="AL266" t="s">
        <v>1694</v>
      </c>
      <c r="AM266" t="s">
        <v>1694</v>
      </c>
      <c r="AN266" t="s">
        <v>1694</v>
      </c>
      <c r="AO266" t="s">
        <v>1694</v>
      </c>
      <c r="AP266" t="s">
        <v>1697</v>
      </c>
      <c r="AQ266" t="s">
        <v>1697</v>
      </c>
      <c r="AR266" t="s">
        <v>1694</v>
      </c>
      <c r="AS266" t="s">
        <v>1694</v>
      </c>
      <c r="AT266" t="s">
        <v>1694</v>
      </c>
      <c r="AU266" t="s">
        <v>1695</v>
      </c>
      <c r="AV266" t="s">
        <v>1694</v>
      </c>
      <c r="AW266" t="s">
        <v>1694</v>
      </c>
      <c r="AX266" t="s">
        <v>1695</v>
      </c>
      <c r="AY266" t="s">
        <v>1694</v>
      </c>
      <c r="AZ266" t="s">
        <v>1694</v>
      </c>
      <c r="BA266" t="s">
        <v>1694</v>
      </c>
      <c r="BB266" t="s">
        <v>1695</v>
      </c>
      <c r="BC266" t="s">
        <v>1694</v>
      </c>
      <c r="BD266" t="s">
        <v>1694</v>
      </c>
      <c r="BE266" t="s">
        <v>1695</v>
      </c>
      <c r="BF266" t="s">
        <v>1694</v>
      </c>
      <c r="BG266" t="s">
        <v>1697</v>
      </c>
      <c r="BH266" t="s">
        <v>1698</v>
      </c>
      <c r="BI266" t="b">
        <v>0</v>
      </c>
      <c r="BJ266">
        <f t="shared" si="4"/>
        <v>0</v>
      </c>
    </row>
    <row r="267" spans="1:62" x14ac:dyDescent="0.2">
      <c r="A267" s="5" t="s">
        <v>57</v>
      </c>
      <c r="B267" s="6">
        <v>36630</v>
      </c>
      <c r="C267" s="7">
        <v>33.612138999999999</v>
      </c>
      <c r="D267" s="7">
        <v>-112.502033</v>
      </c>
      <c r="E267" s="17">
        <v>462</v>
      </c>
      <c r="F267" t="s">
        <v>1694</v>
      </c>
      <c r="G267" t="s">
        <v>1694</v>
      </c>
      <c r="H267" t="s">
        <v>1694</v>
      </c>
      <c r="I267">
        <v>0</v>
      </c>
      <c r="J267" s="8">
        <v>16.82597195018673</v>
      </c>
      <c r="K267" s="8">
        <v>56.354220248769479</v>
      </c>
      <c r="L267" s="8">
        <v>26.819807801043794</v>
      </c>
      <c r="M267" s="8">
        <v>6.7128689070364773</v>
      </c>
      <c r="N267" s="8">
        <v>6.4748913770829555</v>
      </c>
      <c r="O267" s="8">
        <v>0.68789421591916866</v>
      </c>
      <c r="P267" s="8">
        <v>0.64907250984349996</v>
      </c>
      <c r="Q267" s="8">
        <v>16.221278019259376</v>
      </c>
      <c r="R267" s="8">
        <v>8.7825579912949561</v>
      </c>
      <c r="S267" s="8">
        <v>0.61699999999999999</v>
      </c>
      <c r="T267" s="8">
        <v>0.38500000000000001</v>
      </c>
      <c r="U267" s="8">
        <v>7.3999999999999996E-2</v>
      </c>
      <c r="V267" s="8">
        <v>1.9E-2</v>
      </c>
      <c r="W267" s="8">
        <v>0.54300000000000004</v>
      </c>
      <c r="X267" s="8">
        <v>0.36599999999999999</v>
      </c>
      <c r="Y267" s="8">
        <v>2.2648100000000002</v>
      </c>
      <c r="Z267" s="8">
        <v>1.87008</v>
      </c>
      <c r="AA267" s="9">
        <v>7.02</v>
      </c>
      <c r="AB267" s="10">
        <v>0.16900000000000001</v>
      </c>
      <c r="AC267" s="8">
        <v>1.5776699999999999</v>
      </c>
      <c r="AD267" s="8">
        <v>1.7902800000000001</v>
      </c>
      <c r="AE267" s="8">
        <v>6.5000000000000002E-2</v>
      </c>
      <c r="AF267" s="8">
        <v>0.04</v>
      </c>
      <c r="AG267" s="8">
        <v>1.5610630206238021</v>
      </c>
      <c r="AH267" s="8">
        <v>9.4923076923076923</v>
      </c>
      <c r="AI267" s="8">
        <v>5.9230769230769234</v>
      </c>
      <c r="AJ267" t="s">
        <v>1694</v>
      </c>
      <c r="AK267" t="s">
        <v>1694</v>
      </c>
      <c r="AL267" t="s">
        <v>1694</v>
      </c>
      <c r="AM267" t="s">
        <v>1694</v>
      </c>
      <c r="AN267" t="s">
        <v>1694</v>
      </c>
      <c r="AO267" t="s">
        <v>1694</v>
      </c>
      <c r="AP267" t="s">
        <v>1695</v>
      </c>
      <c r="AQ267" t="s">
        <v>1694</v>
      </c>
      <c r="AR267" t="s">
        <v>1694</v>
      </c>
      <c r="AS267" t="s">
        <v>1726</v>
      </c>
      <c r="AT267" t="s">
        <v>1694</v>
      </c>
      <c r="AU267" t="s">
        <v>1695</v>
      </c>
      <c r="AV267" t="s">
        <v>1694</v>
      </c>
      <c r="AW267" t="s">
        <v>1694</v>
      </c>
      <c r="AX267" t="s">
        <v>1695</v>
      </c>
      <c r="AY267" t="s">
        <v>1694</v>
      </c>
      <c r="AZ267" t="s">
        <v>1694</v>
      </c>
      <c r="BA267" t="s">
        <v>1726</v>
      </c>
      <c r="BB267" t="s">
        <v>1695</v>
      </c>
      <c r="BC267" t="s">
        <v>1694</v>
      </c>
      <c r="BD267" t="s">
        <v>1694</v>
      </c>
      <c r="BE267" t="s">
        <v>1695</v>
      </c>
      <c r="BF267" t="s">
        <v>1694</v>
      </c>
      <c r="BG267" t="s">
        <v>1697</v>
      </c>
      <c r="BH267" t="s">
        <v>1698</v>
      </c>
      <c r="BI267" t="b">
        <v>0</v>
      </c>
      <c r="BJ267">
        <f t="shared" si="4"/>
        <v>0</v>
      </c>
    </row>
    <row r="268" spans="1:62" x14ac:dyDescent="0.2">
      <c r="A268" s="5" t="s">
        <v>57</v>
      </c>
      <c r="B268" s="6">
        <v>38489</v>
      </c>
      <c r="C268" s="7">
        <v>33.612138999999999</v>
      </c>
      <c r="D268" s="7">
        <v>-112.502033</v>
      </c>
      <c r="E268" s="17">
        <v>462</v>
      </c>
      <c r="F268" t="s">
        <v>1694</v>
      </c>
      <c r="G268" t="s">
        <v>1694</v>
      </c>
      <c r="H268" t="s">
        <v>1694</v>
      </c>
      <c r="I268">
        <v>0</v>
      </c>
      <c r="J268" s="8">
        <v>6.1321961882558691</v>
      </c>
      <c r="K268" s="8">
        <v>65.285814747692228</v>
      </c>
      <c r="L268" s="8">
        <v>28.581989064051896</v>
      </c>
      <c r="M268" s="8">
        <v>1.2011239697294003</v>
      </c>
      <c r="N268" s="8">
        <v>0.2179463302440125</v>
      </c>
      <c r="O268" s="8">
        <v>4.8685558239698361</v>
      </c>
      <c r="P268" s="8">
        <v>1.0025531191224577</v>
      </c>
      <c r="Q268" s="8">
        <v>11.17830105851781</v>
      </c>
      <c r="R268" s="8">
        <v>4.6814301942086454</v>
      </c>
      <c r="S268" s="8">
        <v>0.38600000000000001</v>
      </c>
      <c r="T268" s="8">
        <v>0.37</v>
      </c>
      <c r="U268" s="8">
        <v>0.125</v>
      </c>
      <c r="V268" s="8">
        <v>8.6999999999999994E-2</v>
      </c>
      <c r="W268" s="8">
        <v>0.26100000000000001</v>
      </c>
      <c r="X268" s="8">
        <v>0.28300000000000003</v>
      </c>
      <c r="Y268" s="8">
        <v>2.2759601706969899</v>
      </c>
      <c r="Z268" s="8">
        <v>2.6642984014209503</v>
      </c>
      <c r="AA268" s="8">
        <v>6.84</v>
      </c>
      <c r="AB268">
        <v>0.13500000000000001</v>
      </c>
      <c r="AC268" s="8">
        <v>0.99573257467994725</v>
      </c>
      <c r="AD268" s="8">
        <v>1.9538188277087094</v>
      </c>
      <c r="AE268" s="8">
        <v>4.7E-2</v>
      </c>
      <c r="AF268" s="8">
        <v>4.2000000000000003E-2</v>
      </c>
      <c r="AG268" s="8">
        <v>1.4604175925199778</v>
      </c>
      <c r="AH268" s="8">
        <v>8.212765957446809</v>
      </c>
      <c r="AI268" s="8">
        <v>7.8723404255319149</v>
      </c>
      <c r="AJ268" t="s">
        <v>1694</v>
      </c>
      <c r="AK268" t="s">
        <v>1694</v>
      </c>
      <c r="AL268" t="s">
        <v>1694</v>
      </c>
      <c r="AM268" t="s">
        <v>1694</v>
      </c>
      <c r="AN268" t="s">
        <v>1694</v>
      </c>
      <c r="AO268" t="s">
        <v>1694</v>
      </c>
      <c r="AP268" t="s">
        <v>1695</v>
      </c>
      <c r="AQ268" t="s">
        <v>1694</v>
      </c>
      <c r="AR268" t="s">
        <v>1694</v>
      </c>
      <c r="AS268" t="s">
        <v>1726</v>
      </c>
      <c r="AT268" t="s">
        <v>1694</v>
      </c>
      <c r="AU268" t="s">
        <v>1695</v>
      </c>
      <c r="AV268" t="s">
        <v>1694</v>
      </c>
      <c r="AW268" t="s">
        <v>1694</v>
      </c>
      <c r="AX268" t="s">
        <v>1695</v>
      </c>
      <c r="AY268" t="s">
        <v>1694</v>
      </c>
      <c r="AZ268" t="s">
        <v>1694</v>
      </c>
      <c r="BA268" t="s">
        <v>1726</v>
      </c>
      <c r="BB268" t="s">
        <v>1695</v>
      </c>
      <c r="BC268" t="s">
        <v>1694</v>
      </c>
      <c r="BD268" t="s">
        <v>1694</v>
      </c>
      <c r="BE268" t="s">
        <v>1695</v>
      </c>
      <c r="BF268" t="s">
        <v>1694</v>
      </c>
      <c r="BG268" t="s">
        <v>1697</v>
      </c>
      <c r="BH268" t="s">
        <v>1698</v>
      </c>
      <c r="BI268" t="b">
        <v>0</v>
      </c>
      <c r="BJ268">
        <f t="shared" si="4"/>
        <v>0</v>
      </c>
    </row>
    <row r="269" spans="1:62" x14ac:dyDescent="0.2">
      <c r="A269" s="5" t="s">
        <v>57</v>
      </c>
      <c r="B269" s="6">
        <v>40294</v>
      </c>
      <c r="C269" s="7">
        <v>33.612138999999999</v>
      </c>
      <c r="D269" s="7">
        <v>-112.502033</v>
      </c>
      <c r="E269" s="17">
        <v>462</v>
      </c>
      <c r="F269" t="s">
        <v>1694</v>
      </c>
      <c r="G269" t="s">
        <v>1694</v>
      </c>
      <c r="H269" t="s">
        <v>1694</v>
      </c>
      <c r="I269">
        <v>0</v>
      </c>
      <c r="J269" s="8">
        <v>12.440151014354131</v>
      </c>
      <c r="K269" s="8">
        <v>65.922398021299443</v>
      </c>
      <c r="L269" s="8">
        <v>21.637450964346428</v>
      </c>
      <c r="M269" s="8">
        <v>3.2089627347016449</v>
      </c>
      <c r="N269" s="8">
        <v>0.1462714277816374</v>
      </c>
      <c r="O269" s="8">
        <v>0.30468077028949131</v>
      </c>
      <c r="P269" s="8">
        <v>0.57045856834838593</v>
      </c>
      <c r="Q269" s="8">
        <v>20.453198445096096</v>
      </c>
      <c r="R269" s="8">
        <v>8.1821087238562988</v>
      </c>
      <c r="S269" s="8">
        <v>0.214</v>
      </c>
      <c r="T269" s="8">
        <v>0.32300000000000001</v>
      </c>
      <c r="U269" s="8">
        <v>1.2E-2</v>
      </c>
      <c r="V269" s="8">
        <v>2.5999999999999999E-2</v>
      </c>
      <c r="W269" s="8">
        <v>0.20199999999999999</v>
      </c>
      <c r="X269" s="8">
        <v>0.29699999999999999</v>
      </c>
      <c r="Y269" s="8">
        <v>2.0866773675762564</v>
      </c>
      <c r="Z269" s="8">
        <v>2.2540983606557261</v>
      </c>
      <c r="AA269" s="8">
        <v>7.19</v>
      </c>
      <c r="AB269">
        <v>0.16500000000000001</v>
      </c>
      <c r="AC269" s="8">
        <v>1.123595505617982</v>
      </c>
      <c r="AD269" s="8">
        <v>2.2540983606557443</v>
      </c>
      <c r="AE269" s="8">
        <v>2.8000000000000001E-2</v>
      </c>
      <c r="AF269" s="8">
        <v>3.5000000000000003E-2</v>
      </c>
      <c r="AG269" s="8">
        <v>1.6889537981456502</v>
      </c>
      <c r="AH269" s="8">
        <v>7.6428571428571423</v>
      </c>
      <c r="AI269" s="8">
        <v>11.535714285714286</v>
      </c>
      <c r="AJ269" t="s">
        <v>1694</v>
      </c>
      <c r="AK269" t="s">
        <v>1694</v>
      </c>
      <c r="AL269" t="s">
        <v>1694</v>
      </c>
      <c r="AM269" t="s">
        <v>1694</v>
      </c>
      <c r="AN269" t="s">
        <v>1694</v>
      </c>
      <c r="AO269" t="s">
        <v>1694</v>
      </c>
      <c r="AP269" t="s">
        <v>1695</v>
      </c>
      <c r="AQ269" t="s">
        <v>1694</v>
      </c>
      <c r="AR269" t="s">
        <v>1694</v>
      </c>
      <c r="AS269" t="s">
        <v>1726</v>
      </c>
      <c r="AT269" t="s">
        <v>1694</v>
      </c>
      <c r="AU269" t="s">
        <v>1695</v>
      </c>
      <c r="AV269" t="s">
        <v>1694</v>
      </c>
      <c r="AW269" t="s">
        <v>1694</v>
      </c>
      <c r="AX269" t="s">
        <v>1695</v>
      </c>
      <c r="AY269" t="s">
        <v>1694</v>
      </c>
      <c r="AZ269" t="s">
        <v>1694</v>
      </c>
      <c r="BA269" t="s">
        <v>1726</v>
      </c>
      <c r="BB269" t="s">
        <v>1695</v>
      </c>
      <c r="BC269" t="s">
        <v>1694</v>
      </c>
      <c r="BD269" t="s">
        <v>1694</v>
      </c>
      <c r="BE269" t="s">
        <v>1695</v>
      </c>
      <c r="BF269" t="s">
        <v>1694</v>
      </c>
      <c r="BG269" t="s">
        <v>1697</v>
      </c>
      <c r="BH269" t="s">
        <v>1698</v>
      </c>
      <c r="BI269" t="b">
        <v>0</v>
      </c>
      <c r="BJ269">
        <f t="shared" si="4"/>
        <v>0</v>
      </c>
    </row>
    <row r="270" spans="1:62" x14ac:dyDescent="0.2">
      <c r="A270" s="5" t="s">
        <v>57</v>
      </c>
      <c r="B270" s="6">
        <v>42096</v>
      </c>
      <c r="C270" s="7">
        <v>33.612138999999999</v>
      </c>
      <c r="D270" s="7">
        <v>-112.502033</v>
      </c>
      <c r="E270" s="17">
        <v>462</v>
      </c>
      <c r="F270" t="s">
        <v>1694</v>
      </c>
      <c r="G270" t="s">
        <v>1694</v>
      </c>
      <c r="H270" t="s">
        <v>1694</v>
      </c>
      <c r="I270">
        <v>0</v>
      </c>
      <c r="J270">
        <v>6.0143887089875996</v>
      </c>
      <c r="K270">
        <v>88.777243151155702</v>
      </c>
      <c r="L270">
        <v>5.2083681398566899</v>
      </c>
      <c r="M270">
        <v>11.800105625669399</v>
      </c>
      <c r="N270">
        <v>5.2721014892154798</v>
      </c>
      <c r="O270">
        <v>5.6542172789665797</v>
      </c>
      <c r="P270">
        <v>4.7016773936610203</v>
      </c>
      <c r="Q270">
        <v>7.6881236719875199</v>
      </c>
      <c r="R270">
        <v>4.6302303352279397</v>
      </c>
      <c r="S270">
        <v>0.55200000000000005</v>
      </c>
      <c r="T270">
        <v>0.504</v>
      </c>
      <c r="U270">
        <v>4.0000000000000001E-3</v>
      </c>
      <c r="V270">
        <v>0.1</v>
      </c>
      <c r="W270">
        <v>0.54800000000000004</v>
      </c>
      <c r="X270">
        <v>0.40400000000000003</v>
      </c>
      <c r="Y270">
        <v>1.7287234042553199</v>
      </c>
      <c r="Z270">
        <v>1.7567567567567699</v>
      </c>
      <c r="AA270">
        <v>6.57</v>
      </c>
      <c r="AB270">
        <v>0.13300000000000001</v>
      </c>
      <c r="AC270">
        <v>3.7807183364839498</v>
      </c>
      <c r="AD270">
        <v>4.6511627906976596</v>
      </c>
      <c r="AE270">
        <v>5.3999999999999999E-2</v>
      </c>
      <c r="AF270">
        <v>0.111</v>
      </c>
      <c r="AG270">
        <v>1.4563963646761029</v>
      </c>
      <c r="AH270">
        <v>10.2222222222222</v>
      </c>
      <c r="AI270">
        <v>4.5405405405405403</v>
      </c>
      <c r="AJ270" t="s">
        <v>1694</v>
      </c>
      <c r="AK270" t="s">
        <v>1694</v>
      </c>
      <c r="AL270" t="s">
        <v>1694</v>
      </c>
      <c r="AM270" t="s">
        <v>1694</v>
      </c>
      <c r="AN270" t="s">
        <v>1694</v>
      </c>
      <c r="AO270" t="s">
        <v>1694</v>
      </c>
      <c r="AP270" t="s">
        <v>1697</v>
      </c>
      <c r="AQ270" t="s">
        <v>1697</v>
      </c>
      <c r="AR270" t="s">
        <v>1694</v>
      </c>
      <c r="AS270" t="s">
        <v>1726</v>
      </c>
      <c r="AT270" t="s">
        <v>1694</v>
      </c>
      <c r="AU270" t="s">
        <v>1695</v>
      </c>
      <c r="AV270" t="s">
        <v>1694</v>
      </c>
      <c r="AW270" t="s">
        <v>1694</v>
      </c>
      <c r="AX270" t="s">
        <v>1695</v>
      </c>
      <c r="AY270" t="s">
        <v>1694</v>
      </c>
      <c r="AZ270" t="s">
        <v>1694</v>
      </c>
      <c r="BA270" t="s">
        <v>1726</v>
      </c>
      <c r="BB270" t="s">
        <v>1695</v>
      </c>
      <c r="BC270" t="s">
        <v>1694</v>
      </c>
      <c r="BD270" t="s">
        <v>1694</v>
      </c>
      <c r="BE270" t="s">
        <v>1695</v>
      </c>
      <c r="BF270" t="s">
        <v>1694</v>
      </c>
      <c r="BG270" t="s">
        <v>1697</v>
      </c>
      <c r="BH270" t="s">
        <v>1698</v>
      </c>
      <c r="BI270" t="b">
        <v>0</v>
      </c>
      <c r="BJ270">
        <f t="shared" si="4"/>
        <v>0</v>
      </c>
    </row>
    <row r="271" spans="1:62" x14ac:dyDescent="0.2">
      <c r="A271" s="5" t="s">
        <v>57</v>
      </c>
      <c r="B271" s="6">
        <v>45009</v>
      </c>
      <c r="C271" s="7">
        <v>33.612138999999999</v>
      </c>
      <c r="D271" s="7">
        <v>-112.502033</v>
      </c>
      <c r="E271" s="17">
        <v>462</v>
      </c>
      <c r="F271" t="s">
        <v>1694</v>
      </c>
      <c r="G271" t="s">
        <v>1694</v>
      </c>
      <c r="H271" t="s">
        <v>1694</v>
      </c>
      <c r="I271">
        <v>0</v>
      </c>
      <c r="J271" s="6" t="s">
        <v>1697</v>
      </c>
      <c r="K271" s="6" t="s">
        <v>1697</v>
      </c>
      <c r="L271" s="6" t="s">
        <v>1697</v>
      </c>
      <c r="M271" s="6" t="s">
        <v>1697</v>
      </c>
      <c r="N271" s="6" t="s">
        <v>1697</v>
      </c>
      <c r="O271" s="6" t="s">
        <v>1697</v>
      </c>
      <c r="P271" s="6" t="s">
        <v>1697</v>
      </c>
      <c r="Q271" s="6" t="s">
        <v>1697</v>
      </c>
      <c r="R271" s="6" t="s">
        <v>1697</v>
      </c>
      <c r="S271" s="6" t="s">
        <v>1697</v>
      </c>
      <c r="T271" s="6" t="s">
        <v>1697</v>
      </c>
      <c r="U271" s="6" t="s">
        <v>1697</v>
      </c>
      <c r="V271" s="6" t="s">
        <v>1697</v>
      </c>
      <c r="W271" s="6" t="s">
        <v>1697</v>
      </c>
      <c r="X271" s="6" t="s">
        <v>1697</v>
      </c>
      <c r="Y271" s="6" t="s">
        <v>1697</v>
      </c>
      <c r="Z271" s="6" t="s">
        <v>1697</v>
      </c>
      <c r="AA271" s="6" t="s">
        <v>1697</v>
      </c>
      <c r="AB271" s="6" t="s">
        <v>1697</v>
      </c>
      <c r="AC271" s="6" t="s">
        <v>1697</v>
      </c>
      <c r="AD271" s="6" t="s">
        <v>1697</v>
      </c>
      <c r="AE271" s="6" t="s">
        <v>1697</v>
      </c>
      <c r="AF271" s="6" t="s">
        <v>1697</v>
      </c>
      <c r="AG271" s="6" t="s">
        <v>1697</v>
      </c>
      <c r="AH271" s="6" t="s">
        <v>1697</v>
      </c>
      <c r="AI271" s="6" t="s">
        <v>1697</v>
      </c>
      <c r="AJ271" t="s">
        <v>1694</v>
      </c>
      <c r="AK271" t="s">
        <v>1694</v>
      </c>
      <c r="AL271" t="s">
        <v>1694</v>
      </c>
      <c r="AM271" t="s">
        <v>1694</v>
      </c>
      <c r="AN271" t="s">
        <v>1694</v>
      </c>
      <c r="AO271" t="s">
        <v>1694</v>
      </c>
      <c r="AP271" t="s">
        <v>1697</v>
      </c>
      <c r="AQ271" t="s">
        <v>1697</v>
      </c>
      <c r="AR271" t="s">
        <v>1694</v>
      </c>
      <c r="AS271" t="s">
        <v>1726</v>
      </c>
      <c r="AT271" t="s">
        <v>1694</v>
      </c>
      <c r="AU271" t="s">
        <v>1695</v>
      </c>
      <c r="AV271" t="s">
        <v>1694</v>
      </c>
      <c r="AW271" t="s">
        <v>1694</v>
      </c>
      <c r="AX271" t="s">
        <v>1695</v>
      </c>
      <c r="AY271" t="s">
        <v>1694</v>
      </c>
      <c r="AZ271" t="s">
        <v>1694</v>
      </c>
      <c r="BA271" t="s">
        <v>1726</v>
      </c>
      <c r="BB271" t="s">
        <v>1695</v>
      </c>
      <c r="BC271" t="s">
        <v>1694</v>
      </c>
      <c r="BD271" t="s">
        <v>1694</v>
      </c>
      <c r="BE271" t="s">
        <v>1695</v>
      </c>
      <c r="BF271" t="s">
        <v>1694</v>
      </c>
      <c r="BG271" s="6" t="s">
        <v>1697</v>
      </c>
      <c r="BH271" s="6" t="s">
        <v>1697</v>
      </c>
      <c r="BI271" t="b">
        <v>1</v>
      </c>
      <c r="BJ271">
        <f t="shared" si="4"/>
        <v>1</v>
      </c>
    </row>
    <row r="272" spans="1:62" x14ac:dyDescent="0.2">
      <c r="A272" s="5" t="s">
        <v>58</v>
      </c>
      <c r="B272" s="6">
        <v>38461</v>
      </c>
      <c r="C272" s="7">
        <v>33.523383000000003</v>
      </c>
      <c r="D272" s="7">
        <v>-112.53057800000001</v>
      </c>
      <c r="E272" s="18">
        <v>566</v>
      </c>
      <c r="F272" t="s">
        <v>1694</v>
      </c>
      <c r="G272" t="s">
        <v>1694</v>
      </c>
      <c r="H272" t="s">
        <v>1694</v>
      </c>
      <c r="I272">
        <v>0</v>
      </c>
      <c r="J272" s="8">
        <v>9.7396058323885626</v>
      </c>
      <c r="K272" s="8">
        <v>77.631970459996467</v>
      </c>
      <c r="L272" s="8">
        <v>12.628423707614971</v>
      </c>
      <c r="M272" s="8">
        <v>1.5953026783995514</v>
      </c>
      <c r="N272" s="8">
        <v>2.6417005310473525</v>
      </c>
      <c r="O272" s="8">
        <v>0.39462750465673108</v>
      </c>
      <c r="P272" s="8">
        <v>1.2356341193608582</v>
      </c>
      <c r="Q272" s="8">
        <v>2.8487321512393966</v>
      </c>
      <c r="R272" s="8">
        <v>3.0878321197821048</v>
      </c>
      <c r="S272" s="8">
        <v>0.92400000000000004</v>
      </c>
      <c r="T272" s="8">
        <v>0.41499999999999998</v>
      </c>
      <c r="U272" s="8">
        <v>3.1E-2</v>
      </c>
      <c r="V272" s="8">
        <v>2.9000000000000001E-2</v>
      </c>
      <c r="W272" s="8">
        <v>0.89300000000000002</v>
      </c>
      <c r="X272" s="8">
        <v>0.38599999999999995</v>
      </c>
      <c r="Y272" s="8">
        <v>3.7037037037037015</v>
      </c>
      <c r="Z272" s="8">
        <v>2.7450980392156743</v>
      </c>
      <c r="AA272" s="8">
        <v>7.53</v>
      </c>
      <c r="AB272">
        <v>0.108</v>
      </c>
      <c r="AC272" s="8">
        <v>0.77519379844962655</v>
      </c>
      <c r="AD272" s="8">
        <v>2.4836601307189476</v>
      </c>
      <c r="AE272" s="8">
        <v>8.1000000000000003E-2</v>
      </c>
      <c r="AF272" s="8">
        <v>3.5000000000000003E-2</v>
      </c>
      <c r="AG272" s="8">
        <v>1.6622521968056121</v>
      </c>
      <c r="AH272" s="8">
        <v>11.407407407407408</v>
      </c>
      <c r="AI272" s="8">
        <v>5.1234567901234565</v>
      </c>
      <c r="AJ272" t="s">
        <v>1694</v>
      </c>
      <c r="AK272" t="s">
        <v>1694</v>
      </c>
      <c r="AL272" t="s">
        <v>1694</v>
      </c>
      <c r="AM272" t="s">
        <v>1694</v>
      </c>
      <c r="AN272" t="s">
        <v>1694</v>
      </c>
      <c r="AO272" t="s">
        <v>1694</v>
      </c>
      <c r="AP272" t="s">
        <v>1695</v>
      </c>
      <c r="AQ272" t="s">
        <v>1694</v>
      </c>
      <c r="AR272" t="s">
        <v>1694</v>
      </c>
      <c r="AS272" t="s">
        <v>1694</v>
      </c>
      <c r="AT272" t="s">
        <v>1694</v>
      </c>
      <c r="AU272" t="s">
        <v>1695</v>
      </c>
      <c r="AV272" t="s">
        <v>1694</v>
      </c>
      <c r="AW272" t="s">
        <v>1694</v>
      </c>
      <c r="AX272" t="s">
        <v>1695</v>
      </c>
      <c r="AY272" t="s">
        <v>1694</v>
      </c>
      <c r="AZ272" t="s">
        <v>1694</v>
      </c>
      <c r="BA272" t="s">
        <v>1694</v>
      </c>
      <c r="BB272" t="s">
        <v>1695</v>
      </c>
      <c r="BC272" t="s">
        <v>1694</v>
      </c>
      <c r="BD272" t="s">
        <v>1694</v>
      </c>
      <c r="BE272" t="s">
        <v>1695</v>
      </c>
      <c r="BF272" t="s">
        <v>1694</v>
      </c>
      <c r="BG272" t="s">
        <v>1697</v>
      </c>
      <c r="BH272" t="s">
        <v>1698</v>
      </c>
      <c r="BI272" t="b">
        <v>0</v>
      </c>
      <c r="BJ272">
        <f t="shared" si="4"/>
        <v>0</v>
      </c>
    </row>
    <row r="273" spans="1:62" x14ac:dyDescent="0.2">
      <c r="A273" s="5" t="s">
        <v>58</v>
      </c>
      <c r="B273" s="6">
        <v>40333</v>
      </c>
      <c r="C273" s="7">
        <v>33.523383000000003</v>
      </c>
      <c r="D273" s="7">
        <v>-112.53057800000001</v>
      </c>
      <c r="E273" s="18">
        <v>566</v>
      </c>
      <c r="F273" t="s">
        <v>1694</v>
      </c>
      <c r="G273" t="s">
        <v>1694</v>
      </c>
      <c r="H273" t="s">
        <v>1694</v>
      </c>
      <c r="I273">
        <v>0</v>
      </c>
      <c r="J273" s="8">
        <v>12.435818639061081</v>
      </c>
      <c r="K273" s="8">
        <v>74.405418450475224</v>
      </c>
      <c r="L273" s="8">
        <v>13.158762910463693</v>
      </c>
      <c r="M273" s="8">
        <v>2.0095549738638017</v>
      </c>
      <c r="N273" s="8">
        <v>1.3145733696278437</v>
      </c>
      <c r="O273" s="8">
        <v>0.5950166680424851</v>
      </c>
      <c r="P273" s="8">
        <v>0.42175895608893316</v>
      </c>
      <c r="Q273" s="8">
        <v>15.278491500604421</v>
      </c>
      <c r="R273" s="8">
        <v>8.8049501334447413</v>
      </c>
      <c r="S273" s="8">
        <v>0.79600000000000004</v>
      </c>
      <c r="T273" s="8">
        <v>0.55200000000000005</v>
      </c>
      <c r="U273" s="8">
        <v>2.1999999999999999E-2</v>
      </c>
      <c r="V273" s="8">
        <v>2.1999999999999999E-2</v>
      </c>
      <c r="W273" s="8">
        <v>0.77400000000000002</v>
      </c>
      <c r="X273" s="8">
        <v>0.53</v>
      </c>
      <c r="Y273" s="8">
        <v>3.5369774919614247</v>
      </c>
      <c r="Z273" s="8">
        <v>3.0092592592592569</v>
      </c>
      <c r="AA273" s="8">
        <v>7.85</v>
      </c>
      <c r="AB273">
        <v>0.16200000000000001</v>
      </c>
      <c r="AC273" s="8">
        <v>0.64308681672024348</v>
      </c>
      <c r="AD273" s="8">
        <v>0.92592592592592671</v>
      </c>
      <c r="AE273" s="8">
        <v>6.4000000000000001E-2</v>
      </c>
      <c r="AF273" s="8">
        <v>4.8000000000000001E-2</v>
      </c>
      <c r="AG273" s="8">
        <v>1.6061792347864989</v>
      </c>
      <c r="AH273" s="8">
        <v>12.4375</v>
      </c>
      <c r="AI273" s="8">
        <v>8.625</v>
      </c>
      <c r="AJ273" t="s">
        <v>1694</v>
      </c>
      <c r="AK273" t="s">
        <v>1694</v>
      </c>
      <c r="AL273" t="s">
        <v>1694</v>
      </c>
      <c r="AM273" t="s">
        <v>1694</v>
      </c>
      <c r="AN273" t="s">
        <v>1694</v>
      </c>
      <c r="AO273" t="s">
        <v>1694</v>
      </c>
      <c r="AP273" t="s">
        <v>1695</v>
      </c>
      <c r="AQ273" t="s">
        <v>1694</v>
      </c>
      <c r="AR273" t="s">
        <v>1694</v>
      </c>
      <c r="AS273" t="s">
        <v>1694</v>
      </c>
      <c r="AT273" t="s">
        <v>1694</v>
      </c>
      <c r="AU273" t="s">
        <v>1695</v>
      </c>
      <c r="AV273" t="s">
        <v>1694</v>
      </c>
      <c r="AW273" t="s">
        <v>1694</v>
      </c>
      <c r="AX273" t="s">
        <v>1695</v>
      </c>
      <c r="AY273" t="s">
        <v>1694</v>
      </c>
      <c r="AZ273" t="s">
        <v>1694</v>
      </c>
      <c r="BA273" t="s">
        <v>1694</v>
      </c>
      <c r="BB273" t="s">
        <v>1695</v>
      </c>
      <c r="BC273" t="s">
        <v>1694</v>
      </c>
      <c r="BD273" t="s">
        <v>1694</v>
      </c>
      <c r="BE273" t="s">
        <v>1695</v>
      </c>
      <c r="BF273" t="s">
        <v>1694</v>
      </c>
      <c r="BG273" t="s">
        <v>1697</v>
      </c>
      <c r="BH273" t="s">
        <v>1698</v>
      </c>
      <c r="BI273" t="b">
        <v>0</v>
      </c>
      <c r="BJ273">
        <f t="shared" si="4"/>
        <v>0</v>
      </c>
    </row>
    <row r="274" spans="1:62" x14ac:dyDescent="0.2">
      <c r="A274" s="5" t="s">
        <v>58</v>
      </c>
      <c r="B274" s="6">
        <v>42114</v>
      </c>
      <c r="C274" s="7">
        <v>33.523383000000003</v>
      </c>
      <c r="D274" s="7">
        <v>-112.53057800000001</v>
      </c>
      <c r="E274" s="18">
        <v>566</v>
      </c>
      <c r="F274" t="s">
        <v>1694</v>
      </c>
      <c r="G274" t="s">
        <v>1694</v>
      </c>
      <c r="H274" t="s">
        <v>1694</v>
      </c>
      <c r="I274">
        <v>0</v>
      </c>
      <c r="J274">
        <v>6.0358064968927696</v>
      </c>
      <c r="K274">
        <v>88.328439426291794</v>
      </c>
      <c r="L274">
        <v>5.6357540768154299</v>
      </c>
      <c r="M274">
        <v>0.924443965395914</v>
      </c>
      <c r="N274">
        <v>0.78101942245872302</v>
      </c>
      <c r="O274">
        <v>2.4351206893355801</v>
      </c>
      <c r="P274">
        <v>1.7730459684335</v>
      </c>
      <c r="Q274">
        <v>7.5869821461532299</v>
      </c>
      <c r="R274">
        <v>2.13082655610273</v>
      </c>
      <c r="S274">
        <v>0.55900000000000005</v>
      </c>
      <c r="T274">
        <v>0.26100000000000001</v>
      </c>
      <c r="U274">
        <v>9.8000000000000004E-2</v>
      </c>
      <c r="V274">
        <v>0</v>
      </c>
      <c r="W274">
        <v>0.46100000000000002</v>
      </c>
      <c r="X274">
        <v>0.26100000000000001</v>
      </c>
      <c r="Y274">
        <v>1.73913043478262</v>
      </c>
      <c r="Z274">
        <v>1.4598540145985499</v>
      </c>
      <c r="AA274">
        <v>7.82</v>
      </c>
      <c r="AB274">
        <v>0.219</v>
      </c>
      <c r="AC274">
        <v>1.72711571675302</v>
      </c>
      <c r="AD274">
        <v>1.84563758389261</v>
      </c>
      <c r="AE274">
        <v>0.05</v>
      </c>
      <c r="AF274">
        <v>3.4000000000000002E-2</v>
      </c>
      <c r="AG274">
        <v>1.2328974866324354</v>
      </c>
      <c r="AH274">
        <v>11.18</v>
      </c>
      <c r="AI274">
        <v>7.6764705882352899</v>
      </c>
      <c r="AJ274" t="s">
        <v>1694</v>
      </c>
      <c r="AK274" t="s">
        <v>1694</v>
      </c>
      <c r="AL274" t="s">
        <v>1694</v>
      </c>
      <c r="AM274" t="s">
        <v>1694</v>
      </c>
      <c r="AN274" t="s">
        <v>1694</v>
      </c>
      <c r="AO274" t="s">
        <v>1694</v>
      </c>
      <c r="AP274" t="s">
        <v>1697</v>
      </c>
      <c r="AQ274" t="s">
        <v>1697</v>
      </c>
      <c r="AR274" t="s">
        <v>1694</v>
      </c>
      <c r="AS274" t="s">
        <v>1694</v>
      </c>
      <c r="AT274" t="s">
        <v>1694</v>
      </c>
      <c r="AU274" t="s">
        <v>1697</v>
      </c>
      <c r="AV274" t="s">
        <v>1697</v>
      </c>
      <c r="AW274" t="s">
        <v>1694</v>
      </c>
      <c r="AX274" t="s">
        <v>1695</v>
      </c>
      <c r="AY274" t="s">
        <v>1694</v>
      </c>
      <c r="AZ274" t="s">
        <v>1694</v>
      </c>
      <c r="BA274" t="s">
        <v>1694</v>
      </c>
      <c r="BB274" t="s">
        <v>1695</v>
      </c>
      <c r="BC274" t="s">
        <v>1694</v>
      </c>
      <c r="BD274" t="s">
        <v>1694</v>
      </c>
      <c r="BE274" t="s">
        <v>1695</v>
      </c>
      <c r="BF274" t="s">
        <v>1694</v>
      </c>
      <c r="BG274" t="s">
        <v>1697</v>
      </c>
      <c r="BH274" t="s">
        <v>1698</v>
      </c>
      <c r="BI274" t="b">
        <v>0</v>
      </c>
      <c r="BJ274">
        <f t="shared" si="4"/>
        <v>0</v>
      </c>
    </row>
    <row r="275" spans="1:62" x14ac:dyDescent="0.2">
      <c r="A275" s="5" t="s">
        <v>59</v>
      </c>
      <c r="B275" s="6">
        <v>36580</v>
      </c>
      <c r="C275" s="7">
        <v>33.407007999999998</v>
      </c>
      <c r="D275" s="7">
        <v>-112.511219</v>
      </c>
      <c r="E275" s="17">
        <v>285</v>
      </c>
      <c r="F275" t="s">
        <v>1703</v>
      </c>
      <c r="G275" t="s">
        <v>1738</v>
      </c>
      <c r="H275" t="s">
        <v>1725</v>
      </c>
      <c r="I275">
        <v>0</v>
      </c>
      <c r="J275" s="8">
        <v>23.641441717742726</v>
      </c>
      <c r="K275" s="8">
        <v>46.039869740110632</v>
      </c>
      <c r="L275" s="8">
        <v>30.318688542146646</v>
      </c>
      <c r="M275" s="8">
        <v>46.665921523949919</v>
      </c>
      <c r="N275" s="8">
        <v>11.80149108954925</v>
      </c>
      <c r="O275" s="8">
        <v>69.097072360781794</v>
      </c>
      <c r="P275" s="8">
        <v>290.67971133482354</v>
      </c>
      <c r="Q275" s="8">
        <v>76.106055596687554</v>
      </c>
      <c r="R275" s="8">
        <v>40.525312586301744</v>
      </c>
      <c r="S275" s="8">
        <v>3.2120000000000002</v>
      </c>
      <c r="T275" s="8">
        <v>2.5009999999999999</v>
      </c>
      <c r="U275" s="8">
        <v>2.976</v>
      </c>
      <c r="V275" s="8">
        <v>2.3340000000000001</v>
      </c>
      <c r="W275" s="8">
        <v>0.23599999999999999</v>
      </c>
      <c r="X275" s="8">
        <v>0.16700000000000001</v>
      </c>
      <c r="Y275" s="8">
        <v>3.8684699999999999</v>
      </c>
      <c r="Z275" s="8">
        <v>4.9129399999999999</v>
      </c>
      <c r="AA275" s="9">
        <v>7.7</v>
      </c>
      <c r="AB275" s="10">
        <v>3.91</v>
      </c>
      <c r="AC275" s="8">
        <v>10.61286</v>
      </c>
      <c r="AD275" s="8">
        <v>12.09395</v>
      </c>
      <c r="AE275" s="8">
        <v>0.10299999999999999</v>
      </c>
      <c r="AF275" s="8">
        <v>8.7999999999999995E-2</v>
      </c>
      <c r="AG275" s="8">
        <v>1.3458614956627883</v>
      </c>
      <c r="AH275" s="8">
        <v>31.184466019417478</v>
      </c>
      <c r="AI275" s="8">
        <v>24.281553398058254</v>
      </c>
      <c r="AJ275" t="s">
        <v>1694</v>
      </c>
      <c r="AK275" t="s">
        <v>1694</v>
      </c>
      <c r="AL275" t="s">
        <v>1702</v>
      </c>
      <c r="AM275" t="s">
        <v>1703</v>
      </c>
      <c r="AN275" t="s">
        <v>1702</v>
      </c>
      <c r="AO275" t="s">
        <v>1703</v>
      </c>
      <c r="AP275" t="s">
        <v>1702</v>
      </c>
      <c r="AQ275" t="s">
        <v>1697</v>
      </c>
      <c r="AR275" t="s">
        <v>1703</v>
      </c>
      <c r="AS275" t="s">
        <v>1702</v>
      </c>
      <c r="AT275" t="s">
        <v>1703</v>
      </c>
      <c r="AU275" t="s">
        <v>1704</v>
      </c>
      <c r="AV275" t="s">
        <v>1725</v>
      </c>
      <c r="AW275" t="s">
        <v>1703</v>
      </c>
      <c r="AX275" t="s">
        <v>1704</v>
      </c>
      <c r="AY275" t="s">
        <v>1725</v>
      </c>
      <c r="AZ275" t="s">
        <v>1703</v>
      </c>
      <c r="BA275" t="s">
        <v>1702</v>
      </c>
      <c r="BB275" t="s">
        <v>1704</v>
      </c>
      <c r="BC275" t="s">
        <v>1725</v>
      </c>
      <c r="BD275" t="s">
        <v>1703</v>
      </c>
      <c r="BE275" t="s">
        <v>1704</v>
      </c>
      <c r="BF275" t="s">
        <v>1725</v>
      </c>
      <c r="BG275">
        <v>88</v>
      </c>
      <c r="BH275" s="12" t="s">
        <v>1713</v>
      </c>
      <c r="BI275" t="b">
        <v>0</v>
      </c>
      <c r="BJ275">
        <f t="shared" si="4"/>
        <v>0</v>
      </c>
    </row>
    <row r="276" spans="1:62" x14ac:dyDescent="0.2">
      <c r="A276" s="5" t="s">
        <v>59</v>
      </c>
      <c r="B276" s="6">
        <v>38471</v>
      </c>
      <c r="C276" s="7">
        <v>33.407007999999998</v>
      </c>
      <c r="D276" s="7">
        <v>-112.511219</v>
      </c>
      <c r="E276" s="17">
        <v>285</v>
      </c>
      <c r="F276" t="s">
        <v>1703</v>
      </c>
      <c r="G276" t="s">
        <v>1738</v>
      </c>
      <c r="H276" t="s">
        <v>1725</v>
      </c>
      <c r="I276">
        <v>0</v>
      </c>
      <c r="J276" s="8">
        <v>22.248453477794481</v>
      </c>
      <c r="K276" s="8">
        <v>46.846287534486535</v>
      </c>
      <c r="L276" s="8">
        <v>30.90525898771898</v>
      </c>
      <c r="M276" s="8">
        <v>11.092698674348537</v>
      </c>
      <c r="N276" s="8">
        <v>7.7871364420837281</v>
      </c>
      <c r="O276" s="8">
        <v>412.5323886081253</v>
      </c>
      <c r="P276" s="8">
        <v>572.92155299136402</v>
      </c>
      <c r="Q276" s="8">
        <v>30.661777070779284</v>
      </c>
      <c r="R276" s="8">
        <v>39.318137633431462</v>
      </c>
      <c r="S276" s="8">
        <v>2.887</v>
      </c>
      <c r="T276" s="8">
        <v>3.141</v>
      </c>
      <c r="U276" s="8">
        <v>0.77800000000000002</v>
      </c>
      <c r="V276" s="8">
        <v>2.198</v>
      </c>
      <c r="W276" s="8">
        <v>2.109</v>
      </c>
      <c r="X276" s="8">
        <v>0.94300000000000006</v>
      </c>
      <c r="Y276" s="8">
        <v>5.3140096618357431</v>
      </c>
      <c r="Z276" s="8">
        <v>5.7108140947752197</v>
      </c>
      <c r="AA276" s="8">
        <v>7.62</v>
      </c>
      <c r="AB276">
        <v>4.2300000000000004</v>
      </c>
      <c r="AC276" s="8">
        <v>9.4202898550724772</v>
      </c>
      <c r="AD276" s="8">
        <v>14.216281895504251</v>
      </c>
      <c r="AE276" s="8">
        <v>0.122</v>
      </c>
      <c r="AF276" s="8">
        <v>0.123</v>
      </c>
      <c r="AG276" s="8">
        <v>1.3114312526409762</v>
      </c>
      <c r="AH276" s="8">
        <v>23.66393442622951</v>
      </c>
      <c r="AI276" s="8">
        <v>25.745901639344265</v>
      </c>
      <c r="AJ276" t="s">
        <v>1694</v>
      </c>
      <c r="AK276" t="s">
        <v>1694</v>
      </c>
      <c r="AL276" t="s">
        <v>1702</v>
      </c>
      <c r="AM276" t="s">
        <v>1703</v>
      </c>
      <c r="AN276" t="s">
        <v>1702</v>
      </c>
      <c r="AO276" t="s">
        <v>1703</v>
      </c>
      <c r="AP276" t="s">
        <v>1702</v>
      </c>
      <c r="AQ276" t="s">
        <v>1697</v>
      </c>
      <c r="AR276" t="s">
        <v>1703</v>
      </c>
      <c r="AS276" t="s">
        <v>1702</v>
      </c>
      <c r="AT276" t="s">
        <v>1703</v>
      </c>
      <c r="AU276" t="s">
        <v>1704</v>
      </c>
      <c r="AV276" t="s">
        <v>1725</v>
      </c>
      <c r="AW276" t="s">
        <v>1703</v>
      </c>
      <c r="AX276" t="s">
        <v>1704</v>
      </c>
      <c r="AY276" t="s">
        <v>1725</v>
      </c>
      <c r="AZ276" t="s">
        <v>1703</v>
      </c>
      <c r="BA276" t="s">
        <v>1702</v>
      </c>
      <c r="BB276" t="s">
        <v>1704</v>
      </c>
      <c r="BC276" t="s">
        <v>1725</v>
      </c>
      <c r="BD276" t="s">
        <v>1703</v>
      </c>
      <c r="BE276" t="s">
        <v>1704</v>
      </c>
      <c r="BF276" t="s">
        <v>1725</v>
      </c>
      <c r="BG276">
        <v>93</v>
      </c>
      <c r="BH276" s="12" t="s">
        <v>1713</v>
      </c>
      <c r="BI276" t="b">
        <v>0</v>
      </c>
      <c r="BJ276">
        <f t="shared" si="4"/>
        <v>0</v>
      </c>
    </row>
    <row r="277" spans="1:62" x14ac:dyDescent="0.2">
      <c r="A277" s="5" t="s">
        <v>59</v>
      </c>
      <c r="B277" s="6">
        <v>40252</v>
      </c>
      <c r="C277" s="7">
        <v>33.407007999999998</v>
      </c>
      <c r="D277" s="7">
        <v>-112.511219</v>
      </c>
      <c r="E277" s="17">
        <v>285</v>
      </c>
      <c r="F277" t="s">
        <v>1703</v>
      </c>
      <c r="G277" t="s">
        <v>1738</v>
      </c>
      <c r="H277" t="s">
        <v>1725</v>
      </c>
      <c r="I277">
        <v>0</v>
      </c>
      <c r="J277" s="8">
        <v>30.672555872720142</v>
      </c>
      <c r="K277" s="8">
        <v>23.835559141415402</v>
      </c>
      <c r="L277" s="8">
        <v>45.491884985864459</v>
      </c>
      <c r="M277" s="8">
        <v>0.72804146625849187</v>
      </c>
      <c r="N277" s="8">
        <v>0.20746481014642459</v>
      </c>
      <c r="O277" s="8">
        <v>73.467726087282713</v>
      </c>
      <c r="P277" s="8">
        <v>76.88401787779263</v>
      </c>
      <c r="Q277" s="8">
        <v>89.492743269468022</v>
      </c>
      <c r="R277" s="8">
        <v>75.248364815162191</v>
      </c>
      <c r="S277" s="8">
        <v>3.0739999999999998</v>
      </c>
      <c r="T277" s="8">
        <v>2.8929999999999998</v>
      </c>
      <c r="U277" s="8">
        <v>1.8169999999999999</v>
      </c>
      <c r="V277" s="8">
        <v>1.9239999999999999</v>
      </c>
      <c r="W277" s="8">
        <v>1.2569999999999999</v>
      </c>
      <c r="X277" s="8">
        <v>0.96899999999999986</v>
      </c>
      <c r="Y277" s="8">
        <v>5.0480769230769216</v>
      </c>
      <c r="Z277" s="8">
        <v>4.5133991537376623</v>
      </c>
      <c r="AA277" s="8">
        <v>7.77</v>
      </c>
      <c r="AB277">
        <v>3.14</v>
      </c>
      <c r="AC277" s="8">
        <v>17.548076923076934</v>
      </c>
      <c r="AD277" s="8">
        <v>17.912552891396352</v>
      </c>
      <c r="AE277" s="8">
        <v>9.0999999999999998E-2</v>
      </c>
      <c r="AF277" s="8">
        <v>8.6999999999999994E-2</v>
      </c>
      <c r="AG277" s="8">
        <v>1.5698262862667636</v>
      </c>
      <c r="AH277" s="8">
        <v>33.780219780219781</v>
      </c>
      <c r="AI277" s="8">
        <v>31.791208791208788</v>
      </c>
      <c r="AJ277" t="s">
        <v>1694</v>
      </c>
      <c r="AK277" t="s">
        <v>1694</v>
      </c>
      <c r="AL277" t="s">
        <v>1702</v>
      </c>
      <c r="AM277" t="s">
        <v>1703</v>
      </c>
      <c r="AN277" t="s">
        <v>1702</v>
      </c>
      <c r="AO277" t="s">
        <v>1703</v>
      </c>
      <c r="AP277" t="s">
        <v>1702</v>
      </c>
      <c r="AQ277" t="s">
        <v>1697</v>
      </c>
      <c r="AR277" t="s">
        <v>1703</v>
      </c>
      <c r="AS277" t="s">
        <v>1702</v>
      </c>
      <c r="AT277" t="s">
        <v>1703</v>
      </c>
      <c r="AU277" t="s">
        <v>1704</v>
      </c>
      <c r="AV277" t="s">
        <v>1725</v>
      </c>
      <c r="AW277" t="s">
        <v>1703</v>
      </c>
      <c r="AX277" t="s">
        <v>1704</v>
      </c>
      <c r="AY277" t="s">
        <v>1725</v>
      </c>
      <c r="AZ277" t="s">
        <v>1703</v>
      </c>
      <c r="BA277" t="s">
        <v>1702</v>
      </c>
      <c r="BB277" t="s">
        <v>1704</v>
      </c>
      <c r="BC277" t="s">
        <v>1725</v>
      </c>
      <c r="BD277" t="s">
        <v>1703</v>
      </c>
      <c r="BE277" t="s">
        <v>1704</v>
      </c>
      <c r="BF277" t="s">
        <v>1725</v>
      </c>
      <c r="BG277">
        <v>98</v>
      </c>
      <c r="BH277" s="12" t="s">
        <v>1713</v>
      </c>
      <c r="BI277" t="b">
        <v>0</v>
      </c>
      <c r="BJ277">
        <f t="shared" si="4"/>
        <v>0</v>
      </c>
    </row>
    <row r="278" spans="1:62" x14ac:dyDescent="0.2">
      <c r="A278" s="5" t="s">
        <v>59</v>
      </c>
      <c r="B278" s="6">
        <v>42179</v>
      </c>
      <c r="C278" s="7">
        <v>33.407007999999998</v>
      </c>
      <c r="D278" s="7">
        <v>-112.511219</v>
      </c>
      <c r="E278" s="17">
        <v>285</v>
      </c>
      <c r="F278" t="s">
        <v>1703</v>
      </c>
      <c r="G278" t="s">
        <v>1730</v>
      </c>
      <c r="H278" t="s">
        <v>1705</v>
      </c>
      <c r="I278">
        <v>0</v>
      </c>
      <c r="J278">
        <v>15.5085405544376</v>
      </c>
      <c r="K278">
        <v>51.878733718880497</v>
      </c>
      <c r="L278">
        <v>32.612725726681902</v>
      </c>
      <c r="M278">
        <v>30.568586057239401</v>
      </c>
      <c r="N278">
        <v>10.004196999426499</v>
      </c>
      <c r="O278">
        <v>2055.17612475225</v>
      </c>
      <c r="P278">
        <v>1387.40637441371</v>
      </c>
      <c r="Q278">
        <v>28.141863215407199</v>
      </c>
      <c r="R278">
        <v>8.7839350147105399</v>
      </c>
      <c r="S278">
        <v>3.282</v>
      </c>
      <c r="T278">
        <v>2.9449999999999998</v>
      </c>
      <c r="U278">
        <v>1.958</v>
      </c>
      <c r="V278">
        <v>1.8720000000000001</v>
      </c>
      <c r="W278">
        <v>1.3240000000000001</v>
      </c>
      <c r="X278">
        <v>1.073</v>
      </c>
      <c r="Y278">
        <v>4.2908224076281396</v>
      </c>
      <c r="Z278">
        <v>3.7851037851037801</v>
      </c>
      <c r="AA278">
        <v>7.97</v>
      </c>
      <c r="AB278">
        <v>5.0199999999999996</v>
      </c>
      <c r="AC278">
        <v>6.6343042071197402</v>
      </c>
      <c r="AD278">
        <v>10.200668896321099</v>
      </c>
      <c r="AE278">
        <v>0.17599999999999999</v>
      </c>
      <c r="AF278">
        <v>0.13400000000000001</v>
      </c>
      <c r="AG278">
        <v>1.3732388788570939</v>
      </c>
      <c r="AH278">
        <v>18.647727272727298</v>
      </c>
      <c r="AI278">
        <v>21.977611940298502</v>
      </c>
      <c r="AJ278" t="s">
        <v>1694</v>
      </c>
      <c r="AK278" t="s">
        <v>1694</v>
      </c>
      <c r="AL278" t="s">
        <v>1702</v>
      </c>
      <c r="AM278" t="s">
        <v>1703</v>
      </c>
      <c r="AN278" t="s">
        <v>1702</v>
      </c>
      <c r="AO278" t="s">
        <v>1703</v>
      </c>
      <c r="AP278" t="s">
        <v>1697</v>
      </c>
      <c r="AQ278" t="s">
        <v>1697</v>
      </c>
      <c r="AR278" t="s">
        <v>1703</v>
      </c>
      <c r="AS278" t="s">
        <v>1702</v>
      </c>
      <c r="AT278" t="s">
        <v>1703</v>
      </c>
      <c r="AU278" t="s">
        <v>1704</v>
      </c>
      <c r="AV278" t="s">
        <v>1725</v>
      </c>
      <c r="AW278" t="s">
        <v>1703</v>
      </c>
      <c r="AX278" t="s">
        <v>1704</v>
      </c>
      <c r="AY278" t="s">
        <v>1725</v>
      </c>
      <c r="AZ278" t="s">
        <v>1703</v>
      </c>
      <c r="BA278" t="s">
        <v>1702</v>
      </c>
      <c r="BB278" t="s">
        <v>1704</v>
      </c>
      <c r="BC278" t="s">
        <v>1725</v>
      </c>
      <c r="BD278" t="s">
        <v>1703</v>
      </c>
      <c r="BE278" t="s">
        <v>1704</v>
      </c>
      <c r="BF278" t="s">
        <v>1725</v>
      </c>
      <c r="BG278">
        <v>103</v>
      </c>
      <c r="BH278" t="s">
        <v>1731</v>
      </c>
      <c r="BI278" t="b">
        <v>0</v>
      </c>
      <c r="BJ278">
        <f t="shared" si="4"/>
        <v>0</v>
      </c>
    </row>
    <row r="279" spans="1:62" x14ac:dyDescent="0.2">
      <c r="A279" s="5" t="s">
        <v>866</v>
      </c>
      <c r="B279" s="6">
        <v>38498</v>
      </c>
      <c r="C279" s="7">
        <v>33.781278</v>
      </c>
      <c r="D279" s="7">
        <v>-112.452169</v>
      </c>
      <c r="E279" s="17">
        <v>504</v>
      </c>
      <c r="F279" t="s">
        <v>1694</v>
      </c>
      <c r="G279" t="s">
        <v>1694</v>
      </c>
      <c r="H279" t="s">
        <v>1694</v>
      </c>
      <c r="I279">
        <v>0</v>
      </c>
      <c r="J279" s="8">
        <v>8.7300022979190608</v>
      </c>
      <c r="K279" s="8">
        <v>74.495637492076369</v>
      </c>
      <c r="L279" s="8">
        <v>16.774360210004573</v>
      </c>
      <c r="M279" s="8">
        <v>1.083657662918333</v>
      </c>
      <c r="N279" s="8">
        <v>1.566098862891588</v>
      </c>
      <c r="O279" s="8">
        <v>0.56214741263888524</v>
      </c>
      <c r="P279" s="8">
        <v>0.72610038188609982</v>
      </c>
      <c r="Q279" s="8">
        <v>2.5329182752193073</v>
      </c>
      <c r="R279" s="8">
        <v>4.6048168073243385</v>
      </c>
      <c r="S279" s="8">
        <v>0.153</v>
      </c>
      <c r="T279" s="8">
        <v>0.183</v>
      </c>
      <c r="U279" s="8">
        <v>6.7000000000000004E-2</v>
      </c>
      <c r="V279" s="8">
        <v>7.8E-2</v>
      </c>
      <c r="W279" s="8">
        <v>8.5999999999999993E-2</v>
      </c>
      <c r="X279" s="8">
        <v>0.105</v>
      </c>
      <c r="Y279" s="8">
        <v>2.0725388601036139</v>
      </c>
      <c r="Z279" s="8">
        <v>2.3959646910466521</v>
      </c>
      <c r="AA279" s="8">
        <v>7.4</v>
      </c>
      <c r="AB279">
        <v>0.13800000000000001</v>
      </c>
      <c r="AC279" s="8">
        <v>0</v>
      </c>
      <c r="AD279" s="8">
        <v>1.7654476670869963</v>
      </c>
      <c r="AE279" s="8">
        <v>2.1999999999999999E-2</v>
      </c>
      <c r="AF279" s="8">
        <v>1.7999999999999999E-2</v>
      </c>
      <c r="AG279" s="8">
        <v>1.4415957867652809</v>
      </c>
      <c r="AH279" s="8">
        <v>6.954545454545455</v>
      </c>
      <c r="AI279" s="8">
        <v>8.3181818181818183</v>
      </c>
      <c r="AJ279" t="s">
        <v>1694</v>
      </c>
      <c r="AK279" t="s">
        <v>1694</v>
      </c>
      <c r="AL279" t="s">
        <v>1694</v>
      </c>
      <c r="AM279" t="s">
        <v>1694</v>
      </c>
      <c r="AN279" t="s">
        <v>1694</v>
      </c>
      <c r="AO279" t="s">
        <v>1694</v>
      </c>
      <c r="AP279" t="s">
        <v>1695</v>
      </c>
      <c r="AQ279" t="s">
        <v>1694</v>
      </c>
      <c r="AR279" t="s">
        <v>1694</v>
      </c>
      <c r="AS279" t="s">
        <v>1694</v>
      </c>
      <c r="AT279" t="s">
        <v>1694</v>
      </c>
      <c r="AU279" t="s">
        <v>1695</v>
      </c>
      <c r="AV279" t="s">
        <v>1694</v>
      </c>
      <c r="AW279" t="s">
        <v>1694</v>
      </c>
      <c r="AX279" t="s">
        <v>1695</v>
      </c>
      <c r="AY279" t="s">
        <v>1694</v>
      </c>
      <c r="AZ279" t="s">
        <v>1694</v>
      </c>
      <c r="BA279" t="s">
        <v>1694</v>
      </c>
      <c r="BB279" t="s">
        <v>1695</v>
      </c>
      <c r="BC279" t="s">
        <v>1694</v>
      </c>
      <c r="BD279" t="s">
        <v>1694</v>
      </c>
      <c r="BE279" t="s">
        <v>1695</v>
      </c>
      <c r="BF279" t="s">
        <v>1694</v>
      </c>
      <c r="BG279" t="s">
        <v>1697</v>
      </c>
      <c r="BH279" t="s">
        <v>1698</v>
      </c>
      <c r="BI279" t="b">
        <v>0</v>
      </c>
      <c r="BJ279">
        <f t="shared" si="4"/>
        <v>0</v>
      </c>
    </row>
    <row r="280" spans="1:62" x14ac:dyDescent="0.2">
      <c r="A280" s="5" t="s">
        <v>866</v>
      </c>
      <c r="B280" s="6">
        <v>40262</v>
      </c>
      <c r="C280" s="7">
        <v>33.781278</v>
      </c>
      <c r="D280" s="7">
        <v>-112.452169</v>
      </c>
      <c r="E280" s="17">
        <v>504</v>
      </c>
      <c r="F280" t="s">
        <v>1694</v>
      </c>
      <c r="G280" t="s">
        <v>1694</v>
      </c>
      <c r="H280" t="s">
        <v>1694</v>
      </c>
      <c r="I280">
        <v>0</v>
      </c>
      <c r="J280" s="8">
        <v>8.0812084431921836</v>
      </c>
      <c r="K280" s="8">
        <v>69.511377978083388</v>
      </c>
      <c r="L280" s="8">
        <v>22.40741357872443</v>
      </c>
      <c r="M280" s="8">
        <v>0.5921631662824528</v>
      </c>
      <c r="N280" s="8">
        <v>2.7301011824365208E-2</v>
      </c>
      <c r="O280" s="8">
        <v>0.88329827906093783</v>
      </c>
      <c r="P280" s="8">
        <v>0.4142727263429144</v>
      </c>
      <c r="Q280" s="8">
        <v>10.926652082920675</v>
      </c>
      <c r="R280" s="8">
        <v>6.4657004366885813</v>
      </c>
      <c r="S280" s="8">
        <v>0.14000000000000001</v>
      </c>
      <c r="T280" s="8">
        <v>0.16700000000000001</v>
      </c>
      <c r="U280" s="8">
        <v>8.9999999999999993E-3</v>
      </c>
      <c r="V280" s="8">
        <v>9.7000000000000003E-2</v>
      </c>
      <c r="W280" s="8">
        <v>0.13100000000000001</v>
      </c>
      <c r="X280" s="8">
        <v>7.0000000000000007E-2</v>
      </c>
      <c r="Y280" s="8">
        <v>1.5047879616962987</v>
      </c>
      <c r="Z280" s="8">
        <v>1.8207282913165375</v>
      </c>
      <c r="AA280" s="8">
        <v>7.68</v>
      </c>
      <c r="AB280">
        <v>0.121</v>
      </c>
      <c r="AC280" s="8">
        <v>1.6415868673050755</v>
      </c>
      <c r="AD280" s="8">
        <v>3.2212885154061683</v>
      </c>
      <c r="AE280" s="8">
        <v>0.02</v>
      </c>
      <c r="AF280" s="8">
        <v>1.2999999999999999E-2</v>
      </c>
      <c r="AG280" s="8">
        <v>1.406509850571841</v>
      </c>
      <c r="AH280" s="8">
        <v>7.0000000000000009</v>
      </c>
      <c r="AI280" s="8">
        <v>8.35</v>
      </c>
      <c r="AJ280" t="s">
        <v>1694</v>
      </c>
      <c r="AK280" t="s">
        <v>1694</v>
      </c>
      <c r="AL280" t="s">
        <v>1694</v>
      </c>
      <c r="AM280" t="s">
        <v>1694</v>
      </c>
      <c r="AN280" t="s">
        <v>1694</v>
      </c>
      <c r="AO280" t="s">
        <v>1694</v>
      </c>
      <c r="AP280" t="s">
        <v>1695</v>
      </c>
      <c r="AQ280" t="s">
        <v>1694</v>
      </c>
      <c r="AR280" t="s">
        <v>1694</v>
      </c>
      <c r="AS280" t="s">
        <v>1694</v>
      </c>
      <c r="AT280" t="s">
        <v>1694</v>
      </c>
      <c r="AU280" t="s">
        <v>1695</v>
      </c>
      <c r="AV280" t="s">
        <v>1694</v>
      </c>
      <c r="AW280" t="s">
        <v>1694</v>
      </c>
      <c r="AX280" t="s">
        <v>1695</v>
      </c>
      <c r="AY280" t="s">
        <v>1694</v>
      </c>
      <c r="AZ280" t="s">
        <v>1694</v>
      </c>
      <c r="BA280" t="s">
        <v>1694</v>
      </c>
      <c r="BB280" t="s">
        <v>1695</v>
      </c>
      <c r="BC280" t="s">
        <v>1694</v>
      </c>
      <c r="BD280" t="s">
        <v>1694</v>
      </c>
      <c r="BE280" t="s">
        <v>1695</v>
      </c>
      <c r="BF280" t="s">
        <v>1694</v>
      </c>
      <c r="BG280" t="s">
        <v>1697</v>
      </c>
      <c r="BH280" t="s">
        <v>1698</v>
      </c>
      <c r="BI280" t="b">
        <v>0</v>
      </c>
      <c r="BJ280">
        <f t="shared" si="4"/>
        <v>0</v>
      </c>
    </row>
    <row r="281" spans="1:62" x14ac:dyDescent="0.2">
      <c r="A281" s="5" t="s">
        <v>866</v>
      </c>
      <c r="B281" s="6">
        <v>42068</v>
      </c>
      <c r="C281" s="7">
        <v>33.781278</v>
      </c>
      <c r="D281" s="7">
        <v>-112.452169</v>
      </c>
      <c r="E281" s="17">
        <v>504</v>
      </c>
      <c r="F281" t="s">
        <v>1697</v>
      </c>
      <c r="G281" t="s">
        <v>1697</v>
      </c>
      <c r="H281" t="s">
        <v>1697</v>
      </c>
      <c r="I281" t="s">
        <v>1697</v>
      </c>
      <c r="J281">
        <v>6.0509869958198399</v>
      </c>
      <c r="K281">
        <v>88.858726064688</v>
      </c>
      <c r="L281">
        <v>5.0902869394921302</v>
      </c>
      <c r="M281">
        <v>2.2209454582323902</v>
      </c>
      <c r="N281">
        <v>1.53165688933918</v>
      </c>
      <c r="O281">
        <v>6.3543717277204399</v>
      </c>
      <c r="P281">
        <v>2.50785498795724</v>
      </c>
      <c r="Q281">
        <v>3.8015024536816799</v>
      </c>
      <c r="R281">
        <v>2.2354216499984001</v>
      </c>
      <c r="S281">
        <v>0.17699999999999999</v>
      </c>
      <c r="T281">
        <v>0.14199999999999999</v>
      </c>
      <c r="U281">
        <v>4.0000000000000001E-3</v>
      </c>
      <c r="V281">
        <v>3.6999999999999998E-2</v>
      </c>
      <c r="W281">
        <v>0.17299999999999999</v>
      </c>
      <c r="X281">
        <v>0.105</v>
      </c>
      <c r="Y281">
        <v>1.0126582278481</v>
      </c>
      <c r="Z281">
        <v>1.13350125944585</v>
      </c>
      <c r="AA281">
        <v>7.16</v>
      </c>
      <c r="AB281">
        <v>6.0999999999999999E-2</v>
      </c>
      <c r="AC281">
        <v>1.43884892086331</v>
      </c>
      <c r="AD281">
        <v>1.57618213660242</v>
      </c>
      <c r="AE281">
        <v>1.6E-2</v>
      </c>
      <c r="AF281">
        <v>2.4E-2</v>
      </c>
      <c r="AG281">
        <v>1.6532102191926712</v>
      </c>
      <c r="AH281">
        <v>11.0625</v>
      </c>
      <c r="AI281">
        <v>5.9166666666666696</v>
      </c>
      <c r="AJ281" t="s">
        <v>1694</v>
      </c>
      <c r="AK281" t="s">
        <v>1694</v>
      </c>
      <c r="AL281" t="s">
        <v>1694</v>
      </c>
      <c r="AM281" t="s">
        <v>1694</v>
      </c>
      <c r="AN281" t="s">
        <v>1694</v>
      </c>
      <c r="AO281" t="s">
        <v>1694</v>
      </c>
      <c r="AP281" t="s">
        <v>1695</v>
      </c>
      <c r="AQ281" t="s">
        <v>1694</v>
      </c>
      <c r="AR281" t="s">
        <v>1694</v>
      </c>
      <c r="AS281" t="s">
        <v>1694</v>
      </c>
      <c r="AT281" t="s">
        <v>1694</v>
      </c>
      <c r="AU281" t="s">
        <v>1695</v>
      </c>
      <c r="AV281" t="s">
        <v>1694</v>
      </c>
      <c r="AW281" t="s">
        <v>1694</v>
      </c>
      <c r="AX281" t="s">
        <v>1695</v>
      </c>
      <c r="AY281" t="s">
        <v>1694</v>
      </c>
      <c r="AZ281" t="s">
        <v>1694</v>
      </c>
      <c r="BA281" t="s">
        <v>1694</v>
      </c>
      <c r="BB281" t="s">
        <v>1695</v>
      </c>
      <c r="BC281" t="s">
        <v>1694</v>
      </c>
      <c r="BD281" t="s">
        <v>1694</v>
      </c>
      <c r="BE281" t="s">
        <v>1695</v>
      </c>
      <c r="BF281" t="s">
        <v>1694</v>
      </c>
      <c r="BG281" t="s">
        <v>1697</v>
      </c>
      <c r="BH281" t="s">
        <v>1698</v>
      </c>
      <c r="BI281" t="b">
        <v>0</v>
      </c>
      <c r="BJ281">
        <f t="shared" si="4"/>
        <v>0</v>
      </c>
    </row>
    <row r="282" spans="1:62" x14ac:dyDescent="0.2">
      <c r="A282" s="5" t="s">
        <v>867</v>
      </c>
      <c r="B282" s="6">
        <v>38483</v>
      </c>
      <c r="C282" s="7">
        <v>33.740706000000003</v>
      </c>
      <c r="D282" s="7">
        <v>-112.465097</v>
      </c>
      <c r="E282" s="17">
        <v>462</v>
      </c>
      <c r="F282" t="s">
        <v>1694</v>
      </c>
      <c r="G282" t="s">
        <v>1694</v>
      </c>
      <c r="H282" t="s">
        <v>1694</v>
      </c>
      <c r="I282">
        <v>0</v>
      </c>
      <c r="J282" s="8">
        <v>15.400660106233657</v>
      </c>
      <c r="K282" s="8">
        <v>60.072613623774131</v>
      </c>
      <c r="L282" s="8">
        <v>24.52672626999221</v>
      </c>
      <c r="M282" s="8">
        <v>1.1755323315709509</v>
      </c>
      <c r="N282" s="8">
        <v>1.0980010387049046</v>
      </c>
      <c r="O282" s="8">
        <v>1.5715011169422186</v>
      </c>
      <c r="P282" s="8">
        <v>0.32294148197203082</v>
      </c>
      <c r="Q282" s="8">
        <v>13.567526110063552</v>
      </c>
      <c r="R282" s="8">
        <v>5.1312387364857281</v>
      </c>
      <c r="S282" s="8">
        <v>0.251</v>
      </c>
      <c r="T282" s="8">
        <v>0.21199999999999999</v>
      </c>
      <c r="U282" s="8">
        <v>5.8999999999999997E-2</v>
      </c>
      <c r="V282" s="8">
        <v>8.3000000000000004E-2</v>
      </c>
      <c r="W282" s="8">
        <v>0.192</v>
      </c>
      <c r="X282" s="8">
        <v>0.129</v>
      </c>
      <c r="Y282" s="8">
        <v>2.5477707006369168</v>
      </c>
      <c r="Z282" s="8">
        <v>2.5099075297225824</v>
      </c>
      <c r="AA282" s="8">
        <v>7.55</v>
      </c>
      <c r="AB282">
        <v>0.26100000000000001</v>
      </c>
      <c r="AC282" s="8">
        <v>0.31847133757963936</v>
      </c>
      <c r="AD282" s="8">
        <v>2.5099075297225824</v>
      </c>
      <c r="AE282" s="8">
        <v>2.9000000000000001E-2</v>
      </c>
      <c r="AF282" s="8">
        <v>8.0000000000000002E-3</v>
      </c>
      <c r="AG282" s="8">
        <v>1.3401067256869659</v>
      </c>
      <c r="AH282" s="8">
        <v>8.6551724137931032</v>
      </c>
      <c r="AI282" s="8">
        <v>7.3103448275862064</v>
      </c>
      <c r="AJ282" t="s">
        <v>1694</v>
      </c>
      <c r="AK282" t="s">
        <v>1694</v>
      </c>
      <c r="AL282" t="s">
        <v>1694</v>
      </c>
      <c r="AM282" t="s">
        <v>1694</v>
      </c>
      <c r="AN282" t="s">
        <v>1694</v>
      </c>
      <c r="AO282" t="s">
        <v>1694</v>
      </c>
      <c r="AP282" t="s">
        <v>1695</v>
      </c>
      <c r="AQ282" t="s">
        <v>1694</v>
      </c>
      <c r="AR282" t="s">
        <v>1694</v>
      </c>
      <c r="AS282" t="s">
        <v>1694</v>
      </c>
      <c r="AT282" t="s">
        <v>1694</v>
      </c>
      <c r="AU282" t="s">
        <v>1695</v>
      </c>
      <c r="AV282" t="s">
        <v>1694</v>
      </c>
      <c r="AW282" t="s">
        <v>1694</v>
      </c>
      <c r="AX282" t="s">
        <v>1695</v>
      </c>
      <c r="AY282" t="s">
        <v>1694</v>
      </c>
      <c r="AZ282" t="s">
        <v>1694</v>
      </c>
      <c r="BA282" t="s">
        <v>1694</v>
      </c>
      <c r="BB282" t="s">
        <v>1695</v>
      </c>
      <c r="BC282" t="s">
        <v>1694</v>
      </c>
      <c r="BD282" t="s">
        <v>1694</v>
      </c>
      <c r="BE282" t="s">
        <v>1695</v>
      </c>
      <c r="BF282" t="s">
        <v>1694</v>
      </c>
      <c r="BG282" t="s">
        <v>1697</v>
      </c>
      <c r="BH282" t="s">
        <v>1698</v>
      </c>
      <c r="BI282" t="b">
        <v>0</v>
      </c>
      <c r="BJ282">
        <f t="shared" si="4"/>
        <v>0</v>
      </c>
    </row>
    <row r="283" spans="1:62" x14ac:dyDescent="0.2">
      <c r="A283" s="5" t="s">
        <v>867</v>
      </c>
      <c r="B283" s="6">
        <v>40283</v>
      </c>
      <c r="C283" s="7">
        <v>33.740706000000003</v>
      </c>
      <c r="D283" s="7">
        <v>-112.465097</v>
      </c>
      <c r="E283" s="17">
        <v>462</v>
      </c>
      <c r="F283" t="s">
        <v>1694</v>
      </c>
      <c r="G283" t="s">
        <v>1694</v>
      </c>
      <c r="H283" t="s">
        <v>1694</v>
      </c>
      <c r="I283">
        <v>0</v>
      </c>
      <c r="J283" s="8">
        <v>13.227647432542307</v>
      </c>
      <c r="K283" s="8">
        <v>71.329130777364028</v>
      </c>
      <c r="L283" s="8">
        <v>15.443221790093659</v>
      </c>
      <c r="M283" s="8">
        <v>1.0036716749710612</v>
      </c>
      <c r="N283" s="8">
        <v>1.4767932144859788</v>
      </c>
      <c r="O283" s="8">
        <v>1.4184120365293509</v>
      </c>
      <c r="P283" s="8">
        <v>85.103337783937775</v>
      </c>
      <c r="Q283" s="8">
        <v>21.195847955386174</v>
      </c>
      <c r="R283" s="8">
        <v>13.424751875776092</v>
      </c>
      <c r="S283" s="8">
        <v>0.24099999999999999</v>
      </c>
      <c r="T283" s="8">
        <v>0.153</v>
      </c>
      <c r="U283" s="8">
        <v>8.0000000000000002E-3</v>
      </c>
      <c r="V283" s="8">
        <v>2.4E-2</v>
      </c>
      <c r="W283" s="8">
        <v>0.23299999999999998</v>
      </c>
      <c r="X283" s="8">
        <v>0.129</v>
      </c>
      <c r="Y283" s="8">
        <v>2.1707670043415392</v>
      </c>
      <c r="Z283" s="8">
        <v>2.8153153153153152</v>
      </c>
      <c r="AA283" s="8">
        <v>7.72</v>
      </c>
      <c r="AB283">
        <v>0.193</v>
      </c>
      <c r="AC283" s="8">
        <v>1.7366136034732158</v>
      </c>
      <c r="AD283" s="8">
        <v>3.0405405405405355</v>
      </c>
      <c r="AE283" s="8">
        <v>2.9000000000000001E-2</v>
      </c>
      <c r="AF283" s="8">
        <v>2.7E-2</v>
      </c>
      <c r="AG283" s="8">
        <v>1.6320934392642938</v>
      </c>
      <c r="AH283" s="8">
        <v>8.3103448275862064</v>
      </c>
      <c r="AI283" s="8">
        <v>5.2758620689655169</v>
      </c>
      <c r="AJ283" t="s">
        <v>1694</v>
      </c>
      <c r="AK283" t="s">
        <v>1694</v>
      </c>
      <c r="AL283" t="s">
        <v>1694</v>
      </c>
      <c r="AM283" t="s">
        <v>1694</v>
      </c>
      <c r="AN283" t="s">
        <v>1694</v>
      </c>
      <c r="AO283" t="s">
        <v>1694</v>
      </c>
      <c r="AP283" t="s">
        <v>1695</v>
      </c>
      <c r="AQ283" t="s">
        <v>1694</v>
      </c>
      <c r="AR283" t="s">
        <v>1694</v>
      </c>
      <c r="AS283" t="s">
        <v>1694</v>
      </c>
      <c r="AT283" t="s">
        <v>1694</v>
      </c>
      <c r="AU283" t="s">
        <v>1695</v>
      </c>
      <c r="AV283" t="s">
        <v>1694</v>
      </c>
      <c r="AW283" t="s">
        <v>1694</v>
      </c>
      <c r="AX283" t="s">
        <v>1695</v>
      </c>
      <c r="AY283" t="s">
        <v>1694</v>
      </c>
      <c r="AZ283" t="s">
        <v>1694</v>
      </c>
      <c r="BA283" t="s">
        <v>1694</v>
      </c>
      <c r="BB283" t="s">
        <v>1695</v>
      </c>
      <c r="BC283" t="s">
        <v>1694</v>
      </c>
      <c r="BD283" t="s">
        <v>1694</v>
      </c>
      <c r="BE283" t="s">
        <v>1695</v>
      </c>
      <c r="BF283" t="s">
        <v>1694</v>
      </c>
      <c r="BG283" t="s">
        <v>1697</v>
      </c>
      <c r="BH283" t="s">
        <v>1698</v>
      </c>
      <c r="BI283" t="b">
        <v>0</v>
      </c>
      <c r="BJ283">
        <f t="shared" si="4"/>
        <v>0</v>
      </c>
    </row>
    <row r="284" spans="1:62" x14ac:dyDescent="0.2">
      <c r="A284" s="5" t="s">
        <v>60</v>
      </c>
      <c r="B284" s="6">
        <v>38426</v>
      </c>
      <c r="C284" s="7">
        <v>33.584114</v>
      </c>
      <c r="D284" s="7">
        <v>-112.451819</v>
      </c>
      <c r="E284" s="17">
        <v>387</v>
      </c>
      <c r="F284" t="s">
        <v>1703</v>
      </c>
      <c r="G284" t="s">
        <v>1730</v>
      </c>
      <c r="H284" t="s">
        <v>1750</v>
      </c>
      <c r="I284">
        <v>0</v>
      </c>
      <c r="J284" s="8">
        <v>11.793115280556812</v>
      </c>
      <c r="K284" s="8">
        <v>64.847577222191717</v>
      </c>
      <c r="L284" s="8">
        <v>23.359307497251478</v>
      </c>
      <c r="M284" s="8">
        <v>2.8973259113799501</v>
      </c>
      <c r="N284" s="8">
        <v>1.6322749009649351</v>
      </c>
      <c r="O284" s="8">
        <v>0.93065620183719588</v>
      </c>
      <c r="P284" s="8">
        <v>2.2579802796681605</v>
      </c>
      <c r="Q284" s="8">
        <v>12.494295888235214</v>
      </c>
      <c r="R284" s="8">
        <v>12.423943817630249</v>
      </c>
      <c r="S284" s="8">
        <v>0.34799999999999998</v>
      </c>
      <c r="T284" s="8">
        <v>0.25900000000000001</v>
      </c>
      <c r="U284" s="8">
        <v>0.126</v>
      </c>
      <c r="V284" s="8">
        <v>0.13</v>
      </c>
      <c r="W284" s="8">
        <v>0.22199999999999998</v>
      </c>
      <c r="X284" s="8">
        <v>0.129</v>
      </c>
      <c r="Y284" s="8">
        <v>1.9417475728155418</v>
      </c>
      <c r="Z284" s="8">
        <v>2.2151898734177307</v>
      </c>
      <c r="AA284" s="8">
        <v>8.76</v>
      </c>
      <c r="AB284">
        <v>0.13900000000000001</v>
      </c>
      <c r="AC284" s="8">
        <v>5.9639389736477071</v>
      </c>
      <c r="AD284" s="8">
        <v>9.3354430379746809</v>
      </c>
      <c r="AE284" s="8">
        <v>2.9000000000000001E-2</v>
      </c>
      <c r="AF284" s="8">
        <v>2.3E-2</v>
      </c>
      <c r="AG284" s="8">
        <v>1.6541652893897556</v>
      </c>
      <c r="AH284" s="8">
        <v>11.999999999999998</v>
      </c>
      <c r="AI284" s="8">
        <v>8.931034482758621</v>
      </c>
      <c r="AJ284" t="s">
        <v>1702</v>
      </c>
      <c r="AK284" t="s">
        <v>1703</v>
      </c>
      <c r="AL284" t="s">
        <v>1702</v>
      </c>
      <c r="AM284" t="s">
        <v>1703</v>
      </c>
      <c r="AN284" t="s">
        <v>1702</v>
      </c>
      <c r="AO284" t="s">
        <v>1703</v>
      </c>
      <c r="AP284" t="s">
        <v>1695</v>
      </c>
      <c r="AQ284" t="s">
        <v>1711</v>
      </c>
      <c r="AR284" t="s">
        <v>1711</v>
      </c>
      <c r="AS284" t="s">
        <v>1702</v>
      </c>
      <c r="AT284" t="s">
        <v>1703</v>
      </c>
      <c r="AU284" t="s">
        <v>1695</v>
      </c>
      <c r="AV284" t="s">
        <v>1711</v>
      </c>
      <c r="AW284" t="s">
        <v>1711</v>
      </c>
      <c r="AX284" t="s">
        <v>1704</v>
      </c>
      <c r="AY284" t="s">
        <v>1705</v>
      </c>
      <c r="AZ284" t="s">
        <v>1703</v>
      </c>
      <c r="BA284" t="s">
        <v>1694</v>
      </c>
      <c r="BB284" t="s">
        <v>1695</v>
      </c>
      <c r="BC284" t="s">
        <v>1694</v>
      </c>
      <c r="BD284" t="s">
        <v>1694</v>
      </c>
      <c r="BE284" t="s">
        <v>1695</v>
      </c>
      <c r="BF284" t="s">
        <v>1711</v>
      </c>
      <c r="BG284">
        <v>10</v>
      </c>
      <c r="BH284" s="12" t="s">
        <v>1708</v>
      </c>
      <c r="BI284" t="b">
        <v>0</v>
      </c>
      <c r="BJ284">
        <f t="shared" si="4"/>
        <v>0</v>
      </c>
    </row>
    <row r="285" spans="1:62" x14ac:dyDescent="0.2">
      <c r="A285" s="5" t="s">
        <v>60</v>
      </c>
      <c r="B285" s="6">
        <v>40302</v>
      </c>
      <c r="C285" s="7">
        <v>33.584114</v>
      </c>
      <c r="D285" s="7">
        <v>-112.451819</v>
      </c>
      <c r="E285" s="17">
        <v>387</v>
      </c>
      <c r="F285" t="s">
        <v>1703</v>
      </c>
      <c r="G285" t="s">
        <v>1730</v>
      </c>
      <c r="H285" t="s">
        <v>1751</v>
      </c>
      <c r="I285">
        <v>0</v>
      </c>
      <c r="J285" s="8">
        <v>11.307859662956002</v>
      </c>
      <c r="K285" s="8">
        <v>57.637221653355894</v>
      </c>
      <c r="L285" s="8">
        <v>31.054918683688101</v>
      </c>
      <c r="M285" s="8">
        <v>0.81488615210522197</v>
      </c>
      <c r="N285" s="8">
        <v>8.9478122702658924E-2</v>
      </c>
      <c r="O285" s="8">
        <v>5.1305232136544783</v>
      </c>
      <c r="P285" s="8">
        <v>6.0683659156239349</v>
      </c>
      <c r="Q285" s="8">
        <v>10.587000888151044</v>
      </c>
      <c r="R285" s="8">
        <v>6.7613167906896416</v>
      </c>
      <c r="S285" s="8">
        <v>0.34699999999999998</v>
      </c>
      <c r="T285" s="8">
        <v>0.23300000000000001</v>
      </c>
      <c r="U285" s="8">
        <v>7.5999999999999998E-2</v>
      </c>
      <c r="V285" s="8">
        <v>2.3E-2</v>
      </c>
      <c r="W285" s="8">
        <v>0.27099999999999996</v>
      </c>
      <c r="X285" s="8">
        <v>0.21000000000000002</v>
      </c>
      <c r="Y285" s="8">
        <v>1.9031141868512014</v>
      </c>
      <c r="Z285" s="8">
        <v>1.8761726078799181</v>
      </c>
      <c r="AA285" s="8">
        <v>8.68</v>
      </c>
      <c r="AB285">
        <v>0.20799999999999999</v>
      </c>
      <c r="AC285" s="8">
        <v>1.9031141868512014</v>
      </c>
      <c r="AD285" s="8">
        <v>4.1275797373358296</v>
      </c>
      <c r="AE285" s="8">
        <v>3.4000000000000002E-2</v>
      </c>
      <c r="AF285" s="8">
        <v>0.02</v>
      </c>
      <c r="AG285" s="8">
        <v>1.2907120560087404</v>
      </c>
      <c r="AH285" s="8">
        <v>10.205882352941176</v>
      </c>
      <c r="AI285" s="8">
        <v>6.8529411764705879</v>
      </c>
      <c r="AJ285" t="s">
        <v>1702</v>
      </c>
      <c r="AK285" t="s">
        <v>1703</v>
      </c>
      <c r="AL285" t="s">
        <v>1702</v>
      </c>
      <c r="AM285" t="s">
        <v>1703</v>
      </c>
      <c r="AN285" t="s">
        <v>1702</v>
      </c>
      <c r="AO285" t="s">
        <v>1703</v>
      </c>
      <c r="AP285" t="s">
        <v>1695</v>
      </c>
      <c r="AQ285" t="s">
        <v>1711</v>
      </c>
      <c r="AR285" t="s">
        <v>1711</v>
      </c>
      <c r="AS285" t="s">
        <v>1702</v>
      </c>
      <c r="AT285" t="s">
        <v>1703</v>
      </c>
      <c r="AU285" t="s">
        <v>1695</v>
      </c>
      <c r="AV285" t="s">
        <v>1711</v>
      </c>
      <c r="AW285" t="s">
        <v>1711</v>
      </c>
      <c r="AX285" t="s">
        <v>1704</v>
      </c>
      <c r="AY285" t="s">
        <v>1705</v>
      </c>
      <c r="AZ285" t="s">
        <v>1703</v>
      </c>
      <c r="BA285" t="s">
        <v>1694</v>
      </c>
      <c r="BB285" t="s">
        <v>1695</v>
      </c>
      <c r="BC285" t="s">
        <v>1694</v>
      </c>
      <c r="BD285" t="s">
        <v>1694</v>
      </c>
      <c r="BE285" t="s">
        <v>1695</v>
      </c>
      <c r="BF285" t="s">
        <v>1711</v>
      </c>
      <c r="BG285">
        <v>15</v>
      </c>
      <c r="BH285" s="12" t="s">
        <v>1708</v>
      </c>
      <c r="BI285" t="b">
        <v>0</v>
      </c>
      <c r="BJ285">
        <f t="shared" si="4"/>
        <v>0</v>
      </c>
    </row>
    <row r="286" spans="1:62" x14ac:dyDescent="0.2">
      <c r="A286" s="5" t="s">
        <v>60</v>
      </c>
      <c r="B286" s="6">
        <v>42083</v>
      </c>
      <c r="C286" s="7">
        <v>33.584114</v>
      </c>
      <c r="D286" s="7">
        <v>-112.451819</v>
      </c>
      <c r="E286" s="17">
        <v>387</v>
      </c>
      <c r="F286" t="s">
        <v>1703</v>
      </c>
      <c r="G286" t="s">
        <v>1738</v>
      </c>
      <c r="H286" t="s">
        <v>1725</v>
      </c>
      <c r="I286">
        <v>0</v>
      </c>
      <c r="J286">
        <v>7.4542611207684004</v>
      </c>
      <c r="K286">
        <v>69.684868067394007</v>
      </c>
      <c r="L286">
        <v>22.8608708118376</v>
      </c>
      <c r="M286">
        <v>0.45988083619593401</v>
      </c>
      <c r="N286">
        <v>1.0174841026402099</v>
      </c>
      <c r="O286">
        <v>11.8802549350616</v>
      </c>
      <c r="P286">
        <v>18.632563459479599</v>
      </c>
      <c r="Q286">
        <v>4.0709240863191596</v>
      </c>
      <c r="R286">
        <v>5.7222579738279196</v>
      </c>
      <c r="S286">
        <v>0.32800000000000001</v>
      </c>
      <c r="T286">
        <v>0.28299999999999997</v>
      </c>
      <c r="U286">
        <v>7.0000000000000007E-2</v>
      </c>
      <c r="V286">
        <v>0.126</v>
      </c>
      <c r="W286">
        <v>0.25800000000000001</v>
      </c>
      <c r="X286">
        <v>0.157</v>
      </c>
      <c r="Y286">
        <v>1.1862396204033201</v>
      </c>
      <c r="Z286">
        <v>1.12923462986198</v>
      </c>
      <c r="AA286">
        <v>8.2200000000000006</v>
      </c>
      <c r="AB286">
        <v>0.19600000000000001</v>
      </c>
      <c r="AC286">
        <v>3.8647342995169098</v>
      </c>
      <c r="AD286">
        <v>2.9616724738675901</v>
      </c>
      <c r="AE286">
        <v>6.3E-2</v>
      </c>
      <c r="AF286">
        <v>0.05</v>
      </c>
      <c r="AG286">
        <v>1.5173043306115876</v>
      </c>
      <c r="AH286">
        <v>5.2063492063492101</v>
      </c>
      <c r="AI286">
        <v>5.66</v>
      </c>
      <c r="AJ286" t="s">
        <v>1702</v>
      </c>
      <c r="AK286" t="s">
        <v>1703</v>
      </c>
      <c r="AL286" t="s">
        <v>1702</v>
      </c>
      <c r="AM286" t="s">
        <v>1703</v>
      </c>
      <c r="AN286" t="s">
        <v>1702</v>
      </c>
      <c r="AO286" t="s">
        <v>1703</v>
      </c>
      <c r="AP286" t="s">
        <v>1695</v>
      </c>
      <c r="AQ286" t="s">
        <v>1711</v>
      </c>
      <c r="AR286" t="s">
        <v>1711</v>
      </c>
      <c r="AS286" t="s">
        <v>1702</v>
      </c>
      <c r="AT286" t="s">
        <v>1703</v>
      </c>
      <c r="AU286" t="s">
        <v>1695</v>
      </c>
      <c r="AV286" t="s">
        <v>1711</v>
      </c>
      <c r="AW286" t="s">
        <v>1711</v>
      </c>
      <c r="AX286" t="s">
        <v>1704</v>
      </c>
      <c r="AY286" t="s">
        <v>1705</v>
      </c>
      <c r="AZ286" t="s">
        <v>1703</v>
      </c>
      <c r="BA286" t="s">
        <v>1694</v>
      </c>
      <c r="BB286" t="s">
        <v>1695</v>
      </c>
      <c r="BC286" t="s">
        <v>1694</v>
      </c>
      <c r="BD286" t="s">
        <v>1694</v>
      </c>
      <c r="BE286" t="s">
        <v>1695</v>
      </c>
      <c r="BF286" t="s">
        <v>1711</v>
      </c>
      <c r="BG286">
        <v>20</v>
      </c>
      <c r="BH286" s="12" t="s">
        <v>1708</v>
      </c>
      <c r="BI286" t="b">
        <v>0</v>
      </c>
      <c r="BJ286">
        <f t="shared" si="4"/>
        <v>0</v>
      </c>
    </row>
    <row r="287" spans="1:62" x14ac:dyDescent="0.2">
      <c r="A287" s="5" t="s">
        <v>60</v>
      </c>
      <c r="B287" s="6">
        <v>45057</v>
      </c>
      <c r="C287" s="7">
        <v>33.584114</v>
      </c>
      <c r="D287" s="7">
        <v>-112.451819</v>
      </c>
      <c r="E287" s="17">
        <v>387</v>
      </c>
      <c r="F287" t="s">
        <v>1703</v>
      </c>
      <c r="G287" t="s">
        <v>1738</v>
      </c>
      <c r="H287" t="s">
        <v>1725</v>
      </c>
      <c r="I287">
        <v>0</v>
      </c>
      <c r="J287" t="s">
        <v>1697</v>
      </c>
      <c r="K287" t="s">
        <v>1697</v>
      </c>
      <c r="L287" t="s">
        <v>1697</v>
      </c>
      <c r="M287" t="s">
        <v>1697</v>
      </c>
      <c r="N287" t="s">
        <v>1697</v>
      </c>
      <c r="O287" t="s">
        <v>1697</v>
      </c>
      <c r="P287" t="s">
        <v>1697</v>
      </c>
      <c r="Q287" t="s">
        <v>1697</v>
      </c>
      <c r="R287" t="s">
        <v>1697</v>
      </c>
      <c r="S287" t="s">
        <v>1697</v>
      </c>
      <c r="T287" t="s">
        <v>1697</v>
      </c>
      <c r="U287" t="s">
        <v>1697</v>
      </c>
      <c r="V287" t="s">
        <v>1697</v>
      </c>
      <c r="W287" t="s">
        <v>1697</v>
      </c>
      <c r="X287" t="s">
        <v>1697</v>
      </c>
      <c r="Y287" t="s">
        <v>1697</v>
      </c>
      <c r="Z287" t="s">
        <v>1697</v>
      </c>
      <c r="AA287" t="s">
        <v>1697</v>
      </c>
      <c r="AB287" t="s">
        <v>1697</v>
      </c>
      <c r="AC287" t="s">
        <v>1697</v>
      </c>
      <c r="AD287" t="s">
        <v>1697</v>
      </c>
      <c r="AE287" t="s">
        <v>1697</v>
      </c>
      <c r="AF287" t="s">
        <v>1697</v>
      </c>
      <c r="AG287" t="s">
        <v>1697</v>
      </c>
      <c r="AH287" t="s">
        <v>1697</v>
      </c>
      <c r="AI287" t="s">
        <v>1697</v>
      </c>
      <c r="AJ287" t="s">
        <v>1702</v>
      </c>
      <c r="AK287" t="s">
        <v>1703</v>
      </c>
      <c r="AL287" t="s">
        <v>1702</v>
      </c>
      <c r="AM287" t="s">
        <v>1703</v>
      </c>
      <c r="AN287" t="s">
        <v>1702</v>
      </c>
      <c r="AO287" t="s">
        <v>1703</v>
      </c>
      <c r="AP287" t="s">
        <v>1695</v>
      </c>
      <c r="AQ287" t="s">
        <v>1711</v>
      </c>
      <c r="AR287" t="s">
        <v>1711</v>
      </c>
      <c r="AS287" t="s">
        <v>1702</v>
      </c>
      <c r="AT287" t="s">
        <v>1703</v>
      </c>
      <c r="AU287" t="s">
        <v>1695</v>
      </c>
      <c r="AV287" t="s">
        <v>1711</v>
      </c>
      <c r="AW287" t="s">
        <v>1711</v>
      </c>
      <c r="AX287" t="s">
        <v>1704</v>
      </c>
      <c r="AY287" t="s">
        <v>1705</v>
      </c>
      <c r="AZ287" t="s">
        <v>1703</v>
      </c>
      <c r="BA287" t="s">
        <v>1694</v>
      </c>
      <c r="BB287" t="s">
        <v>1695</v>
      </c>
      <c r="BC287" t="s">
        <v>1694</v>
      </c>
      <c r="BD287" t="s">
        <v>1694</v>
      </c>
      <c r="BE287" t="s">
        <v>1695</v>
      </c>
      <c r="BF287" t="s">
        <v>1711</v>
      </c>
      <c r="BG287" s="6" t="s">
        <v>1697</v>
      </c>
      <c r="BH287" s="6" t="s">
        <v>1697</v>
      </c>
      <c r="BI287" t="b">
        <v>1</v>
      </c>
      <c r="BJ287">
        <f t="shared" si="4"/>
        <v>1</v>
      </c>
    </row>
    <row r="288" spans="1:62" x14ac:dyDescent="0.2">
      <c r="A288" s="5" t="s">
        <v>61</v>
      </c>
      <c r="B288" s="6">
        <v>36629</v>
      </c>
      <c r="C288" s="7">
        <v>33.550400000000003</v>
      </c>
      <c r="D288" s="7">
        <v>-112.47046899999999</v>
      </c>
      <c r="E288" s="17">
        <v>375</v>
      </c>
      <c r="F288" t="s">
        <v>1694</v>
      </c>
      <c r="G288" t="s">
        <v>1694</v>
      </c>
      <c r="H288" t="s">
        <v>1694</v>
      </c>
      <c r="I288">
        <v>0</v>
      </c>
      <c r="J288" s="8">
        <v>3.5844486104681716</v>
      </c>
      <c r="K288" s="8">
        <v>71.485333520038765</v>
      </c>
      <c r="L288" s="8">
        <v>24.930217869493063</v>
      </c>
      <c r="M288" s="8">
        <v>5.1442770968253244</v>
      </c>
      <c r="N288" s="8">
        <v>5.2262593299311026</v>
      </c>
      <c r="O288" s="8">
        <v>3.8109034000062501</v>
      </c>
      <c r="P288" s="8">
        <v>3.2200540063198009</v>
      </c>
      <c r="Q288" s="8">
        <v>6.2928753199145282</v>
      </c>
      <c r="R288" s="8">
        <v>4.2377537577012117</v>
      </c>
      <c r="S288" s="8">
        <v>0.36299999999999999</v>
      </c>
      <c r="T288" s="8">
        <v>0.27100000000000002</v>
      </c>
      <c r="U288" s="8">
        <v>8.4000000000000005E-2</v>
      </c>
      <c r="V288" s="8">
        <v>3.542E-2</v>
      </c>
      <c r="W288" s="8">
        <v>0.27900000000000003</v>
      </c>
      <c r="X288" s="8">
        <v>0.23558000000000001</v>
      </c>
      <c r="Y288" s="8">
        <v>1.35931</v>
      </c>
      <c r="Z288" s="8">
        <v>1.70184</v>
      </c>
      <c r="AA288" s="9">
        <v>8.69</v>
      </c>
      <c r="AB288" s="10">
        <v>0.24049999999999999</v>
      </c>
      <c r="AC288" s="8">
        <v>1.32924</v>
      </c>
      <c r="AD288" s="8">
        <v>4.0703500000000004</v>
      </c>
      <c r="AE288" s="8">
        <v>2.9000000000000001E-2</v>
      </c>
      <c r="AF288" s="8">
        <v>2.4E-2</v>
      </c>
      <c r="AG288" s="8">
        <v>1.722258204204997</v>
      </c>
      <c r="AH288" s="8">
        <v>12.517241379310343</v>
      </c>
      <c r="AI288" s="8">
        <v>9.3448275862068968</v>
      </c>
      <c r="AJ288" t="s">
        <v>1694</v>
      </c>
      <c r="AK288" t="s">
        <v>1694</v>
      </c>
      <c r="AL288" t="s">
        <v>1694</v>
      </c>
      <c r="AM288" t="s">
        <v>1694</v>
      </c>
      <c r="AN288" t="s">
        <v>1694</v>
      </c>
      <c r="AO288" t="s">
        <v>1694</v>
      </c>
      <c r="AP288" t="s">
        <v>1695</v>
      </c>
      <c r="AQ288" t="s">
        <v>1711</v>
      </c>
      <c r="AR288" t="s">
        <v>1694</v>
      </c>
      <c r="AS288" t="s">
        <v>1694</v>
      </c>
      <c r="AT288" t="s">
        <v>1694</v>
      </c>
      <c r="AU288" t="s">
        <v>1695</v>
      </c>
      <c r="AV288" t="s">
        <v>1694</v>
      </c>
      <c r="AW288" t="s">
        <v>1694</v>
      </c>
      <c r="AX288" t="s">
        <v>1695</v>
      </c>
      <c r="AY288" t="s">
        <v>1694</v>
      </c>
      <c r="AZ288" t="s">
        <v>1694</v>
      </c>
      <c r="BA288" t="s">
        <v>1694</v>
      </c>
      <c r="BB288" t="s">
        <v>1695</v>
      </c>
      <c r="BC288" t="s">
        <v>1694</v>
      </c>
      <c r="BD288" t="s">
        <v>1694</v>
      </c>
      <c r="BE288" t="s">
        <v>1695</v>
      </c>
      <c r="BF288" t="s">
        <v>1694</v>
      </c>
      <c r="BG288" t="s">
        <v>1697</v>
      </c>
      <c r="BH288" t="s">
        <v>1698</v>
      </c>
      <c r="BI288" t="b">
        <v>0</v>
      </c>
      <c r="BJ288">
        <f t="shared" si="4"/>
        <v>0</v>
      </c>
    </row>
    <row r="289" spans="1:62" x14ac:dyDescent="0.2">
      <c r="A289" s="5" t="s">
        <v>61</v>
      </c>
      <c r="B289" s="6">
        <v>38462</v>
      </c>
      <c r="C289" s="7">
        <v>33.550400000000003</v>
      </c>
      <c r="D289" s="7">
        <v>-112.47046899999999</v>
      </c>
      <c r="E289" s="17">
        <v>375</v>
      </c>
      <c r="F289" t="s">
        <v>1694</v>
      </c>
      <c r="G289" t="s">
        <v>1694</v>
      </c>
      <c r="H289" t="s">
        <v>1694</v>
      </c>
      <c r="I289">
        <v>0</v>
      </c>
      <c r="J289" s="8">
        <v>8.9984219262769845</v>
      </c>
      <c r="K289" s="8">
        <v>68.263067492861438</v>
      </c>
      <c r="L289" s="8">
        <v>22.738510580861572</v>
      </c>
      <c r="M289" s="8">
        <v>2.2526759204832367</v>
      </c>
      <c r="N289" s="8">
        <v>1.7156265858042499</v>
      </c>
      <c r="O289" s="8">
        <v>1.413748336303273</v>
      </c>
      <c r="P289" s="8">
        <v>0.69404893698444636</v>
      </c>
      <c r="Q289" s="8">
        <v>5.2768545044919755</v>
      </c>
      <c r="R289" s="8">
        <v>9.6539219668830452</v>
      </c>
      <c r="S289" s="8">
        <v>0.34599999999999997</v>
      </c>
      <c r="T289" s="8">
        <v>0.29199999999999998</v>
      </c>
      <c r="U289" s="8">
        <v>0.108</v>
      </c>
      <c r="V289" s="8">
        <v>0.22800000000000001</v>
      </c>
      <c r="W289" s="8">
        <v>0.23799999999999999</v>
      </c>
      <c r="X289" s="8">
        <v>6.3999999999999974E-2</v>
      </c>
      <c r="Y289" s="8">
        <v>1.9650655021834031</v>
      </c>
      <c r="Z289" s="8">
        <v>1.8131101813110042</v>
      </c>
      <c r="AA289" s="8">
        <v>8.7100000000000009</v>
      </c>
      <c r="AB289">
        <v>0.17399999999999999</v>
      </c>
      <c r="AC289" s="8">
        <v>2.1834061135371101</v>
      </c>
      <c r="AD289" s="8">
        <v>2.7894002789400427</v>
      </c>
      <c r="AE289" s="8">
        <v>1.7999999999999999E-2</v>
      </c>
      <c r="AF289" s="8">
        <v>1.2999999999999999E-2</v>
      </c>
      <c r="AG289" s="8">
        <v>1.5180833011420571</v>
      </c>
      <c r="AH289" s="8">
        <v>19.222222222222221</v>
      </c>
      <c r="AI289" s="8">
        <v>16.222222222222221</v>
      </c>
      <c r="AJ289" t="s">
        <v>1694</v>
      </c>
      <c r="AK289" t="s">
        <v>1694</v>
      </c>
      <c r="AL289" t="s">
        <v>1694</v>
      </c>
      <c r="AM289" t="s">
        <v>1694</v>
      </c>
      <c r="AN289" t="s">
        <v>1694</v>
      </c>
      <c r="AO289" t="s">
        <v>1694</v>
      </c>
      <c r="AP289" t="s">
        <v>1695</v>
      </c>
      <c r="AQ289" t="s">
        <v>1711</v>
      </c>
      <c r="AR289" t="s">
        <v>1694</v>
      </c>
      <c r="AS289" t="s">
        <v>1694</v>
      </c>
      <c r="AT289" t="s">
        <v>1694</v>
      </c>
      <c r="AU289" t="s">
        <v>1695</v>
      </c>
      <c r="AV289" t="s">
        <v>1694</v>
      </c>
      <c r="AW289" t="s">
        <v>1694</v>
      </c>
      <c r="AX289" t="s">
        <v>1695</v>
      </c>
      <c r="AY289" t="s">
        <v>1694</v>
      </c>
      <c r="AZ289" t="s">
        <v>1694</v>
      </c>
      <c r="BA289" t="s">
        <v>1694</v>
      </c>
      <c r="BB289" t="s">
        <v>1695</v>
      </c>
      <c r="BC289" t="s">
        <v>1694</v>
      </c>
      <c r="BD289" t="s">
        <v>1694</v>
      </c>
      <c r="BE289" t="s">
        <v>1695</v>
      </c>
      <c r="BF289" t="s">
        <v>1694</v>
      </c>
      <c r="BG289" t="s">
        <v>1697</v>
      </c>
      <c r="BH289" t="s">
        <v>1698</v>
      </c>
      <c r="BI289" t="b">
        <v>0</v>
      </c>
      <c r="BJ289">
        <f t="shared" si="4"/>
        <v>0</v>
      </c>
    </row>
    <row r="290" spans="1:62" x14ac:dyDescent="0.2">
      <c r="A290" s="5" t="s">
        <v>61</v>
      </c>
      <c r="B290" s="6">
        <v>40263</v>
      </c>
      <c r="C290" s="7">
        <v>33.550400000000003</v>
      </c>
      <c r="D290" s="7">
        <v>-112.47046899999999</v>
      </c>
      <c r="E290" s="17">
        <v>375</v>
      </c>
      <c r="F290" t="s">
        <v>1694</v>
      </c>
      <c r="G290" t="s">
        <v>1694</v>
      </c>
      <c r="H290" t="s">
        <v>1694</v>
      </c>
      <c r="I290">
        <v>0</v>
      </c>
      <c r="J290" s="8">
        <v>11.659996037466961</v>
      </c>
      <c r="K290" s="8">
        <v>62.30547729593264</v>
      </c>
      <c r="L290" s="8">
        <v>26.034526666600399</v>
      </c>
      <c r="M290" s="8">
        <v>5.0000000000000001E-3</v>
      </c>
      <c r="N290" s="8">
        <v>5.0000000000000001E-3</v>
      </c>
      <c r="O290" s="8">
        <v>0.84068297641575951</v>
      </c>
      <c r="P290" s="8">
        <v>1.0963318521291419</v>
      </c>
      <c r="Q290" s="8">
        <v>10.607441084775319</v>
      </c>
      <c r="R290" s="8">
        <v>2.5000000000000001E-3</v>
      </c>
      <c r="S290" s="8">
        <v>0.67400000000000004</v>
      </c>
      <c r="T290" s="8">
        <v>0.53100000000000003</v>
      </c>
      <c r="U290" s="8">
        <v>0.52900000000000003</v>
      </c>
      <c r="V290" s="8">
        <v>0.51400000000000001</v>
      </c>
      <c r="W290" s="8">
        <v>0.14500000000000002</v>
      </c>
      <c r="X290" s="8">
        <v>1.7000000000000015E-2</v>
      </c>
      <c r="Y290" s="8">
        <v>2.0979020979020992</v>
      </c>
      <c r="Z290" s="8">
        <v>1.692865779927434</v>
      </c>
      <c r="AA290" s="8">
        <v>9.16</v>
      </c>
      <c r="AB290">
        <v>0.22500000000000001</v>
      </c>
      <c r="AC290" s="8">
        <v>5.4195804195804271</v>
      </c>
      <c r="AD290" s="8">
        <v>5.0785973397823456</v>
      </c>
      <c r="AE290" s="8">
        <v>1.7000000000000001E-2</v>
      </c>
      <c r="AF290" s="8">
        <v>8.9999999999999993E-3</v>
      </c>
      <c r="AG290" s="8">
        <v>1.6260752961783054</v>
      </c>
      <c r="AH290" s="8">
        <v>39.647058823529413</v>
      </c>
      <c r="AI290" s="8">
        <v>31.235294117647058</v>
      </c>
      <c r="AJ290" t="s">
        <v>1694</v>
      </c>
      <c r="AK290" t="s">
        <v>1694</v>
      </c>
      <c r="AL290" t="s">
        <v>1694</v>
      </c>
      <c r="AM290" t="s">
        <v>1694</v>
      </c>
      <c r="AN290" t="s">
        <v>1694</v>
      </c>
      <c r="AO290" t="s">
        <v>1694</v>
      </c>
      <c r="AP290" t="s">
        <v>1695</v>
      </c>
      <c r="AQ290" t="s">
        <v>1711</v>
      </c>
      <c r="AR290" t="s">
        <v>1694</v>
      </c>
      <c r="AS290" t="s">
        <v>1694</v>
      </c>
      <c r="AT290" t="s">
        <v>1694</v>
      </c>
      <c r="AU290" t="s">
        <v>1695</v>
      </c>
      <c r="AV290" t="s">
        <v>1694</v>
      </c>
      <c r="AW290" t="s">
        <v>1694</v>
      </c>
      <c r="AX290" t="s">
        <v>1695</v>
      </c>
      <c r="AY290" t="s">
        <v>1694</v>
      </c>
      <c r="AZ290" t="s">
        <v>1694</v>
      </c>
      <c r="BA290" t="s">
        <v>1694</v>
      </c>
      <c r="BB290" t="s">
        <v>1695</v>
      </c>
      <c r="BC290" t="s">
        <v>1694</v>
      </c>
      <c r="BD290" t="s">
        <v>1694</v>
      </c>
      <c r="BE290" t="s">
        <v>1695</v>
      </c>
      <c r="BF290" t="s">
        <v>1694</v>
      </c>
      <c r="BG290" t="s">
        <v>1697</v>
      </c>
      <c r="BH290" t="s">
        <v>1698</v>
      </c>
      <c r="BI290" t="b">
        <v>0</v>
      </c>
      <c r="BJ290">
        <f t="shared" si="4"/>
        <v>0</v>
      </c>
    </row>
    <row r="291" spans="1:62" x14ac:dyDescent="0.2">
      <c r="A291" s="5" t="s">
        <v>61</v>
      </c>
      <c r="B291" s="6">
        <v>42083</v>
      </c>
      <c r="C291" s="7">
        <v>33.550400000000003</v>
      </c>
      <c r="D291" s="7">
        <v>-112.47046899999999</v>
      </c>
      <c r="E291" s="17">
        <v>375</v>
      </c>
      <c r="F291" t="s">
        <v>1694</v>
      </c>
      <c r="G291" t="s">
        <v>1694</v>
      </c>
      <c r="H291" t="s">
        <v>1694</v>
      </c>
      <c r="I291">
        <v>0</v>
      </c>
      <c r="J291">
        <v>14.2135215734084</v>
      </c>
      <c r="K291">
        <v>61.8634048016525</v>
      </c>
      <c r="L291">
        <v>23.9230736249391</v>
      </c>
      <c r="M291">
        <v>1.2125396509211299</v>
      </c>
      <c r="N291">
        <v>1.7437749186075999</v>
      </c>
      <c r="O291">
        <v>2.8148241896383399</v>
      </c>
      <c r="P291">
        <v>44.333260642566103</v>
      </c>
      <c r="Q291">
        <v>4.7492757655972797</v>
      </c>
      <c r="R291">
        <v>3.8875212278478899</v>
      </c>
      <c r="S291">
        <v>0.76200000000000001</v>
      </c>
      <c r="T291">
        <v>0.66500000000000004</v>
      </c>
      <c r="U291">
        <v>0.61899999999999999</v>
      </c>
      <c r="V291">
        <v>0.64600000000000002</v>
      </c>
      <c r="W291">
        <v>0.14299999999999999</v>
      </c>
      <c r="X291">
        <v>1.9E-2</v>
      </c>
      <c r="Y291">
        <v>1.5172413793103501</v>
      </c>
      <c r="Z291">
        <v>1.14068441064639</v>
      </c>
      <c r="AA291">
        <v>8.3699999999999992</v>
      </c>
      <c r="AB291">
        <v>0.26700000000000002</v>
      </c>
      <c r="AC291">
        <v>5.0709939148072998</v>
      </c>
      <c r="AD291">
        <v>4.0925266903914697</v>
      </c>
      <c r="AE291">
        <v>0.123</v>
      </c>
      <c r="AF291">
        <v>0.14199999999999999</v>
      </c>
      <c r="AG291">
        <v>1.5618023397125376</v>
      </c>
      <c r="AH291">
        <v>6.1951219512195097</v>
      </c>
      <c r="AI291">
        <v>4.6830985915493004</v>
      </c>
      <c r="AJ291" t="s">
        <v>1694</v>
      </c>
      <c r="AK291" t="s">
        <v>1694</v>
      </c>
      <c r="AL291" t="s">
        <v>1694</v>
      </c>
      <c r="AM291" t="s">
        <v>1694</v>
      </c>
      <c r="AN291" t="s">
        <v>1694</v>
      </c>
      <c r="AO291" t="s">
        <v>1694</v>
      </c>
      <c r="AP291" t="s">
        <v>1697</v>
      </c>
      <c r="AQ291" t="s">
        <v>1697</v>
      </c>
      <c r="AR291" t="s">
        <v>1694</v>
      </c>
      <c r="AS291" t="s">
        <v>1694</v>
      </c>
      <c r="AT291" t="s">
        <v>1694</v>
      </c>
      <c r="AU291" t="s">
        <v>1697</v>
      </c>
      <c r="AV291" t="s">
        <v>1697</v>
      </c>
      <c r="AW291" t="s">
        <v>1694</v>
      </c>
      <c r="AX291" t="s">
        <v>1697</v>
      </c>
      <c r="AY291" t="s">
        <v>1697</v>
      </c>
      <c r="AZ291" t="s">
        <v>1694</v>
      </c>
      <c r="BA291" t="s">
        <v>1694</v>
      </c>
      <c r="BB291" t="s">
        <v>1697</v>
      </c>
      <c r="BC291" t="s">
        <v>1697</v>
      </c>
      <c r="BD291" t="s">
        <v>1694</v>
      </c>
      <c r="BE291" t="s">
        <v>1697</v>
      </c>
      <c r="BF291" t="s">
        <v>1697</v>
      </c>
      <c r="BG291" t="s">
        <v>1697</v>
      </c>
      <c r="BH291" t="s">
        <v>1698</v>
      </c>
      <c r="BI291" t="b">
        <v>0</v>
      </c>
      <c r="BJ291">
        <f t="shared" si="4"/>
        <v>0</v>
      </c>
    </row>
    <row r="292" spans="1:62" x14ac:dyDescent="0.2">
      <c r="A292" s="5" t="s">
        <v>61</v>
      </c>
      <c r="B292" s="6">
        <v>45086</v>
      </c>
      <c r="C292" s="7">
        <v>33.550400000000003</v>
      </c>
      <c r="D292" s="7">
        <v>-112.47046899999999</v>
      </c>
      <c r="E292" s="17">
        <v>375</v>
      </c>
      <c r="F292" t="s">
        <v>1694</v>
      </c>
      <c r="G292" t="s">
        <v>1694</v>
      </c>
      <c r="H292" t="s">
        <v>1694</v>
      </c>
      <c r="I292">
        <v>0</v>
      </c>
      <c r="J292" s="6" t="s">
        <v>1697</v>
      </c>
      <c r="K292" s="6" t="s">
        <v>1697</v>
      </c>
      <c r="L292" s="6" t="s">
        <v>1697</v>
      </c>
      <c r="M292" s="6" t="s">
        <v>1697</v>
      </c>
      <c r="N292" s="6" t="s">
        <v>1697</v>
      </c>
      <c r="O292" s="6" t="s">
        <v>1697</v>
      </c>
      <c r="P292" s="6" t="s">
        <v>1697</v>
      </c>
      <c r="Q292" s="6" t="s">
        <v>1697</v>
      </c>
      <c r="R292" s="6" t="s">
        <v>1697</v>
      </c>
      <c r="S292" s="6" t="s">
        <v>1697</v>
      </c>
      <c r="T292" s="6" t="s">
        <v>1697</v>
      </c>
      <c r="U292" s="6" t="s">
        <v>1697</v>
      </c>
      <c r="V292" s="6" t="s">
        <v>1697</v>
      </c>
      <c r="W292" s="6" t="s">
        <v>1697</v>
      </c>
      <c r="X292" s="6" t="s">
        <v>1697</v>
      </c>
      <c r="Y292" s="6" t="s">
        <v>1697</v>
      </c>
      <c r="Z292" s="6" t="s">
        <v>1697</v>
      </c>
      <c r="AA292" s="6" t="s">
        <v>1697</v>
      </c>
      <c r="AB292" s="6" t="s">
        <v>1697</v>
      </c>
      <c r="AC292" s="6" t="s">
        <v>1697</v>
      </c>
      <c r="AD292" s="6" t="s">
        <v>1697</v>
      </c>
      <c r="AE292" s="6" t="s">
        <v>1697</v>
      </c>
      <c r="AF292" s="6" t="s">
        <v>1697</v>
      </c>
      <c r="AG292" s="6" t="s">
        <v>1697</v>
      </c>
      <c r="AH292" s="6" t="s">
        <v>1697</v>
      </c>
      <c r="AI292" s="6" t="s">
        <v>1697</v>
      </c>
      <c r="AJ292" t="s">
        <v>1694</v>
      </c>
      <c r="AK292" t="s">
        <v>1694</v>
      </c>
      <c r="AL292" t="s">
        <v>1694</v>
      </c>
      <c r="AM292" t="s">
        <v>1694</v>
      </c>
      <c r="AN292" t="s">
        <v>1694</v>
      </c>
      <c r="AO292" t="s">
        <v>1694</v>
      </c>
      <c r="AP292" t="s">
        <v>1697</v>
      </c>
      <c r="AQ292" t="s">
        <v>1697</v>
      </c>
      <c r="AR292" t="s">
        <v>1694</v>
      </c>
      <c r="AS292" t="s">
        <v>1694</v>
      </c>
      <c r="AT292" t="s">
        <v>1694</v>
      </c>
      <c r="AU292" t="s">
        <v>1697</v>
      </c>
      <c r="AV292" t="s">
        <v>1697</v>
      </c>
      <c r="AW292" t="s">
        <v>1694</v>
      </c>
      <c r="AX292" t="s">
        <v>1697</v>
      </c>
      <c r="AY292" t="s">
        <v>1697</v>
      </c>
      <c r="AZ292" t="s">
        <v>1694</v>
      </c>
      <c r="BA292" t="s">
        <v>1694</v>
      </c>
      <c r="BB292" t="s">
        <v>1697</v>
      </c>
      <c r="BC292" t="s">
        <v>1697</v>
      </c>
      <c r="BD292" t="s">
        <v>1694</v>
      </c>
      <c r="BE292" t="s">
        <v>1697</v>
      </c>
      <c r="BF292" t="s">
        <v>1697</v>
      </c>
      <c r="BG292" s="6" t="s">
        <v>1697</v>
      </c>
      <c r="BH292" s="6" t="s">
        <v>1697</v>
      </c>
      <c r="BI292" t="b">
        <v>1</v>
      </c>
      <c r="BJ292">
        <f t="shared" si="4"/>
        <v>1</v>
      </c>
    </row>
    <row r="293" spans="1:62" x14ac:dyDescent="0.2">
      <c r="A293" s="5" t="s">
        <v>62</v>
      </c>
      <c r="B293" s="6">
        <v>36580</v>
      </c>
      <c r="C293" s="7">
        <v>33.407719</v>
      </c>
      <c r="D293" s="7">
        <v>-112.460961</v>
      </c>
      <c r="E293" s="17">
        <v>277</v>
      </c>
      <c r="F293" t="s">
        <v>1703</v>
      </c>
      <c r="G293" s="11" t="s">
        <v>1738</v>
      </c>
      <c r="H293" t="s">
        <v>1725</v>
      </c>
      <c r="I293">
        <v>0</v>
      </c>
      <c r="J293" s="8">
        <v>17.85975547394505</v>
      </c>
      <c r="K293" s="8">
        <v>48.1383380853811</v>
      </c>
      <c r="L293" s="8">
        <v>34.001906440673849</v>
      </c>
      <c r="M293" s="8">
        <v>4.8109835214378824</v>
      </c>
      <c r="N293" s="8">
        <v>5.759414326796179</v>
      </c>
      <c r="O293" s="8">
        <v>266.71806542945421</v>
      </c>
      <c r="P293" s="8">
        <v>87.594507163768967</v>
      </c>
      <c r="Q293" s="8">
        <v>21.803898814768754</v>
      </c>
      <c r="R293" s="8">
        <v>21.899843400341688</v>
      </c>
      <c r="S293" s="8">
        <v>0.85299999999999998</v>
      </c>
      <c r="T293" s="8">
        <v>1.1379999999999999</v>
      </c>
      <c r="U293" s="8">
        <v>0.76700000000000002</v>
      </c>
      <c r="V293" s="8">
        <v>0.78100000000000003</v>
      </c>
      <c r="W293" s="8">
        <v>8.5999999999999993E-2</v>
      </c>
      <c r="X293" s="8">
        <v>0.35699999999999998</v>
      </c>
      <c r="Y293" s="8">
        <v>2.8294299999999999</v>
      </c>
      <c r="Z293" s="8">
        <v>2.4691399999999999</v>
      </c>
      <c r="AA293" s="9">
        <v>7.92</v>
      </c>
      <c r="AB293" s="10">
        <v>2.33</v>
      </c>
      <c r="AC293" s="8">
        <v>6.96286</v>
      </c>
      <c r="AD293" s="8">
        <v>10.878920000000001</v>
      </c>
      <c r="AE293" s="8">
        <v>6.0999999999999999E-2</v>
      </c>
      <c r="AF293" s="8">
        <v>5.6000000000000001E-2</v>
      </c>
      <c r="AG293" s="8">
        <v>1.4419753857645516</v>
      </c>
      <c r="AH293" s="8">
        <v>13.983606557377049</v>
      </c>
      <c r="AI293" s="8">
        <v>18.655737704918032</v>
      </c>
      <c r="AJ293" t="s">
        <v>1694</v>
      </c>
      <c r="AK293" t="s">
        <v>1694</v>
      </c>
      <c r="AL293" t="s">
        <v>1702</v>
      </c>
      <c r="AM293" t="s">
        <v>1703</v>
      </c>
      <c r="AN293" t="s">
        <v>1702</v>
      </c>
      <c r="AO293" t="s">
        <v>1703</v>
      </c>
      <c r="AP293" t="s">
        <v>1702</v>
      </c>
      <c r="AQ293" t="s">
        <v>1725</v>
      </c>
      <c r="AR293" t="s">
        <v>1703</v>
      </c>
      <c r="AS293" t="s">
        <v>1702</v>
      </c>
      <c r="AT293" t="s">
        <v>1703</v>
      </c>
      <c r="AU293" t="s">
        <v>1704</v>
      </c>
      <c r="AV293" t="s">
        <v>1725</v>
      </c>
      <c r="AW293" t="s">
        <v>1703</v>
      </c>
      <c r="AX293" t="s">
        <v>1704</v>
      </c>
      <c r="AY293" t="s">
        <v>1725</v>
      </c>
      <c r="AZ293" t="s">
        <v>1703</v>
      </c>
      <c r="BA293" t="s">
        <v>1702</v>
      </c>
      <c r="BB293" t="s">
        <v>1704</v>
      </c>
      <c r="BC293" t="s">
        <v>1725</v>
      </c>
      <c r="BD293" t="s">
        <v>1703</v>
      </c>
      <c r="BE293" t="s">
        <v>1704</v>
      </c>
      <c r="BF293" t="s">
        <v>1725</v>
      </c>
      <c r="BG293">
        <v>88</v>
      </c>
      <c r="BH293" s="12" t="s">
        <v>1713</v>
      </c>
      <c r="BI293" t="b">
        <v>0</v>
      </c>
      <c r="BJ293">
        <f t="shared" si="4"/>
        <v>0</v>
      </c>
    </row>
    <row r="294" spans="1:62" x14ac:dyDescent="0.2">
      <c r="A294" s="5" t="s">
        <v>62</v>
      </c>
      <c r="B294" s="6">
        <v>38462</v>
      </c>
      <c r="C294" s="7">
        <v>33.407719</v>
      </c>
      <c r="D294" s="7">
        <v>-112.460961</v>
      </c>
      <c r="E294" s="17">
        <v>277</v>
      </c>
      <c r="F294" t="s">
        <v>1703</v>
      </c>
      <c r="G294" s="11" t="s">
        <v>1738</v>
      </c>
      <c r="H294" t="s">
        <v>1725</v>
      </c>
      <c r="I294">
        <v>0</v>
      </c>
      <c r="J294" s="8">
        <v>17.030395587369458</v>
      </c>
      <c r="K294" s="8">
        <v>50.168032400202485</v>
      </c>
      <c r="L294" s="8">
        <v>32.801572012428053</v>
      </c>
      <c r="M294" s="8">
        <v>4.1566638219788281</v>
      </c>
      <c r="N294" s="8">
        <v>1.5350376686362599</v>
      </c>
      <c r="O294" s="8">
        <v>134.20985764601335</v>
      </c>
      <c r="P294" s="8">
        <v>360.13318521570682</v>
      </c>
      <c r="Q294" s="8">
        <v>23.876109534079784</v>
      </c>
      <c r="R294" s="8">
        <v>7.2735302654590832</v>
      </c>
      <c r="S294" s="8">
        <v>1.5640000000000001</v>
      </c>
      <c r="T294" s="8">
        <v>1.542</v>
      </c>
      <c r="U294" s="8">
        <v>0.88100000000000001</v>
      </c>
      <c r="V294" s="8">
        <v>1.0389999999999999</v>
      </c>
      <c r="W294" s="8">
        <v>0.68300000000000005</v>
      </c>
      <c r="X294" s="8">
        <v>0.50300000000000011</v>
      </c>
      <c r="Y294" s="8">
        <v>3.84047267355982</v>
      </c>
      <c r="Z294" s="8">
        <v>4.5801526717557293</v>
      </c>
      <c r="AA294" s="8">
        <v>8.1300000000000008</v>
      </c>
      <c r="AB294">
        <v>1.214</v>
      </c>
      <c r="AC294" s="8">
        <v>5.1698670605612946</v>
      </c>
      <c r="AD294" s="8">
        <v>11.450381679389306</v>
      </c>
      <c r="AE294" s="8">
        <v>6.6000000000000003E-2</v>
      </c>
      <c r="AF294" s="8">
        <v>8.5999999999999993E-2</v>
      </c>
      <c r="AG294" s="8">
        <v>1.1958725585099359</v>
      </c>
      <c r="AH294" s="8">
        <v>23.696969696969695</v>
      </c>
      <c r="AI294" s="8">
        <v>23.363636363636363</v>
      </c>
      <c r="AJ294" t="s">
        <v>1694</v>
      </c>
      <c r="AK294" t="s">
        <v>1694</v>
      </c>
      <c r="AL294" t="s">
        <v>1702</v>
      </c>
      <c r="AM294" t="s">
        <v>1703</v>
      </c>
      <c r="AN294" t="s">
        <v>1702</v>
      </c>
      <c r="AO294" t="s">
        <v>1703</v>
      </c>
      <c r="AP294" t="s">
        <v>1702</v>
      </c>
      <c r="AQ294" t="s">
        <v>1725</v>
      </c>
      <c r="AR294" t="s">
        <v>1703</v>
      </c>
      <c r="AS294" t="s">
        <v>1702</v>
      </c>
      <c r="AT294" t="s">
        <v>1703</v>
      </c>
      <c r="AU294" t="s">
        <v>1704</v>
      </c>
      <c r="AV294" t="s">
        <v>1725</v>
      </c>
      <c r="AW294" t="s">
        <v>1703</v>
      </c>
      <c r="AX294" t="s">
        <v>1704</v>
      </c>
      <c r="AY294" t="s">
        <v>1725</v>
      </c>
      <c r="AZ294" t="s">
        <v>1703</v>
      </c>
      <c r="BA294" t="s">
        <v>1702</v>
      </c>
      <c r="BB294" t="s">
        <v>1704</v>
      </c>
      <c r="BC294" t="s">
        <v>1725</v>
      </c>
      <c r="BD294" t="s">
        <v>1703</v>
      </c>
      <c r="BE294" t="s">
        <v>1704</v>
      </c>
      <c r="BF294" t="s">
        <v>1725</v>
      </c>
      <c r="BG294">
        <v>93</v>
      </c>
      <c r="BH294" s="12" t="s">
        <v>1713</v>
      </c>
      <c r="BI294" t="b">
        <v>0</v>
      </c>
      <c r="BJ294">
        <f t="shared" si="4"/>
        <v>0</v>
      </c>
    </row>
    <row r="295" spans="1:62" x14ac:dyDescent="0.2">
      <c r="A295" s="5" t="s">
        <v>62</v>
      </c>
      <c r="B295" s="6">
        <v>40252</v>
      </c>
      <c r="C295" s="7">
        <v>33.407719</v>
      </c>
      <c r="D295" s="7">
        <v>-112.460961</v>
      </c>
      <c r="E295" s="17">
        <v>277</v>
      </c>
      <c r="F295" t="s">
        <v>1703</v>
      </c>
      <c r="G295" t="s">
        <v>1730</v>
      </c>
      <c r="H295" t="s">
        <v>1705</v>
      </c>
      <c r="I295">
        <v>0</v>
      </c>
      <c r="J295" s="8">
        <v>16.875815623537381</v>
      </c>
      <c r="K295" s="8">
        <v>50.487291028217648</v>
      </c>
      <c r="L295" s="8">
        <v>32.636893348244968</v>
      </c>
      <c r="M295" s="8">
        <v>0.45541270267933359</v>
      </c>
      <c r="N295" s="8">
        <v>0.31670409073474914</v>
      </c>
      <c r="O295" s="8">
        <v>78.614968447307021</v>
      </c>
      <c r="P295" s="8">
        <v>101.48528874373174</v>
      </c>
      <c r="Q295" s="8">
        <v>21.732689385744266</v>
      </c>
      <c r="R295" s="8">
        <v>18.872714457798214</v>
      </c>
      <c r="S295" s="8">
        <v>0.85599999999999998</v>
      </c>
      <c r="T295" s="8">
        <v>0.874</v>
      </c>
      <c r="U295" s="8">
        <v>0.56000000000000005</v>
      </c>
      <c r="V295" s="8">
        <v>0.497</v>
      </c>
      <c r="W295" s="8">
        <v>0.29599999999999993</v>
      </c>
      <c r="X295" s="8">
        <v>0.377</v>
      </c>
      <c r="Y295" s="8">
        <v>2.7859237536656818</v>
      </c>
      <c r="Z295" s="8">
        <v>3.1201248049922157</v>
      </c>
      <c r="AA295" s="8">
        <v>8.59</v>
      </c>
      <c r="AB295">
        <v>0.26500000000000001</v>
      </c>
      <c r="AC295" s="8">
        <v>7.9178885630498668</v>
      </c>
      <c r="AD295" s="8">
        <v>9.0483619344773523</v>
      </c>
      <c r="AE295" s="8">
        <v>3.5000000000000003E-2</v>
      </c>
      <c r="AF295" s="8">
        <v>3.6999999999999998E-2</v>
      </c>
      <c r="AG295" s="8">
        <v>1.6136825179626719</v>
      </c>
      <c r="AH295" s="8">
        <v>24.457142857142856</v>
      </c>
      <c r="AI295" s="8">
        <v>24.971428571428568</v>
      </c>
      <c r="AJ295" t="s">
        <v>1694</v>
      </c>
      <c r="AK295" t="s">
        <v>1694</v>
      </c>
      <c r="AL295" t="s">
        <v>1702</v>
      </c>
      <c r="AM295" t="s">
        <v>1703</v>
      </c>
      <c r="AN295" t="s">
        <v>1702</v>
      </c>
      <c r="AO295" t="s">
        <v>1703</v>
      </c>
      <c r="AP295" t="s">
        <v>1702</v>
      </c>
      <c r="AQ295" t="s">
        <v>1725</v>
      </c>
      <c r="AR295" t="s">
        <v>1703</v>
      </c>
      <c r="AS295" t="s">
        <v>1702</v>
      </c>
      <c r="AT295" t="s">
        <v>1703</v>
      </c>
      <c r="AU295" t="s">
        <v>1704</v>
      </c>
      <c r="AV295" t="s">
        <v>1725</v>
      </c>
      <c r="AW295" t="s">
        <v>1703</v>
      </c>
      <c r="AX295" t="s">
        <v>1704</v>
      </c>
      <c r="AY295" t="s">
        <v>1725</v>
      </c>
      <c r="AZ295" t="s">
        <v>1703</v>
      </c>
      <c r="BA295" t="s">
        <v>1702</v>
      </c>
      <c r="BB295" t="s">
        <v>1704</v>
      </c>
      <c r="BC295" t="s">
        <v>1725</v>
      </c>
      <c r="BD295" t="s">
        <v>1703</v>
      </c>
      <c r="BE295" t="s">
        <v>1704</v>
      </c>
      <c r="BF295" t="s">
        <v>1725</v>
      </c>
      <c r="BG295">
        <v>98</v>
      </c>
      <c r="BH295" s="12" t="s">
        <v>1713</v>
      </c>
      <c r="BI295" t="b">
        <v>0</v>
      </c>
      <c r="BJ295">
        <f t="shared" si="4"/>
        <v>0</v>
      </c>
    </row>
    <row r="296" spans="1:62" x14ac:dyDescent="0.2">
      <c r="A296" s="5" t="s">
        <v>62</v>
      </c>
      <c r="B296" s="6">
        <v>42083</v>
      </c>
      <c r="C296" s="7">
        <v>33.407719</v>
      </c>
      <c r="D296" s="7">
        <v>-112.460961</v>
      </c>
      <c r="E296" s="17">
        <v>277</v>
      </c>
      <c r="F296" t="s">
        <v>1697</v>
      </c>
      <c r="G296" t="s">
        <v>1697</v>
      </c>
      <c r="H296" t="s">
        <v>1697</v>
      </c>
      <c r="I296" t="s">
        <v>1697</v>
      </c>
      <c r="J296">
        <v>11.9743391178243</v>
      </c>
      <c r="K296">
        <v>67.758466618077406</v>
      </c>
      <c r="L296">
        <v>20.2671942640984</v>
      </c>
      <c r="M296">
        <v>5.3763460777266703</v>
      </c>
      <c r="N296">
        <v>14.3678400268477</v>
      </c>
      <c r="O296">
        <v>66.204592196799595</v>
      </c>
      <c r="P296">
        <v>223.74346301350499</v>
      </c>
      <c r="Q296">
        <v>10.3704963408757</v>
      </c>
      <c r="R296">
        <v>8.2896898689029292</v>
      </c>
      <c r="S296">
        <v>0.92800000000000005</v>
      </c>
      <c r="T296">
        <v>1.01</v>
      </c>
      <c r="U296">
        <v>0.65400000000000003</v>
      </c>
      <c r="V296">
        <v>0.64400000000000002</v>
      </c>
      <c r="W296">
        <v>0.27400000000000002</v>
      </c>
      <c r="X296">
        <v>0.36599999999999999</v>
      </c>
      <c r="Y296">
        <v>1.9280205655527001</v>
      </c>
      <c r="Z296">
        <v>2.4475524475524599</v>
      </c>
      <c r="AA296">
        <v>8.1999999999999993</v>
      </c>
      <c r="AB296">
        <v>1.8879999999999999</v>
      </c>
      <c r="AC296">
        <v>3.7701974865350101</v>
      </c>
      <c r="AD296">
        <v>4.9128367670364597</v>
      </c>
      <c r="AE296">
        <v>5.0999999999999997E-2</v>
      </c>
      <c r="AF296">
        <v>9.1999999999999998E-2</v>
      </c>
      <c r="AG296">
        <v>1.7718818045152749</v>
      </c>
      <c r="AH296">
        <v>18.196078431372602</v>
      </c>
      <c r="AI296">
        <v>10.978260869565201</v>
      </c>
      <c r="AJ296" t="s">
        <v>1694</v>
      </c>
      <c r="AK296" t="s">
        <v>1694</v>
      </c>
      <c r="AL296" t="s">
        <v>1702</v>
      </c>
      <c r="AM296" t="s">
        <v>1703</v>
      </c>
      <c r="AN296" t="s">
        <v>1702</v>
      </c>
      <c r="AO296" t="s">
        <v>1703</v>
      </c>
      <c r="AP296" t="s">
        <v>1702</v>
      </c>
      <c r="AQ296" t="s">
        <v>1725</v>
      </c>
      <c r="AR296" t="s">
        <v>1703</v>
      </c>
      <c r="AS296" t="s">
        <v>1702</v>
      </c>
      <c r="AT296" t="s">
        <v>1703</v>
      </c>
      <c r="AU296" t="s">
        <v>1704</v>
      </c>
      <c r="AV296" t="s">
        <v>1725</v>
      </c>
      <c r="AW296" t="s">
        <v>1703</v>
      </c>
      <c r="AX296" t="s">
        <v>1704</v>
      </c>
      <c r="AY296" t="s">
        <v>1725</v>
      </c>
      <c r="AZ296" t="s">
        <v>1703</v>
      </c>
      <c r="BA296" t="s">
        <v>1702</v>
      </c>
      <c r="BB296" t="s">
        <v>1704</v>
      </c>
      <c r="BC296" t="s">
        <v>1725</v>
      </c>
      <c r="BD296" t="s">
        <v>1703</v>
      </c>
      <c r="BE296" t="s">
        <v>1704</v>
      </c>
      <c r="BF296" t="s">
        <v>1725</v>
      </c>
      <c r="BG296">
        <v>103</v>
      </c>
      <c r="BH296" t="s">
        <v>1731</v>
      </c>
      <c r="BI296" t="b">
        <v>0</v>
      </c>
      <c r="BJ296">
        <f t="shared" si="4"/>
        <v>0</v>
      </c>
    </row>
    <row r="297" spans="1:62" x14ac:dyDescent="0.2">
      <c r="A297" s="5" t="s">
        <v>868</v>
      </c>
      <c r="B297" s="6">
        <v>38498</v>
      </c>
      <c r="C297" s="7">
        <v>33.782074999999999</v>
      </c>
      <c r="D297" s="7">
        <v>-112.423953</v>
      </c>
      <c r="E297" s="17">
        <v>499</v>
      </c>
      <c r="F297" s="8" t="s">
        <v>1694</v>
      </c>
      <c r="G297" s="8" t="s">
        <v>1694</v>
      </c>
      <c r="H297" s="8" t="s">
        <v>1694</v>
      </c>
      <c r="I297">
        <v>0</v>
      </c>
      <c r="J297" s="8">
        <v>5.9161877018816185</v>
      </c>
      <c r="K297" s="8">
        <v>71.621769763800984</v>
      </c>
      <c r="L297" s="8">
        <v>22.462042534317391</v>
      </c>
      <c r="M297" s="8">
        <v>0.39352629761802982</v>
      </c>
      <c r="N297" s="8">
        <v>0.52947011840221303</v>
      </c>
      <c r="O297" s="8">
        <v>1.5190115088055949</v>
      </c>
      <c r="P297" s="8">
        <v>1.0148177269375751</v>
      </c>
      <c r="Q297" s="8">
        <v>1.731515709519331</v>
      </c>
      <c r="R297" s="8">
        <v>3.1674310925499882</v>
      </c>
      <c r="S297" s="8">
        <v>0.28100000000000003</v>
      </c>
      <c r="T297" s="8">
        <v>0.46300000000000002</v>
      </c>
      <c r="U297" s="8">
        <v>3.7999999999999999E-2</v>
      </c>
      <c r="V297" s="8">
        <v>0.247</v>
      </c>
      <c r="W297" s="8">
        <v>0.24300000000000002</v>
      </c>
      <c r="X297" s="8">
        <v>0.21600000000000003</v>
      </c>
      <c r="Y297" s="8">
        <v>2.000000000000012</v>
      </c>
      <c r="Z297" s="8">
        <v>2.0942408376963368</v>
      </c>
      <c r="AA297" s="8">
        <v>8.32</v>
      </c>
      <c r="AB297">
        <v>0.11700000000000001</v>
      </c>
      <c r="AC297" s="8">
        <v>0.30769230769230116</v>
      </c>
      <c r="AD297" s="8">
        <v>1.4397905759162231</v>
      </c>
      <c r="AE297" s="8">
        <v>2.5000000000000001E-2</v>
      </c>
      <c r="AF297" s="8">
        <v>0.02</v>
      </c>
      <c r="AG297" s="8">
        <v>1.7598357836095404</v>
      </c>
      <c r="AH297" s="8">
        <v>11.24</v>
      </c>
      <c r="AI297" s="8">
        <v>18.52</v>
      </c>
      <c r="AJ297" t="s">
        <v>1694</v>
      </c>
      <c r="AK297" t="s">
        <v>1694</v>
      </c>
      <c r="AL297" t="s">
        <v>1694</v>
      </c>
      <c r="AM297" t="s">
        <v>1694</v>
      </c>
      <c r="AN297" t="s">
        <v>1694</v>
      </c>
      <c r="AO297" t="s">
        <v>1694</v>
      </c>
      <c r="AP297" t="s">
        <v>1695</v>
      </c>
      <c r="AQ297" t="s">
        <v>1694</v>
      </c>
      <c r="AR297" t="s">
        <v>1694</v>
      </c>
      <c r="AS297" t="s">
        <v>1694</v>
      </c>
      <c r="AT297" t="s">
        <v>1694</v>
      </c>
      <c r="AU297" t="s">
        <v>1697</v>
      </c>
      <c r="AV297" t="s">
        <v>1697</v>
      </c>
      <c r="AW297" t="s">
        <v>1697</v>
      </c>
      <c r="AX297" t="s">
        <v>1706</v>
      </c>
      <c r="AY297" t="s">
        <v>1746</v>
      </c>
      <c r="AZ297" t="s">
        <v>1706</v>
      </c>
      <c r="BA297" t="s">
        <v>1702</v>
      </c>
      <c r="BB297" t="s">
        <v>1706</v>
      </c>
      <c r="BC297" t="s">
        <v>1746</v>
      </c>
      <c r="BD297" t="s">
        <v>1706</v>
      </c>
      <c r="BE297" t="s">
        <v>1706</v>
      </c>
      <c r="BF297" t="s">
        <v>1746</v>
      </c>
      <c r="BG297" t="s">
        <v>1697</v>
      </c>
      <c r="BH297" t="s">
        <v>1698</v>
      </c>
      <c r="BI297" t="b">
        <v>0</v>
      </c>
      <c r="BJ297">
        <f t="shared" si="4"/>
        <v>0</v>
      </c>
    </row>
    <row r="298" spans="1:62" x14ac:dyDescent="0.2">
      <c r="A298" s="5" t="s">
        <v>868</v>
      </c>
      <c r="B298" s="6">
        <v>40262</v>
      </c>
      <c r="C298" s="7">
        <v>33.782074999999999</v>
      </c>
      <c r="D298" s="7">
        <v>-112.423953</v>
      </c>
      <c r="E298" s="17">
        <v>499</v>
      </c>
      <c r="F298" s="8" t="s">
        <v>1706</v>
      </c>
      <c r="G298" s="8" t="s">
        <v>1724</v>
      </c>
      <c r="H298" s="8" t="s">
        <v>1724</v>
      </c>
      <c r="I298">
        <v>1</v>
      </c>
      <c r="J298" s="8">
        <v>2.7527925454025621</v>
      </c>
      <c r="K298" s="8">
        <v>87.254618402158883</v>
      </c>
      <c r="L298" s="8">
        <v>9.9925890524385608</v>
      </c>
      <c r="M298" s="8">
        <v>0.78196316098430418</v>
      </c>
      <c r="N298" s="8">
        <v>0.18515650301725686</v>
      </c>
      <c r="O298" s="8">
        <v>1.0064872369104905</v>
      </c>
      <c r="P298" s="8">
        <v>0.65734601289532679</v>
      </c>
      <c r="Q298" s="8">
        <v>11.47949479749653</v>
      </c>
      <c r="R298" s="8">
        <v>2.5000000000000001E-3</v>
      </c>
      <c r="S298" s="8">
        <v>0.19800000000000001</v>
      </c>
      <c r="T298" s="8">
        <v>0.29599999999999999</v>
      </c>
      <c r="U298" s="8">
        <v>5.3999999999999999E-2</v>
      </c>
      <c r="V298" s="8">
        <v>0.18</v>
      </c>
      <c r="W298" s="8">
        <v>0.14400000000000002</v>
      </c>
      <c r="X298" s="8">
        <v>0.11599999999999999</v>
      </c>
      <c r="Y298" s="8">
        <v>1.4869888475836444</v>
      </c>
      <c r="Z298" s="8">
        <v>1.6393442622951049</v>
      </c>
      <c r="AA298" s="8">
        <v>8.8800000000000008</v>
      </c>
      <c r="AB298">
        <v>6.4000000000000001E-2</v>
      </c>
      <c r="AC298" s="8">
        <v>0.92936802973977373</v>
      </c>
      <c r="AD298" s="8">
        <v>1.6393442622950758</v>
      </c>
      <c r="AE298" s="8">
        <v>1.7999999999999999E-2</v>
      </c>
      <c r="AF298" s="8">
        <v>2.1999999999999999E-2</v>
      </c>
      <c r="AG298" s="8">
        <v>1.589414303052348</v>
      </c>
      <c r="AH298" s="8">
        <v>11.000000000000002</v>
      </c>
      <c r="AI298" s="8">
        <v>16.444444444444446</v>
      </c>
      <c r="AJ298" t="s">
        <v>1694</v>
      </c>
      <c r="AK298" t="s">
        <v>1694</v>
      </c>
      <c r="AL298" t="s">
        <v>1694</v>
      </c>
      <c r="AM298" t="s">
        <v>1694</v>
      </c>
      <c r="AN298" t="s">
        <v>1694</v>
      </c>
      <c r="AO298" t="s">
        <v>1694</v>
      </c>
      <c r="AP298" t="s">
        <v>1695</v>
      </c>
      <c r="AQ298" t="s">
        <v>1694</v>
      </c>
      <c r="AR298" t="s">
        <v>1694</v>
      </c>
      <c r="AS298" t="s">
        <v>1694</v>
      </c>
      <c r="AT298" t="s">
        <v>1694</v>
      </c>
      <c r="AU298" t="s">
        <v>1697</v>
      </c>
      <c r="AV298" t="s">
        <v>1697</v>
      </c>
      <c r="AW298" t="s">
        <v>1697</v>
      </c>
      <c r="AX298" t="s">
        <v>1706</v>
      </c>
      <c r="AY298" t="s">
        <v>1746</v>
      </c>
      <c r="AZ298" t="s">
        <v>1706</v>
      </c>
      <c r="BA298" t="s">
        <v>1702</v>
      </c>
      <c r="BB298" t="s">
        <v>1706</v>
      </c>
      <c r="BC298" t="s">
        <v>1746</v>
      </c>
      <c r="BD298" t="s">
        <v>1706</v>
      </c>
      <c r="BE298" t="s">
        <v>1706</v>
      </c>
      <c r="BF298" t="s">
        <v>1746</v>
      </c>
      <c r="BG298" s="8">
        <v>5</v>
      </c>
      <c r="BH298" s="8" t="s">
        <v>1708</v>
      </c>
      <c r="BI298" t="b">
        <v>0</v>
      </c>
      <c r="BJ298">
        <f t="shared" si="4"/>
        <v>0</v>
      </c>
    </row>
    <row r="299" spans="1:62" x14ac:dyDescent="0.2">
      <c r="A299" s="5" t="s">
        <v>868</v>
      </c>
      <c r="B299" s="6">
        <v>42068</v>
      </c>
      <c r="C299" s="7">
        <v>33.782074999999999</v>
      </c>
      <c r="D299" s="7">
        <v>-112.423953</v>
      </c>
      <c r="E299" s="17">
        <v>499</v>
      </c>
      <c r="F299" s="8" t="s">
        <v>1697</v>
      </c>
      <c r="G299" s="8" t="s">
        <v>1697</v>
      </c>
      <c r="H299" s="8" t="s">
        <v>1697</v>
      </c>
      <c r="I299" t="s">
        <v>1697</v>
      </c>
      <c r="J299">
        <v>4.8841309859894997</v>
      </c>
      <c r="K299">
        <v>85.795420375356002</v>
      </c>
      <c r="L299">
        <v>9.3204486386545096</v>
      </c>
      <c r="M299">
        <v>2.14511361821355</v>
      </c>
      <c r="N299">
        <v>2.7604061223968199</v>
      </c>
      <c r="O299">
        <v>4.9842345834961899</v>
      </c>
      <c r="P299">
        <v>1.77213858697384</v>
      </c>
      <c r="Q299">
        <v>13.147489431793799</v>
      </c>
      <c r="R299">
        <v>2.42135801853484</v>
      </c>
      <c r="S299">
        <v>0.218</v>
      </c>
      <c r="T299">
        <v>0.29899999999999999</v>
      </c>
      <c r="U299">
        <v>0.10199999999999999</v>
      </c>
      <c r="V299">
        <v>0.26400000000000001</v>
      </c>
      <c r="W299">
        <v>0.11600000000000001</v>
      </c>
      <c r="X299">
        <v>3.5000000000000003E-2</v>
      </c>
      <c r="Y299">
        <v>1.1376564277588099</v>
      </c>
      <c r="Z299">
        <v>0.783289817232382</v>
      </c>
      <c r="AA299">
        <v>7.97</v>
      </c>
      <c r="AB299">
        <v>0.17</v>
      </c>
      <c r="AC299">
        <v>0.914634146341471</v>
      </c>
      <c r="AD299">
        <v>1.2867647058823599</v>
      </c>
      <c r="AE299">
        <v>5.1999999999999998E-2</v>
      </c>
      <c r="AF299">
        <v>3.3000000000000002E-2</v>
      </c>
      <c r="AG299">
        <v>1.7262320666184046</v>
      </c>
      <c r="AH299">
        <v>4.1923076923076898</v>
      </c>
      <c r="AI299">
        <v>9.0606060606060606</v>
      </c>
      <c r="AJ299" t="s">
        <v>1694</v>
      </c>
      <c r="AK299" t="s">
        <v>1694</v>
      </c>
      <c r="AL299" t="s">
        <v>1694</v>
      </c>
      <c r="AM299" t="s">
        <v>1694</v>
      </c>
      <c r="AN299" t="s">
        <v>1694</v>
      </c>
      <c r="AO299" t="s">
        <v>1694</v>
      </c>
      <c r="AP299" t="s">
        <v>1695</v>
      </c>
      <c r="AQ299" t="s">
        <v>1694</v>
      </c>
      <c r="AR299" t="s">
        <v>1694</v>
      </c>
      <c r="AS299" t="s">
        <v>1694</v>
      </c>
      <c r="AT299" t="s">
        <v>1694</v>
      </c>
      <c r="AU299" t="s">
        <v>1697</v>
      </c>
      <c r="AV299" t="s">
        <v>1697</v>
      </c>
      <c r="AW299" t="s">
        <v>1697</v>
      </c>
      <c r="AX299" t="s">
        <v>1706</v>
      </c>
      <c r="AY299" t="s">
        <v>1746</v>
      </c>
      <c r="AZ299" t="s">
        <v>1706</v>
      </c>
      <c r="BA299" t="s">
        <v>1702</v>
      </c>
      <c r="BB299" t="s">
        <v>1706</v>
      </c>
      <c r="BC299" t="s">
        <v>1746</v>
      </c>
      <c r="BD299" t="s">
        <v>1706</v>
      </c>
      <c r="BE299" t="s">
        <v>1706</v>
      </c>
      <c r="BF299" t="s">
        <v>1746</v>
      </c>
      <c r="BG299" s="8">
        <v>10</v>
      </c>
      <c r="BH299" s="8" t="s">
        <v>1708</v>
      </c>
      <c r="BI299" t="b">
        <v>0</v>
      </c>
      <c r="BJ299">
        <f t="shared" si="4"/>
        <v>0</v>
      </c>
    </row>
    <row r="300" spans="1:62" x14ac:dyDescent="0.2">
      <c r="A300" s="5" t="s">
        <v>868</v>
      </c>
      <c r="B300" s="6">
        <v>45068</v>
      </c>
      <c r="C300" s="7">
        <v>33.782074999999999</v>
      </c>
      <c r="D300" s="7">
        <v>-112.423953</v>
      </c>
      <c r="E300" s="17">
        <v>499</v>
      </c>
      <c r="F300" t="s">
        <v>1694</v>
      </c>
      <c r="G300" t="s">
        <v>1694</v>
      </c>
      <c r="H300" t="s">
        <v>1694</v>
      </c>
      <c r="I300">
        <v>0</v>
      </c>
      <c r="J300" t="s">
        <v>1697</v>
      </c>
      <c r="K300" t="s">
        <v>1697</v>
      </c>
      <c r="L300" t="s">
        <v>1697</v>
      </c>
      <c r="M300" t="s">
        <v>1697</v>
      </c>
      <c r="N300" t="s">
        <v>1697</v>
      </c>
      <c r="O300" t="s">
        <v>1697</v>
      </c>
      <c r="P300" t="s">
        <v>1697</v>
      </c>
      <c r="Q300" t="s">
        <v>1697</v>
      </c>
      <c r="R300" t="s">
        <v>1697</v>
      </c>
      <c r="S300" t="s">
        <v>1697</v>
      </c>
      <c r="T300" t="s">
        <v>1697</v>
      </c>
      <c r="U300" t="s">
        <v>1697</v>
      </c>
      <c r="V300" t="s">
        <v>1697</v>
      </c>
      <c r="W300" t="s">
        <v>1697</v>
      </c>
      <c r="X300" t="s">
        <v>1697</v>
      </c>
      <c r="Y300" t="s">
        <v>1697</v>
      </c>
      <c r="Z300" t="s">
        <v>1697</v>
      </c>
      <c r="AA300" t="s">
        <v>1697</v>
      </c>
      <c r="AB300" t="s">
        <v>1697</v>
      </c>
      <c r="AC300" t="s">
        <v>1697</v>
      </c>
      <c r="AD300" t="s">
        <v>1697</v>
      </c>
      <c r="AE300" t="s">
        <v>1697</v>
      </c>
      <c r="AF300" t="s">
        <v>1697</v>
      </c>
      <c r="AG300" t="s">
        <v>1697</v>
      </c>
      <c r="AH300" t="s">
        <v>1697</v>
      </c>
      <c r="AI300" t="s">
        <v>1697</v>
      </c>
      <c r="AJ300" t="s">
        <v>1694</v>
      </c>
      <c r="AK300" t="s">
        <v>1694</v>
      </c>
      <c r="AL300" t="s">
        <v>1694</v>
      </c>
      <c r="AM300" t="s">
        <v>1694</v>
      </c>
      <c r="AN300" t="s">
        <v>1694</v>
      </c>
      <c r="AO300" t="s">
        <v>1694</v>
      </c>
      <c r="AP300" t="s">
        <v>1695</v>
      </c>
      <c r="AQ300" t="s">
        <v>1694</v>
      </c>
      <c r="AR300" t="s">
        <v>1694</v>
      </c>
      <c r="AS300" t="s">
        <v>1694</v>
      </c>
      <c r="AT300" t="s">
        <v>1694</v>
      </c>
      <c r="AU300" t="s">
        <v>1697</v>
      </c>
      <c r="AV300" t="s">
        <v>1697</v>
      </c>
      <c r="AW300" t="s">
        <v>1697</v>
      </c>
      <c r="AX300" t="s">
        <v>1706</v>
      </c>
      <c r="AY300" t="s">
        <v>1746</v>
      </c>
      <c r="AZ300" t="s">
        <v>1706</v>
      </c>
      <c r="BA300" t="s">
        <v>1702</v>
      </c>
      <c r="BB300" t="s">
        <v>1706</v>
      </c>
      <c r="BC300" t="s">
        <v>1746</v>
      </c>
      <c r="BD300" t="s">
        <v>1706</v>
      </c>
      <c r="BE300" t="s">
        <v>1706</v>
      </c>
      <c r="BF300" t="s">
        <v>1746</v>
      </c>
      <c r="BG300" s="6" t="s">
        <v>1697</v>
      </c>
      <c r="BH300" s="6" t="s">
        <v>1697</v>
      </c>
      <c r="BI300" t="b">
        <v>1</v>
      </c>
      <c r="BJ300">
        <f t="shared" si="4"/>
        <v>1</v>
      </c>
    </row>
    <row r="301" spans="1:62" x14ac:dyDescent="0.2">
      <c r="A301" s="5" t="s">
        <v>869</v>
      </c>
      <c r="B301" s="6">
        <v>36602</v>
      </c>
      <c r="C301" s="7">
        <v>33.721285999999999</v>
      </c>
      <c r="D301" s="7">
        <v>-112.43999700000001</v>
      </c>
      <c r="E301" s="17">
        <v>440</v>
      </c>
      <c r="F301" t="s">
        <v>1694</v>
      </c>
      <c r="G301" t="s">
        <v>1694</v>
      </c>
      <c r="H301" t="s">
        <v>1694</v>
      </c>
      <c r="I301">
        <v>0</v>
      </c>
      <c r="J301" s="8">
        <v>14.736820555293553</v>
      </c>
      <c r="K301" s="8">
        <v>55.340202473148608</v>
      </c>
      <c r="L301" s="8">
        <v>29.922976971557844</v>
      </c>
      <c r="M301" s="8">
        <v>2.1589907038479161</v>
      </c>
      <c r="N301" s="8">
        <v>2.1192499533047324</v>
      </c>
      <c r="O301" s="8">
        <v>2.715672264662111</v>
      </c>
      <c r="P301" s="8">
        <v>10.290025287682891</v>
      </c>
      <c r="Q301" s="8">
        <v>11.871390181268955</v>
      </c>
      <c r="R301" s="8">
        <v>8.6587881961546334</v>
      </c>
      <c r="S301" s="8">
        <v>0.28000000000000003</v>
      </c>
      <c r="T301" s="8">
        <v>0.39800000000000002</v>
      </c>
      <c r="U301" s="8">
        <v>4.2000000000000003E-2</v>
      </c>
      <c r="V301" s="8">
        <v>0.17599999999999999</v>
      </c>
      <c r="W301" s="8">
        <v>0.23799999999999999</v>
      </c>
      <c r="X301" s="8">
        <v>0.222</v>
      </c>
      <c r="Y301" s="8">
        <v>2.1815600000000002</v>
      </c>
      <c r="Z301" s="8">
        <v>2.1593399999999998</v>
      </c>
      <c r="AA301" s="9">
        <v>8.19</v>
      </c>
      <c r="AB301" s="10">
        <v>0.28699999999999998</v>
      </c>
      <c r="AC301" s="8">
        <v>5.4341699999999999</v>
      </c>
      <c r="AD301" s="8">
        <v>7.8235299999999999</v>
      </c>
      <c r="AE301" s="8">
        <v>3.9E-2</v>
      </c>
      <c r="AF301" s="8">
        <v>3.3000000000000002E-2</v>
      </c>
      <c r="AG301" s="8">
        <v>1.4684657983402629</v>
      </c>
      <c r="AH301" s="8">
        <v>7.1794871794871797</v>
      </c>
      <c r="AI301" s="8">
        <v>10.205128205128206</v>
      </c>
      <c r="AJ301" t="s">
        <v>1694</v>
      </c>
      <c r="AK301" t="s">
        <v>1694</v>
      </c>
      <c r="AL301" t="s">
        <v>1694</v>
      </c>
      <c r="AM301" t="s">
        <v>1694</v>
      </c>
      <c r="AN301" t="s">
        <v>1694</v>
      </c>
      <c r="AO301" t="s">
        <v>1694</v>
      </c>
      <c r="AP301" t="s">
        <v>1695</v>
      </c>
      <c r="AQ301" t="s">
        <v>1694</v>
      </c>
      <c r="AR301" t="s">
        <v>1694</v>
      </c>
      <c r="AS301" t="s">
        <v>1694</v>
      </c>
      <c r="AT301" t="s">
        <v>1694</v>
      </c>
      <c r="AU301" t="s">
        <v>1695</v>
      </c>
      <c r="AV301" t="s">
        <v>1694</v>
      </c>
      <c r="AW301" t="s">
        <v>1694</v>
      </c>
      <c r="AX301" t="s">
        <v>1695</v>
      </c>
      <c r="AY301" t="s">
        <v>1694</v>
      </c>
      <c r="AZ301" t="s">
        <v>1694</v>
      </c>
      <c r="BA301" t="s">
        <v>1694</v>
      </c>
      <c r="BB301" t="s">
        <v>1695</v>
      </c>
      <c r="BC301" t="s">
        <v>1694</v>
      </c>
      <c r="BD301" t="s">
        <v>1694</v>
      </c>
      <c r="BE301" t="s">
        <v>1695</v>
      </c>
      <c r="BF301" t="s">
        <v>1694</v>
      </c>
      <c r="BG301" t="s">
        <v>1697</v>
      </c>
      <c r="BH301" t="s">
        <v>1698</v>
      </c>
      <c r="BI301" t="b">
        <v>0</v>
      </c>
      <c r="BJ301">
        <f t="shared" si="4"/>
        <v>0</v>
      </c>
    </row>
    <row r="302" spans="1:62" x14ac:dyDescent="0.2">
      <c r="A302" s="5" t="s">
        <v>869</v>
      </c>
      <c r="B302" s="6">
        <v>38483</v>
      </c>
      <c r="C302" s="7">
        <v>33.721285999999999</v>
      </c>
      <c r="D302" s="7">
        <v>-112.43999700000001</v>
      </c>
      <c r="E302" s="17">
        <v>440</v>
      </c>
      <c r="F302" t="s">
        <v>1694</v>
      </c>
      <c r="G302" t="s">
        <v>1694</v>
      </c>
      <c r="H302" t="s">
        <v>1694</v>
      </c>
      <c r="I302">
        <v>0</v>
      </c>
      <c r="J302" s="8">
        <v>6.8945310673627782</v>
      </c>
      <c r="K302" s="8">
        <v>60.810729412691245</v>
      </c>
      <c r="L302" s="8">
        <v>32.294739519945978</v>
      </c>
      <c r="M302" s="8" t="s">
        <v>1697</v>
      </c>
      <c r="N302" s="8" t="s">
        <v>1697</v>
      </c>
      <c r="O302" s="8" t="s">
        <v>1697</v>
      </c>
      <c r="P302" s="8" t="s">
        <v>1697</v>
      </c>
      <c r="Q302" s="8">
        <v>22.883685816172985</v>
      </c>
      <c r="R302" s="8">
        <v>4.8303079404593223</v>
      </c>
      <c r="S302" s="8">
        <v>0.24199999999999999</v>
      </c>
      <c r="T302" s="8">
        <v>0.33900000000000002</v>
      </c>
      <c r="U302" s="8">
        <v>2.8000000000000001E-2</v>
      </c>
      <c r="V302" s="8">
        <v>0.157</v>
      </c>
      <c r="W302" s="8">
        <v>0.214</v>
      </c>
      <c r="X302" s="8">
        <v>0.18200000000000002</v>
      </c>
      <c r="Y302" s="8">
        <v>2.631578947368419</v>
      </c>
      <c r="Z302" s="8">
        <v>2.7833001988071508</v>
      </c>
      <c r="AA302" s="8">
        <v>8.18</v>
      </c>
      <c r="AB302">
        <v>0.191</v>
      </c>
      <c r="AC302" s="8">
        <v>0</v>
      </c>
      <c r="AD302" s="8">
        <v>0.59642147117296729</v>
      </c>
      <c r="AE302" s="8">
        <v>3.4000000000000002E-2</v>
      </c>
      <c r="AF302" s="8">
        <v>2.1000000000000001E-2</v>
      </c>
      <c r="AG302" s="8">
        <v>1.5269591579774522</v>
      </c>
      <c r="AH302" s="8">
        <v>7.117647058823529</v>
      </c>
      <c r="AI302" s="8">
        <v>9.9705882352941178</v>
      </c>
      <c r="AJ302" t="s">
        <v>1694</v>
      </c>
      <c r="AK302" t="s">
        <v>1694</v>
      </c>
      <c r="AL302" t="s">
        <v>1694</v>
      </c>
      <c r="AM302" t="s">
        <v>1694</v>
      </c>
      <c r="AN302" t="s">
        <v>1694</v>
      </c>
      <c r="AO302" t="s">
        <v>1694</v>
      </c>
      <c r="AP302" t="s">
        <v>1695</v>
      </c>
      <c r="AQ302" t="s">
        <v>1694</v>
      </c>
      <c r="AR302" t="s">
        <v>1694</v>
      </c>
      <c r="AS302" t="s">
        <v>1694</v>
      </c>
      <c r="AT302" t="s">
        <v>1694</v>
      </c>
      <c r="AU302" t="s">
        <v>1695</v>
      </c>
      <c r="AV302" t="s">
        <v>1694</v>
      </c>
      <c r="AW302" t="s">
        <v>1694</v>
      </c>
      <c r="AX302" t="s">
        <v>1695</v>
      </c>
      <c r="AY302" t="s">
        <v>1694</v>
      </c>
      <c r="AZ302" t="s">
        <v>1694</v>
      </c>
      <c r="BA302" t="s">
        <v>1694</v>
      </c>
      <c r="BB302" t="s">
        <v>1695</v>
      </c>
      <c r="BC302" t="s">
        <v>1694</v>
      </c>
      <c r="BD302" t="s">
        <v>1694</v>
      </c>
      <c r="BE302" t="s">
        <v>1695</v>
      </c>
      <c r="BF302" t="s">
        <v>1694</v>
      </c>
      <c r="BG302" t="s">
        <v>1697</v>
      </c>
      <c r="BH302" t="s">
        <v>1698</v>
      </c>
      <c r="BI302" t="b">
        <v>0</v>
      </c>
      <c r="BJ302">
        <f t="shared" si="4"/>
        <v>0</v>
      </c>
    </row>
    <row r="303" spans="1:62" x14ac:dyDescent="0.2">
      <c r="A303" s="5" t="s">
        <v>869</v>
      </c>
      <c r="B303" s="6">
        <v>40273</v>
      </c>
      <c r="C303" s="7">
        <v>33.721285999999999</v>
      </c>
      <c r="D303" s="7">
        <v>-112.43999700000001</v>
      </c>
      <c r="E303" s="17">
        <v>440</v>
      </c>
      <c r="F303" t="s">
        <v>1694</v>
      </c>
      <c r="G303" t="s">
        <v>1694</v>
      </c>
      <c r="H303" t="s">
        <v>1694</v>
      </c>
      <c r="I303">
        <v>0</v>
      </c>
      <c r="J303" s="8">
        <v>7.3892649337338918</v>
      </c>
      <c r="K303" s="8">
        <v>60.99828392858489</v>
      </c>
      <c r="L303" s="8">
        <v>31.612451137681219</v>
      </c>
      <c r="M303" s="8">
        <v>0.68572845667490712</v>
      </c>
      <c r="N303" s="8">
        <v>5.0000000000000001E-3</v>
      </c>
      <c r="O303" s="8">
        <v>0.45266578906535704</v>
      </c>
      <c r="P303" s="8">
        <v>0.35395782503164541</v>
      </c>
      <c r="Q303" s="8">
        <v>14.988281265608478</v>
      </c>
      <c r="R303" s="8">
        <v>6.2000508115393753</v>
      </c>
      <c r="S303" s="8">
        <v>0.27400000000000002</v>
      </c>
      <c r="T303" s="8">
        <v>0.253</v>
      </c>
      <c r="U303" s="8">
        <v>2.7E-2</v>
      </c>
      <c r="V303" s="8">
        <v>0.16</v>
      </c>
      <c r="W303" s="8">
        <v>0.24700000000000003</v>
      </c>
      <c r="X303" s="8">
        <v>9.2999999999999999E-2</v>
      </c>
      <c r="Y303" s="8">
        <v>2.3968042609853493</v>
      </c>
      <c r="Z303" s="8">
        <v>2.5862068965517202</v>
      </c>
      <c r="AA303" s="8">
        <v>7.44</v>
      </c>
      <c r="AB303">
        <v>0.13900000000000001</v>
      </c>
      <c r="AC303" s="8">
        <v>2.5299600532623341</v>
      </c>
      <c r="AD303" s="8">
        <v>4.0229885057471426</v>
      </c>
      <c r="AE303" s="8">
        <v>3.5999999999999997E-2</v>
      </c>
      <c r="AF303" s="8">
        <v>1.7000000000000001E-2</v>
      </c>
      <c r="AG303" s="8">
        <v>1.3892812900357749</v>
      </c>
      <c r="AH303" s="8">
        <v>7.6111111111111125</v>
      </c>
      <c r="AI303" s="8">
        <v>7.0277777777777786</v>
      </c>
      <c r="AJ303" t="s">
        <v>1694</v>
      </c>
      <c r="AK303" t="s">
        <v>1694</v>
      </c>
      <c r="AL303" t="s">
        <v>1694</v>
      </c>
      <c r="AM303" t="s">
        <v>1694</v>
      </c>
      <c r="AN303" t="s">
        <v>1694</v>
      </c>
      <c r="AO303" t="s">
        <v>1694</v>
      </c>
      <c r="AP303" t="s">
        <v>1695</v>
      </c>
      <c r="AQ303" t="s">
        <v>1694</v>
      </c>
      <c r="AR303" t="s">
        <v>1694</v>
      </c>
      <c r="AS303" t="s">
        <v>1694</v>
      </c>
      <c r="AT303" t="s">
        <v>1694</v>
      </c>
      <c r="AU303" t="s">
        <v>1695</v>
      </c>
      <c r="AV303" t="s">
        <v>1694</v>
      </c>
      <c r="AW303" t="s">
        <v>1752</v>
      </c>
      <c r="AX303" t="s">
        <v>1695</v>
      </c>
      <c r="AY303" t="s">
        <v>1694</v>
      </c>
      <c r="AZ303" t="s">
        <v>1694</v>
      </c>
      <c r="BA303" t="s">
        <v>1694</v>
      </c>
      <c r="BB303" t="s">
        <v>1695</v>
      </c>
      <c r="BC303" t="s">
        <v>1694</v>
      </c>
      <c r="BD303" t="s">
        <v>1694</v>
      </c>
      <c r="BE303" t="s">
        <v>1695</v>
      </c>
      <c r="BF303" t="s">
        <v>1694</v>
      </c>
      <c r="BG303" t="s">
        <v>1697</v>
      </c>
      <c r="BH303" t="s">
        <v>1698</v>
      </c>
      <c r="BI303" t="b">
        <v>0</v>
      </c>
      <c r="BJ303">
        <f t="shared" si="4"/>
        <v>0</v>
      </c>
    </row>
    <row r="304" spans="1:62" x14ac:dyDescent="0.2">
      <c r="A304" s="5" t="s">
        <v>63</v>
      </c>
      <c r="B304" s="6">
        <v>38462</v>
      </c>
      <c r="C304" s="7">
        <v>33.603242000000002</v>
      </c>
      <c r="D304" s="7">
        <v>-112.429311</v>
      </c>
      <c r="E304" s="17">
        <v>379</v>
      </c>
      <c r="F304" t="s">
        <v>1703</v>
      </c>
      <c r="G304" t="s">
        <v>1730</v>
      </c>
      <c r="H304" t="s">
        <v>1705</v>
      </c>
      <c r="I304">
        <v>0</v>
      </c>
      <c r="J304" s="8">
        <v>11.571969725113265</v>
      </c>
      <c r="K304" s="8">
        <v>67.621815037643159</v>
      </c>
      <c r="L304" s="8">
        <v>20.806215237243578</v>
      </c>
      <c r="M304" s="8">
        <v>1.6704543434394681</v>
      </c>
      <c r="N304" s="8">
        <v>0.95113462347622146</v>
      </c>
      <c r="O304" s="8">
        <v>1.1359089535388385</v>
      </c>
      <c r="P304" s="8">
        <v>2.1060838091259186</v>
      </c>
      <c r="Q304" s="8">
        <v>11.103195776955756</v>
      </c>
      <c r="R304" s="8">
        <v>3.1938940801772953</v>
      </c>
      <c r="S304" s="8">
        <v>0.71599999999999997</v>
      </c>
      <c r="T304" s="8">
        <v>0.45500000000000002</v>
      </c>
      <c r="U304" s="8">
        <v>0.11799999999999999</v>
      </c>
      <c r="V304" s="8">
        <v>0.23200000000000001</v>
      </c>
      <c r="W304" s="8">
        <v>0.59799999999999998</v>
      </c>
      <c r="X304" s="8">
        <v>0.223</v>
      </c>
      <c r="Y304" s="8">
        <v>3.0167597765363277</v>
      </c>
      <c r="Z304" s="8">
        <v>2.4413145539906087</v>
      </c>
      <c r="AA304" s="8">
        <v>8.17</v>
      </c>
      <c r="AB304">
        <v>0.161</v>
      </c>
      <c r="AC304" s="8">
        <v>1.6759776536312689</v>
      </c>
      <c r="AD304" s="8">
        <v>3.3802816901408566</v>
      </c>
      <c r="AE304" s="8">
        <v>6.4000000000000001E-2</v>
      </c>
      <c r="AF304" s="8">
        <v>3.2000000000000001E-2</v>
      </c>
      <c r="AG304" s="8">
        <v>1.3101801750645148</v>
      </c>
      <c r="AH304" s="8">
        <v>11.1875</v>
      </c>
      <c r="AI304" s="8">
        <v>7.109375</v>
      </c>
      <c r="AJ304" t="s">
        <v>1702</v>
      </c>
      <c r="AK304" t="s">
        <v>1703</v>
      </c>
      <c r="AL304" t="s">
        <v>1702</v>
      </c>
      <c r="AM304" t="s">
        <v>1703</v>
      </c>
      <c r="AN304" t="s">
        <v>1702</v>
      </c>
      <c r="AO304" t="s">
        <v>1703</v>
      </c>
      <c r="AP304" t="s">
        <v>1702</v>
      </c>
      <c r="AQ304" t="s">
        <v>1725</v>
      </c>
      <c r="AR304" t="s">
        <v>1703</v>
      </c>
      <c r="AS304" t="s">
        <v>1702</v>
      </c>
      <c r="AT304" t="s">
        <v>1703</v>
      </c>
      <c r="AU304" t="s">
        <v>1704</v>
      </c>
      <c r="AV304" t="s">
        <v>1725</v>
      </c>
      <c r="AW304" t="s">
        <v>1703</v>
      </c>
      <c r="AX304" t="s">
        <v>1704</v>
      </c>
      <c r="AY304" t="s">
        <v>1725</v>
      </c>
      <c r="AZ304" t="s">
        <v>1703</v>
      </c>
      <c r="BA304" t="s">
        <v>1702</v>
      </c>
      <c r="BB304" t="s">
        <v>1704</v>
      </c>
      <c r="BC304" t="s">
        <v>1725</v>
      </c>
      <c r="BD304" t="s">
        <v>1703</v>
      </c>
      <c r="BE304" t="s">
        <v>1704</v>
      </c>
      <c r="BF304" t="s">
        <v>1725</v>
      </c>
      <c r="BG304" t="s">
        <v>1697</v>
      </c>
      <c r="BH304" t="s">
        <v>1727</v>
      </c>
      <c r="BI304" t="b">
        <v>0</v>
      </c>
      <c r="BJ304">
        <f t="shared" si="4"/>
        <v>0</v>
      </c>
    </row>
    <row r="305" spans="1:62" x14ac:dyDescent="0.2">
      <c r="A305" s="5" t="s">
        <v>63</v>
      </c>
      <c r="B305" s="6">
        <v>40240</v>
      </c>
      <c r="C305" s="7">
        <v>33.603242000000002</v>
      </c>
      <c r="D305" s="7">
        <v>-112.429311</v>
      </c>
      <c r="E305" s="17">
        <v>379</v>
      </c>
      <c r="F305" t="s">
        <v>1703</v>
      </c>
      <c r="G305" t="s">
        <v>1730</v>
      </c>
      <c r="H305" t="s">
        <v>1705</v>
      </c>
      <c r="I305">
        <v>0</v>
      </c>
      <c r="J305" s="8">
        <v>13.916277404179477</v>
      </c>
      <c r="K305" s="8">
        <v>59.925507387346236</v>
      </c>
      <c r="L305" s="8">
        <v>26.158215208474289</v>
      </c>
      <c r="M305" s="8">
        <v>5.0000000000000001E-3</v>
      </c>
      <c r="N305" s="8">
        <v>5.0000000000000001E-3</v>
      </c>
      <c r="O305" s="8">
        <v>10.410409224473241</v>
      </c>
      <c r="P305" s="8">
        <v>4.5387817212063499</v>
      </c>
      <c r="Q305" s="8">
        <v>19.878187285507504</v>
      </c>
      <c r="R305" s="8">
        <v>2.5000000000000001E-3</v>
      </c>
      <c r="S305" s="8">
        <v>0.56499999999999995</v>
      </c>
      <c r="T305" s="8">
        <v>0.28399999999999997</v>
      </c>
      <c r="U305" s="8">
        <v>0.108</v>
      </c>
      <c r="V305" s="8">
        <v>0.13800000000000001</v>
      </c>
      <c r="W305" s="8">
        <v>0.45699999999999996</v>
      </c>
      <c r="X305" s="8">
        <v>0.14599999999999996</v>
      </c>
      <c r="Y305" s="8">
        <v>2.6666666666666687</v>
      </c>
      <c r="Z305" s="8">
        <v>2.1702838063439192</v>
      </c>
      <c r="AA305" s="8">
        <v>8.61</v>
      </c>
      <c r="AB305">
        <v>0.14699999999999999</v>
      </c>
      <c r="AC305" s="8">
        <v>9.4444444444444393</v>
      </c>
      <c r="AD305" s="8">
        <v>7.0116861435726197</v>
      </c>
      <c r="AE305" s="8">
        <v>0.05</v>
      </c>
      <c r="AF305" s="8">
        <v>5.0000000000000001E-3</v>
      </c>
      <c r="AG305" s="8">
        <v>1.5465666384146317</v>
      </c>
      <c r="AH305" s="8">
        <v>11.299999999999999</v>
      </c>
      <c r="AI305" s="8">
        <v>5.6799999999999988</v>
      </c>
      <c r="AJ305" t="s">
        <v>1702</v>
      </c>
      <c r="AK305" t="s">
        <v>1703</v>
      </c>
      <c r="AL305" t="s">
        <v>1702</v>
      </c>
      <c r="AM305" t="s">
        <v>1703</v>
      </c>
      <c r="AN305" t="s">
        <v>1702</v>
      </c>
      <c r="AO305" t="s">
        <v>1703</v>
      </c>
      <c r="AP305" t="s">
        <v>1702</v>
      </c>
      <c r="AQ305" t="s">
        <v>1725</v>
      </c>
      <c r="AR305" t="s">
        <v>1703</v>
      </c>
      <c r="AS305" t="s">
        <v>1702</v>
      </c>
      <c r="AT305" t="s">
        <v>1703</v>
      </c>
      <c r="AU305" t="s">
        <v>1704</v>
      </c>
      <c r="AV305" t="s">
        <v>1725</v>
      </c>
      <c r="AW305" t="s">
        <v>1703</v>
      </c>
      <c r="AX305" t="s">
        <v>1704</v>
      </c>
      <c r="AY305" t="s">
        <v>1725</v>
      </c>
      <c r="AZ305" t="s">
        <v>1703</v>
      </c>
      <c r="BA305" t="s">
        <v>1702</v>
      </c>
      <c r="BB305" t="s">
        <v>1704</v>
      </c>
      <c r="BC305" t="s">
        <v>1725</v>
      </c>
      <c r="BD305" t="s">
        <v>1703</v>
      </c>
      <c r="BE305" t="s">
        <v>1704</v>
      </c>
      <c r="BF305" t="s">
        <v>1725</v>
      </c>
      <c r="BG305" t="s">
        <v>1697</v>
      </c>
      <c r="BH305" t="s">
        <v>1727</v>
      </c>
      <c r="BI305" t="b">
        <v>0</v>
      </c>
      <c r="BJ305">
        <f t="shared" si="4"/>
        <v>0</v>
      </c>
    </row>
    <row r="306" spans="1:62" x14ac:dyDescent="0.2">
      <c r="A306" s="5" t="s">
        <v>63</v>
      </c>
      <c r="B306" s="6">
        <v>42177</v>
      </c>
      <c r="C306" s="7">
        <v>33.603242000000002</v>
      </c>
      <c r="D306" s="7">
        <v>-112.429311</v>
      </c>
      <c r="E306" s="17">
        <v>379</v>
      </c>
      <c r="F306" t="s">
        <v>1703</v>
      </c>
      <c r="G306" t="s">
        <v>1730</v>
      </c>
      <c r="H306" t="s">
        <v>1705</v>
      </c>
      <c r="I306">
        <v>0</v>
      </c>
      <c r="J306">
        <v>9.7081786777201806</v>
      </c>
      <c r="K306">
        <v>72.338812488061706</v>
      </c>
      <c r="L306">
        <v>17.9530088342181</v>
      </c>
      <c r="M306">
        <v>7.7947798596159696</v>
      </c>
      <c r="N306">
        <v>5.0014400161206103</v>
      </c>
      <c r="O306">
        <v>87.427936263260307</v>
      </c>
      <c r="P306">
        <v>203.1835006549</v>
      </c>
      <c r="Q306">
        <v>22.345608687041601</v>
      </c>
      <c r="R306">
        <v>30.143169889146399</v>
      </c>
      <c r="S306">
        <v>0.67300000000000004</v>
      </c>
      <c r="T306">
        <v>0.30299999999999999</v>
      </c>
      <c r="U306">
        <v>0.111</v>
      </c>
      <c r="V306">
        <v>0.219</v>
      </c>
      <c r="W306">
        <v>0.56200000000000006</v>
      </c>
      <c r="X306">
        <v>8.4000000000000005E-2</v>
      </c>
      <c r="Y306">
        <v>1.67973124300112</v>
      </c>
      <c r="Z306">
        <v>1.1542497376705101</v>
      </c>
      <c r="AA306">
        <v>8.14</v>
      </c>
      <c r="AB306">
        <v>0.191</v>
      </c>
      <c r="AC306">
        <v>1.97568389057752</v>
      </c>
      <c r="AD306">
        <v>2.1947873799725701</v>
      </c>
      <c r="AE306">
        <v>6.9000000000000006E-2</v>
      </c>
      <c r="AF306">
        <v>6.4000000000000001E-2</v>
      </c>
      <c r="AG306">
        <v>1.7398395024033366</v>
      </c>
      <c r="AH306">
        <v>9.7536231884058004</v>
      </c>
      <c r="AI306">
        <v>4.734375</v>
      </c>
      <c r="AJ306" t="s">
        <v>1702</v>
      </c>
      <c r="AK306" t="s">
        <v>1703</v>
      </c>
      <c r="AL306" t="s">
        <v>1702</v>
      </c>
      <c r="AM306" t="s">
        <v>1703</v>
      </c>
      <c r="AN306" t="s">
        <v>1702</v>
      </c>
      <c r="AO306" t="s">
        <v>1703</v>
      </c>
      <c r="AP306" t="s">
        <v>1702</v>
      </c>
      <c r="AQ306" t="s">
        <v>1725</v>
      </c>
      <c r="AR306" t="s">
        <v>1703</v>
      </c>
      <c r="AS306" t="s">
        <v>1702</v>
      </c>
      <c r="AT306" t="s">
        <v>1703</v>
      </c>
      <c r="AU306" t="s">
        <v>1704</v>
      </c>
      <c r="AV306" t="s">
        <v>1725</v>
      </c>
      <c r="AW306" t="s">
        <v>1703</v>
      </c>
      <c r="AX306" t="s">
        <v>1704</v>
      </c>
      <c r="AY306" t="s">
        <v>1725</v>
      </c>
      <c r="AZ306" t="s">
        <v>1703</v>
      </c>
      <c r="BA306" t="s">
        <v>1702</v>
      </c>
      <c r="BB306" t="s">
        <v>1704</v>
      </c>
      <c r="BC306" t="s">
        <v>1725</v>
      </c>
      <c r="BD306" t="s">
        <v>1703</v>
      </c>
      <c r="BE306" t="s">
        <v>1704</v>
      </c>
      <c r="BF306" t="s">
        <v>1725</v>
      </c>
      <c r="BG306" t="s">
        <v>1697</v>
      </c>
      <c r="BH306" t="s">
        <v>1727</v>
      </c>
      <c r="BI306" t="b">
        <v>1</v>
      </c>
      <c r="BJ306">
        <f t="shared" si="4"/>
        <v>1</v>
      </c>
    </row>
    <row r="307" spans="1:62" x14ac:dyDescent="0.2">
      <c r="A307" s="5" t="s">
        <v>64</v>
      </c>
      <c r="B307" s="6">
        <v>38481</v>
      </c>
      <c r="C307" s="7">
        <v>33.482953000000002</v>
      </c>
      <c r="D307" s="7">
        <v>-112.441872</v>
      </c>
      <c r="E307" s="17">
        <v>323</v>
      </c>
      <c r="F307" t="s">
        <v>1703</v>
      </c>
      <c r="G307" s="11" t="s">
        <v>1738</v>
      </c>
      <c r="H307" t="s">
        <v>1725</v>
      </c>
      <c r="I307">
        <v>0</v>
      </c>
      <c r="J307" s="8">
        <v>15.854741458143048</v>
      </c>
      <c r="K307" s="8">
        <v>57.077323300007635</v>
      </c>
      <c r="L307" s="8">
        <v>27.067935241849312</v>
      </c>
      <c r="M307" s="8">
        <v>0.6988423752994144</v>
      </c>
      <c r="N307" s="8">
        <v>0.75900360164561964</v>
      </c>
      <c r="O307" s="8">
        <v>3.5425932717101083</v>
      </c>
      <c r="P307" s="8">
        <v>4.5269143383863737</v>
      </c>
      <c r="Q307" s="8">
        <v>49.185368479959095</v>
      </c>
      <c r="R307" s="8">
        <v>8.1987418752016907</v>
      </c>
      <c r="S307" s="8">
        <v>0.63200000000000001</v>
      </c>
      <c r="T307" s="8">
        <v>0.39300000000000002</v>
      </c>
      <c r="U307" s="8">
        <v>6.2E-2</v>
      </c>
      <c r="V307" s="8">
        <v>0.14399999999999999</v>
      </c>
      <c r="W307" s="8">
        <v>0.57000000000000006</v>
      </c>
      <c r="X307" s="8">
        <v>0.24900000000000003</v>
      </c>
      <c r="Y307" s="8">
        <v>3.3195020746887995</v>
      </c>
      <c r="Z307" s="8">
        <v>2.736318407960185</v>
      </c>
      <c r="AA307" s="8">
        <v>7.74</v>
      </c>
      <c r="AB307">
        <v>0.68100000000000005</v>
      </c>
      <c r="AC307" s="8">
        <v>11.756569847856149</v>
      </c>
      <c r="AD307" s="8">
        <v>12.810945273631857</v>
      </c>
      <c r="AE307" s="8">
        <v>6.8000000000000005E-2</v>
      </c>
      <c r="AF307" s="8">
        <v>3.2000000000000001E-2</v>
      </c>
      <c r="AG307" s="8">
        <v>1.0409674246562719</v>
      </c>
      <c r="AH307" s="8">
        <v>9.2941176470588225</v>
      </c>
      <c r="AI307" s="8">
        <v>5.7794117647058822</v>
      </c>
      <c r="AJ307" t="s">
        <v>1702</v>
      </c>
      <c r="AK307" t="s">
        <v>1703</v>
      </c>
      <c r="AL307" t="s">
        <v>1702</v>
      </c>
      <c r="AM307" t="s">
        <v>1703</v>
      </c>
      <c r="AN307" t="s">
        <v>1702</v>
      </c>
      <c r="AO307" t="s">
        <v>1703</v>
      </c>
      <c r="AP307" t="s">
        <v>1702</v>
      </c>
      <c r="AQ307" t="s">
        <v>1725</v>
      </c>
      <c r="AR307" t="s">
        <v>1703</v>
      </c>
      <c r="AS307" t="s">
        <v>1702</v>
      </c>
      <c r="AT307" t="s">
        <v>1703</v>
      </c>
      <c r="AU307" t="s">
        <v>1704</v>
      </c>
      <c r="AV307" t="s">
        <v>1725</v>
      </c>
      <c r="AW307" t="s">
        <v>1703</v>
      </c>
      <c r="AX307" t="s">
        <v>1704</v>
      </c>
      <c r="AY307" t="s">
        <v>1725</v>
      </c>
      <c r="AZ307" t="s">
        <v>1703</v>
      </c>
      <c r="BA307" t="s">
        <v>1702</v>
      </c>
      <c r="BB307" t="s">
        <v>1704</v>
      </c>
      <c r="BC307" t="s">
        <v>1725</v>
      </c>
      <c r="BD307" t="s">
        <v>1703</v>
      </c>
      <c r="BE307" t="s">
        <v>1704</v>
      </c>
      <c r="BF307" t="s">
        <v>1725</v>
      </c>
      <c r="BG307" t="s">
        <v>1697</v>
      </c>
      <c r="BH307" t="s">
        <v>1727</v>
      </c>
      <c r="BI307" t="b">
        <v>0</v>
      </c>
      <c r="BJ307">
        <f t="shared" si="4"/>
        <v>0</v>
      </c>
    </row>
    <row r="308" spans="1:62" x14ac:dyDescent="0.2">
      <c r="A308" s="5" t="s">
        <v>64</v>
      </c>
      <c r="B308" s="6">
        <v>40256</v>
      </c>
      <c r="C308" s="7">
        <v>33.482953000000002</v>
      </c>
      <c r="D308" s="7">
        <v>-112.441872</v>
      </c>
      <c r="E308" s="17">
        <v>323</v>
      </c>
      <c r="F308" t="s">
        <v>1703</v>
      </c>
      <c r="G308" s="11" t="s">
        <v>1738</v>
      </c>
      <c r="H308" t="s">
        <v>1725</v>
      </c>
      <c r="I308">
        <v>0</v>
      </c>
      <c r="J308" s="8">
        <v>15.509109213954956</v>
      </c>
      <c r="K308" s="8">
        <v>48.860698478733582</v>
      </c>
      <c r="L308" s="8">
        <v>35.630192307311461</v>
      </c>
      <c r="M308" s="8">
        <v>5.0000000000000001E-3</v>
      </c>
      <c r="N308" s="8">
        <v>5.0000000000000001E-3</v>
      </c>
      <c r="O308" s="8">
        <v>9.1737229855228524</v>
      </c>
      <c r="P308" s="8">
        <v>2.1538468108599305</v>
      </c>
      <c r="Q308" s="8">
        <v>58.720129990167358</v>
      </c>
      <c r="R308" s="8">
        <v>31.405612549972741</v>
      </c>
      <c r="S308" s="8">
        <v>0.46700000000000003</v>
      </c>
      <c r="T308" s="8">
        <v>0.39100000000000001</v>
      </c>
      <c r="U308" s="8">
        <v>7.5999999999999998E-2</v>
      </c>
      <c r="V308" s="8">
        <v>0.23200000000000001</v>
      </c>
      <c r="W308" s="8">
        <v>0.39100000000000001</v>
      </c>
      <c r="X308" s="8">
        <v>0.159</v>
      </c>
      <c r="Y308" s="8">
        <v>2.3593466424682377</v>
      </c>
      <c r="Z308" s="8">
        <v>2.1385799828913603</v>
      </c>
      <c r="AA308" s="8">
        <v>8.34</v>
      </c>
      <c r="AB308">
        <v>0.38400000000000001</v>
      </c>
      <c r="AC308" s="8">
        <v>13.339382940108898</v>
      </c>
      <c r="AD308" s="8">
        <v>12.745936698032509</v>
      </c>
      <c r="AE308" s="8">
        <v>5.0999999999999997E-2</v>
      </c>
      <c r="AF308" s="8">
        <v>3.3000000000000002E-2</v>
      </c>
      <c r="AG308" s="8">
        <v>1.6297324535831936</v>
      </c>
      <c r="AH308" s="8">
        <v>9.1568627450980404</v>
      </c>
      <c r="AI308" s="8">
        <v>7.6666666666666679</v>
      </c>
      <c r="AJ308" t="s">
        <v>1702</v>
      </c>
      <c r="AK308" t="s">
        <v>1703</v>
      </c>
      <c r="AL308" t="s">
        <v>1702</v>
      </c>
      <c r="AM308" t="s">
        <v>1703</v>
      </c>
      <c r="AN308" t="s">
        <v>1702</v>
      </c>
      <c r="AO308" t="s">
        <v>1703</v>
      </c>
      <c r="AP308" t="s">
        <v>1702</v>
      </c>
      <c r="AQ308" t="s">
        <v>1725</v>
      </c>
      <c r="AR308" t="s">
        <v>1703</v>
      </c>
      <c r="AS308" t="s">
        <v>1702</v>
      </c>
      <c r="AT308" t="s">
        <v>1703</v>
      </c>
      <c r="AU308" t="s">
        <v>1704</v>
      </c>
      <c r="AV308" t="s">
        <v>1725</v>
      </c>
      <c r="AW308" t="s">
        <v>1703</v>
      </c>
      <c r="AX308" t="s">
        <v>1704</v>
      </c>
      <c r="AY308" t="s">
        <v>1725</v>
      </c>
      <c r="AZ308" t="s">
        <v>1703</v>
      </c>
      <c r="BA308" t="s">
        <v>1702</v>
      </c>
      <c r="BB308" t="s">
        <v>1704</v>
      </c>
      <c r="BC308" t="s">
        <v>1725</v>
      </c>
      <c r="BD308" t="s">
        <v>1703</v>
      </c>
      <c r="BE308" t="s">
        <v>1704</v>
      </c>
      <c r="BF308" t="s">
        <v>1725</v>
      </c>
      <c r="BG308" t="s">
        <v>1697</v>
      </c>
      <c r="BH308" t="s">
        <v>1727</v>
      </c>
      <c r="BI308" t="b">
        <v>0</v>
      </c>
      <c r="BJ308">
        <f t="shared" si="4"/>
        <v>0</v>
      </c>
    </row>
    <row r="309" spans="1:62" x14ac:dyDescent="0.2">
      <c r="A309" s="5" t="s">
        <v>64</v>
      </c>
      <c r="B309" s="6">
        <v>45064</v>
      </c>
      <c r="C309" s="7">
        <v>33.482953000000002</v>
      </c>
      <c r="D309" s="7">
        <v>-112.441872</v>
      </c>
      <c r="E309" s="17">
        <v>323</v>
      </c>
      <c r="F309" t="s">
        <v>1703</v>
      </c>
      <c r="G309" t="s">
        <v>1730</v>
      </c>
      <c r="H309" t="s">
        <v>1705</v>
      </c>
      <c r="I309">
        <v>1</v>
      </c>
      <c r="J309" t="s">
        <v>1697</v>
      </c>
      <c r="K309" t="s">
        <v>1697</v>
      </c>
      <c r="L309" t="s">
        <v>1697</v>
      </c>
      <c r="M309" t="s">
        <v>1697</v>
      </c>
      <c r="N309" t="s">
        <v>1697</v>
      </c>
      <c r="O309" t="s">
        <v>1697</v>
      </c>
      <c r="P309" t="s">
        <v>1697</v>
      </c>
      <c r="Q309" t="s">
        <v>1697</v>
      </c>
      <c r="R309" t="s">
        <v>1697</v>
      </c>
      <c r="S309" t="s">
        <v>1697</v>
      </c>
      <c r="T309" t="s">
        <v>1697</v>
      </c>
      <c r="U309" t="s">
        <v>1697</v>
      </c>
      <c r="V309" t="s">
        <v>1697</v>
      </c>
      <c r="W309" t="s">
        <v>1697</v>
      </c>
      <c r="X309" t="s">
        <v>1697</v>
      </c>
      <c r="Y309" t="s">
        <v>1697</v>
      </c>
      <c r="Z309" t="s">
        <v>1697</v>
      </c>
      <c r="AA309" t="s">
        <v>1697</v>
      </c>
      <c r="AB309" t="s">
        <v>1697</v>
      </c>
      <c r="AC309" t="s">
        <v>1697</v>
      </c>
      <c r="AD309" t="s">
        <v>1697</v>
      </c>
      <c r="AE309" t="s">
        <v>1697</v>
      </c>
      <c r="AF309" t="s">
        <v>1697</v>
      </c>
      <c r="AG309" t="s">
        <v>1697</v>
      </c>
      <c r="AH309" t="s">
        <v>1697</v>
      </c>
      <c r="AI309" t="s">
        <v>1697</v>
      </c>
      <c r="AJ309" t="s">
        <v>1702</v>
      </c>
      <c r="AK309" t="s">
        <v>1703</v>
      </c>
      <c r="AL309" t="s">
        <v>1702</v>
      </c>
      <c r="AM309" t="s">
        <v>1703</v>
      </c>
      <c r="AN309" t="s">
        <v>1702</v>
      </c>
      <c r="AO309" t="s">
        <v>1703</v>
      </c>
      <c r="AP309" t="s">
        <v>1702</v>
      </c>
      <c r="AQ309" t="s">
        <v>1725</v>
      </c>
      <c r="AR309" t="s">
        <v>1703</v>
      </c>
      <c r="AS309" t="s">
        <v>1702</v>
      </c>
      <c r="AT309" t="s">
        <v>1703</v>
      </c>
      <c r="AU309" t="s">
        <v>1704</v>
      </c>
      <c r="AV309" t="s">
        <v>1725</v>
      </c>
      <c r="AW309" t="s">
        <v>1703</v>
      </c>
      <c r="AX309" t="s">
        <v>1704</v>
      </c>
      <c r="AY309" t="s">
        <v>1725</v>
      </c>
      <c r="AZ309" t="s">
        <v>1703</v>
      </c>
      <c r="BA309" t="s">
        <v>1702</v>
      </c>
      <c r="BB309" t="s">
        <v>1704</v>
      </c>
      <c r="BC309" t="s">
        <v>1725</v>
      </c>
      <c r="BD309" t="s">
        <v>1703</v>
      </c>
      <c r="BE309" t="s">
        <v>1704</v>
      </c>
      <c r="BF309" t="s">
        <v>1725</v>
      </c>
      <c r="BG309" s="6" t="s">
        <v>1697</v>
      </c>
      <c r="BH309" s="6" t="s">
        <v>1697</v>
      </c>
      <c r="BI309" t="b">
        <v>1</v>
      </c>
      <c r="BJ309">
        <f t="shared" si="4"/>
        <v>1</v>
      </c>
    </row>
    <row r="310" spans="1:62" x14ac:dyDescent="0.2">
      <c r="A310" s="5" t="s">
        <v>65</v>
      </c>
      <c r="B310" s="6">
        <v>36301</v>
      </c>
      <c r="C310" s="7">
        <v>33.431158000000003</v>
      </c>
      <c r="D310" s="7">
        <v>-112.43861699999999</v>
      </c>
      <c r="E310" s="17">
        <v>294</v>
      </c>
      <c r="F310" t="s">
        <v>1697</v>
      </c>
      <c r="G310" t="s">
        <v>1697</v>
      </c>
      <c r="H310" t="s">
        <v>1697</v>
      </c>
      <c r="I310" t="s">
        <v>1697</v>
      </c>
      <c r="J310" t="s">
        <v>1697</v>
      </c>
      <c r="K310" t="s">
        <v>1697</v>
      </c>
      <c r="L310" t="s">
        <v>1697</v>
      </c>
      <c r="M310" t="s">
        <v>1697</v>
      </c>
      <c r="N310" t="s">
        <v>1697</v>
      </c>
      <c r="O310" t="s">
        <v>1697</v>
      </c>
      <c r="P310" t="s">
        <v>1697</v>
      </c>
      <c r="Q310" t="s">
        <v>1697</v>
      </c>
      <c r="R310" t="s">
        <v>1697</v>
      </c>
      <c r="S310" t="s">
        <v>1697</v>
      </c>
      <c r="T310" t="s">
        <v>1697</v>
      </c>
      <c r="U310" t="s">
        <v>1697</v>
      </c>
      <c r="V310" t="s">
        <v>1697</v>
      </c>
      <c r="W310" t="s">
        <v>1697</v>
      </c>
      <c r="X310" t="s">
        <v>1697</v>
      </c>
      <c r="Y310" t="s">
        <v>1697</v>
      </c>
      <c r="Z310" t="s">
        <v>1697</v>
      </c>
      <c r="AA310" t="s">
        <v>1697</v>
      </c>
      <c r="AB310" t="s">
        <v>1697</v>
      </c>
      <c r="AC310" t="s">
        <v>1697</v>
      </c>
      <c r="AD310" t="s">
        <v>1697</v>
      </c>
      <c r="AE310" t="s">
        <v>1697</v>
      </c>
      <c r="AF310" t="s">
        <v>1697</v>
      </c>
      <c r="AG310" t="s">
        <v>1697</v>
      </c>
      <c r="AH310" t="s">
        <v>1697</v>
      </c>
      <c r="AI310" t="s">
        <v>1697</v>
      </c>
      <c r="AJ310" t="s">
        <v>1694</v>
      </c>
      <c r="AK310" t="s">
        <v>1694</v>
      </c>
      <c r="AL310" t="s">
        <v>1702</v>
      </c>
      <c r="AM310" t="s">
        <v>1703</v>
      </c>
      <c r="AN310" t="s">
        <v>1702</v>
      </c>
      <c r="AO310" t="s">
        <v>1703</v>
      </c>
      <c r="AP310" t="s">
        <v>1702</v>
      </c>
      <c r="AQ310" t="s">
        <v>1725</v>
      </c>
      <c r="AR310" t="s">
        <v>1703</v>
      </c>
      <c r="AS310" t="s">
        <v>1700</v>
      </c>
      <c r="AT310" t="s">
        <v>1700</v>
      </c>
      <c r="AU310" t="s">
        <v>1706</v>
      </c>
      <c r="AV310" t="s">
        <v>1746</v>
      </c>
      <c r="AW310" t="s">
        <v>1706</v>
      </c>
      <c r="AX310" t="s">
        <v>1706</v>
      </c>
      <c r="AY310" t="s">
        <v>1746</v>
      </c>
      <c r="AZ310" t="s">
        <v>1706</v>
      </c>
      <c r="BA310" t="s">
        <v>1700</v>
      </c>
      <c r="BB310" t="s">
        <v>1706</v>
      </c>
      <c r="BC310" t="s">
        <v>1746</v>
      </c>
      <c r="BD310" t="s">
        <v>1706</v>
      </c>
      <c r="BE310" t="s">
        <v>1706</v>
      </c>
      <c r="BF310" t="s">
        <v>1746</v>
      </c>
      <c r="BG310" s="6" t="s">
        <v>1697</v>
      </c>
      <c r="BH310" s="6" t="s">
        <v>1697</v>
      </c>
      <c r="BI310" t="b">
        <v>0</v>
      </c>
      <c r="BJ310">
        <f t="shared" si="4"/>
        <v>0</v>
      </c>
    </row>
    <row r="311" spans="1:62" x14ac:dyDescent="0.2">
      <c r="A311" s="5" t="s">
        <v>65</v>
      </c>
      <c r="B311" s="6">
        <v>36656</v>
      </c>
      <c r="C311" s="7">
        <v>33.431158000000003</v>
      </c>
      <c r="D311" s="7">
        <v>-112.43861699999999</v>
      </c>
      <c r="E311" s="17">
        <v>294</v>
      </c>
      <c r="F311" s="8" t="s">
        <v>1703</v>
      </c>
      <c r="G311" s="8" t="s">
        <v>1720</v>
      </c>
      <c r="H311" s="8" t="s">
        <v>1721</v>
      </c>
      <c r="I311">
        <v>0</v>
      </c>
      <c r="J311" s="8">
        <v>14.203848803818854</v>
      </c>
      <c r="K311" s="8">
        <v>71.02573364783342</v>
      </c>
      <c r="L311" s="8">
        <v>14.770417548347723</v>
      </c>
      <c r="M311" s="8">
        <v>10.734885078433392</v>
      </c>
      <c r="N311" s="8">
        <v>2.2096475081007223</v>
      </c>
      <c r="O311" s="8">
        <v>42.836300261816973</v>
      </c>
      <c r="P311" s="8">
        <v>37.413498072180268</v>
      </c>
      <c r="Q311" s="8">
        <v>313.34351338828407</v>
      </c>
      <c r="R311" s="8">
        <v>25.721137047681424</v>
      </c>
      <c r="S311" s="8">
        <v>2.3069999999999999</v>
      </c>
      <c r="T311" s="8">
        <v>1.286</v>
      </c>
      <c r="U311" s="8">
        <v>0.97</v>
      </c>
      <c r="V311" s="8">
        <v>0.92600000000000005</v>
      </c>
      <c r="W311" s="8">
        <v>1.337</v>
      </c>
      <c r="X311" s="8">
        <v>0.36</v>
      </c>
      <c r="Y311" s="8">
        <v>5.3157899999999998</v>
      </c>
      <c r="Z311" s="8">
        <v>1.63182</v>
      </c>
      <c r="AA311" s="9">
        <v>8.82</v>
      </c>
      <c r="AB311" s="10">
        <v>0.65700000000000003</v>
      </c>
      <c r="AC311" s="8">
        <v>11.736470000000001</v>
      </c>
      <c r="AD311" s="8">
        <v>10.93881</v>
      </c>
      <c r="AE311" s="8">
        <v>0.161</v>
      </c>
      <c r="AF311" s="8">
        <v>2.7E-2</v>
      </c>
      <c r="AG311" s="8">
        <v>1.6388128286165986</v>
      </c>
      <c r="AH311" s="8">
        <v>14.329192546583851</v>
      </c>
      <c r="AI311" s="8">
        <v>7.987577639751553</v>
      </c>
      <c r="AJ311" t="s">
        <v>1694</v>
      </c>
      <c r="AK311" t="s">
        <v>1694</v>
      </c>
      <c r="AL311" t="s">
        <v>1702</v>
      </c>
      <c r="AM311" t="s">
        <v>1703</v>
      </c>
      <c r="AN311" t="s">
        <v>1702</v>
      </c>
      <c r="AO311" t="s">
        <v>1703</v>
      </c>
      <c r="AP311" t="s">
        <v>1702</v>
      </c>
      <c r="AQ311" t="s">
        <v>1725</v>
      </c>
      <c r="AR311" t="s">
        <v>1703</v>
      </c>
      <c r="AS311" t="s">
        <v>1700</v>
      </c>
      <c r="AT311" t="s">
        <v>1700</v>
      </c>
      <c r="AU311" t="s">
        <v>1706</v>
      </c>
      <c r="AV311" t="s">
        <v>1746</v>
      </c>
      <c r="AW311" t="s">
        <v>1706</v>
      </c>
      <c r="AX311" t="s">
        <v>1706</v>
      </c>
      <c r="AY311" t="s">
        <v>1746</v>
      </c>
      <c r="AZ311" t="s">
        <v>1706</v>
      </c>
      <c r="BA311" t="s">
        <v>1700</v>
      </c>
      <c r="BB311" t="s">
        <v>1706</v>
      </c>
      <c r="BC311" t="s">
        <v>1746</v>
      </c>
      <c r="BD311" t="s">
        <v>1706</v>
      </c>
      <c r="BE311" t="s">
        <v>1706</v>
      </c>
      <c r="BF311" t="s">
        <v>1746</v>
      </c>
      <c r="BG311" s="8">
        <v>30</v>
      </c>
      <c r="BH311" s="14" t="s">
        <v>1709</v>
      </c>
      <c r="BI311" t="b">
        <v>0</v>
      </c>
      <c r="BJ311">
        <f t="shared" si="4"/>
        <v>0</v>
      </c>
    </row>
    <row r="312" spans="1:62" x14ac:dyDescent="0.2">
      <c r="A312" s="5" t="s">
        <v>65</v>
      </c>
      <c r="B312" s="6">
        <v>38496</v>
      </c>
      <c r="C312" s="7">
        <v>33.431158000000003</v>
      </c>
      <c r="D312" s="7">
        <v>-112.43861699999999</v>
      </c>
      <c r="E312" s="17">
        <v>294</v>
      </c>
      <c r="F312" s="8" t="s">
        <v>1703</v>
      </c>
      <c r="G312" s="8" t="s">
        <v>1720</v>
      </c>
      <c r="H312" s="8" t="s">
        <v>1721</v>
      </c>
      <c r="I312">
        <v>0</v>
      </c>
      <c r="J312" s="8">
        <v>10.736498586043618</v>
      </c>
      <c r="K312" s="8">
        <v>64.751187173899964</v>
      </c>
      <c r="L312" s="8">
        <v>24.512314240056412</v>
      </c>
      <c r="M312" s="8">
        <v>0.86148995695145691</v>
      </c>
      <c r="N312" s="8">
        <v>0.74744349605921778</v>
      </c>
      <c r="O312" s="8">
        <v>52.472570105225095</v>
      </c>
      <c r="P312" s="8">
        <v>9.3206203958584446</v>
      </c>
      <c r="Q312" s="8">
        <v>312.54425661036737</v>
      </c>
      <c r="R312" s="8">
        <v>46.108958779119725</v>
      </c>
      <c r="S312" s="8">
        <v>2.4769999999999999</v>
      </c>
      <c r="T312" s="8">
        <v>1.3440000000000001</v>
      </c>
      <c r="U312" s="8">
        <v>0.88400000000000001</v>
      </c>
      <c r="V312" s="8">
        <v>0.75600000000000001</v>
      </c>
      <c r="W312" s="8">
        <v>1.593</v>
      </c>
      <c r="X312" s="8">
        <v>0.58800000000000008</v>
      </c>
      <c r="Y312" s="8">
        <v>5.5743243243243104</v>
      </c>
      <c r="Z312" s="8">
        <v>2.5316455696202556</v>
      </c>
      <c r="AA312" s="8">
        <v>7.81</v>
      </c>
      <c r="AB312">
        <v>0.32</v>
      </c>
      <c r="AC312" s="8">
        <v>19.256756756756765</v>
      </c>
      <c r="AD312" s="8">
        <v>15.031645569620272</v>
      </c>
      <c r="AE312" s="8">
        <v>0.161</v>
      </c>
      <c r="AF312" s="8">
        <v>1.9E-2</v>
      </c>
      <c r="AG312" s="8">
        <v>1.345489929281193</v>
      </c>
      <c r="AH312" s="8">
        <v>15.385093167701863</v>
      </c>
      <c r="AI312" s="8">
        <v>8.3478260869565215</v>
      </c>
      <c r="AJ312" t="s">
        <v>1694</v>
      </c>
      <c r="AK312" t="s">
        <v>1694</v>
      </c>
      <c r="AL312" t="s">
        <v>1702</v>
      </c>
      <c r="AM312" t="s">
        <v>1703</v>
      </c>
      <c r="AN312" t="s">
        <v>1702</v>
      </c>
      <c r="AO312" t="s">
        <v>1703</v>
      </c>
      <c r="AP312" t="s">
        <v>1702</v>
      </c>
      <c r="AQ312" t="s">
        <v>1725</v>
      </c>
      <c r="AR312" t="s">
        <v>1703</v>
      </c>
      <c r="AS312" t="s">
        <v>1700</v>
      </c>
      <c r="AT312" t="s">
        <v>1700</v>
      </c>
      <c r="AU312" t="s">
        <v>1706</v>
      </c>
      <c r="AV312" t="s">
        <v>1746</v>
      </c>
      <c r="AW312" t="s">
        <v>1706</v>
      </c>
      <c r="AX312" t="s">
        <v>1706</v>
      </c>
      <c r="AY312" t="s">
        <v>1746</v>
      </c>
      <c r="AZ312" t="s">
        <v>1706</v>
      </c>
      <c r="BA312" t="s">
        <v>1700</v>
      </c>
      <c r="BB312" t="s">
        <v>1706</v>
      </c>
      <c r="BC312" t="s">
        <v>1746</v>
      </c>
      <c r="BD312" t="s">
        <v>1706</v>
      </c>
      <c r="BE312" t="s">
        <v>1706</v>
      </c>
      <c r="BF312" t="s">
        <v>1746</v>
      </c>
      <c r="BG312" s="8">
        <v>35</v>
      </c>
      <c r="BH312" s="14" t="s">
        <v>1709</v>
      </c>
      <c r="BI312" t="b">
        <v>0</v>
      </c>
      <c r="BJ312">
        <f t="shared" si="4"/>
        <v>0</v>
      </c>
    </row>
    <row r="313" spans="1:62" x14ac:dyDescent="0.2">
      <c r="A313" s="5" t="s">
        <v>65</v>
      </c>
      <c r="B313" s="6">
        <v>40338</v>
      </c>
      <c r="C313" s="7">
        <v>33.431158000000003</v>
      </c>
      <c r="D313" s="7">
        <v>-112.43861699999999</v>
      </c>
      <c r="E313" s="17">
        <v>294</v>
      </c>
      <c r="F313" s="8" t="s">
        <v>1703</v>
      </c>
      <c r="G313" s="8" t="s">
        <v>1720</v>
      </c>
      <c r="H313" s="8" t="s">
        <v>1721</v>
      </c>
      <c r="I313">
        <v>0</v>
      </c>
      <c r="J313" s="8">
        <v>11.594213415206781</v>
      </c>
      <c r="K313" s="8">
        <v>66.374860420900276</v>
      </c>
      <c r="L313" s="8">
        <v>22.030926163892943</v>
      </c>
      <c r="M313" s="8">
        <v>0.17944898747451288</v>
      </c>
      <c r="N313" s="8">
        <v>4.6556440109795727E-3</v>
      </c>
      <c r="O313" s="8">
        <v>17.113474867260493</v>
      </c>
      <c r="P313" s="8">
        <v>16.985879921890024</v>
      </c>
      <c r="Q313" s="8">
        <v>62.861026726761764</v>
      </c>
      <c r="R313" s="8">
        <v>26.608661299775481</v>
      </c>
      <c r="S313" s="8">
        <v>2.2519999999999998</v>
      </c>
      <c r="T313" s="8">
        <v>1.2929999999999999</v>
      </c>
      <c r="U313" s="8">
        <v>0.77500000000000002</v>
      </c>
      <c r="V313" s="8">
        <v>0.72199999999999998</v>
      </c>
      <c r="W313" s="8">
        <v>1.4769999999999999</v>
      </c>
      <c r="X313" s="8">
        <v>0.57099999999999995</v>
      </c>
      <c r="Y313" s="8">
        <v>5.0089445438282691</v>
      </c>
      <c r="Z313" s="8">
        <v>3.1722054380664515</v>
      </c>
      <c r="AA313" s="8">
        <v>8.25</v>
      </c>
      <c r="AB313">
        <v>0.318</v>
      </c>
      <c r="AC313" s="8">
        <v>6.9767441860465063</v>
      </c>
      <c r="AD313" s="8">
        <v>6.4954682779456157</v>
      </c>
      <c r="AE313" s="8">
        <v>0.13800000000000001</v>
      </c>
      <c r="AF313" s="8">
        <v>4.1000000000000002E-2</v>
      </c>
      <c r="AG313" s="8">
        <v>1.302676755501218</v>
      </c>
      <c r="AH313" s="8">
        <v>16.318840579710141</v>
      </c>
      <c r="AI313" s="8">
        <v>9.3695652173913029</v>
      </c>
      <c r="AJ313" t="s">
        <v>1694</v>
      </c>
      <c r="AK313" t="s">
        <v>1694</v>
      </c>
      <c r="AL313" t="s">
        <v>1702</v>
      </c>
      <c r="AM313" t="s">
        <v>1703</v>
      </c>
      <c r="AN313" t="s">
        <v>1702</v>
      </c>
      <c r="AO313" t="s">
        <v>1703</v>
      </c>
      <c r="AP313" t="s">
        <v>1702</v>
      </c>
      <c r="AQ313" t="s">
        <v>1725</v>
      </c>
      <c r="AR313" t="s">
        <v>1703</v>
      </c>
      <c r="AS313" t="s">
        <v>1700</v>
      </c>
      <c r="AT313" t="s">
        <v>1700</v>
      </c>
      <c r="AU313" t="s">
        <v>1706</v>
      </c>
      <c r="AV313" t="s">
        <v>1746</v>
      </c>
      <c r="AW313" t="s">
        <v>1706</v>
      </c>
      <c r="AX313" t="s">
        <v>1706</v>
      </c>
      <c r="AY313" t="s">
        <v>1746</v>
      </c>
      <c r="AZ313" t="s">
        <v>1706</v>
      </c>
      <c r="BA313" t="s">
        <v>1700</v>
      </c>
      <c r="BB313" t="s">
        <v>1706</v>
      </c>
      <c r="BC313" t="s">
        <v>1746</v>
      </c>
      <c r="BD313" t="s">
        <v>1706</v>
      </c>
      <c r="BE313" t="s">
        <v>1706</v>
      </c>
      <c r="BF313" t="s">
        <v>1746</v>
      </c>
      <c r="BG313" s="8">
        <v>40</v>
      </c>
      <c r="BH313" s="14" t="s">
        <v>1709</v>
      </c>
      <c r="BI313" t="b">
        <v>0</v>
      </c>
      <c r="BJ313">
        <f t="shared" si="4"/>
        <v>0</v>
      </c>
    </row>
    <row r="314" spans="1:62" x14ac:dyDescent="0.2">
      <c r="A314" s="5" t="s">
        <v>66</v>
      </c>
      <c r="B314" s="6">
        <v>38483</v>
      </c>
      <c r="C314" s="7">
        <v>33.677453</v>
      </c>
      <c r="D314" s="7">
        <v>-112.362539</v>
      </c>
      <c r="E314" s="17">
        <v>386</v>
      </c>
      <c r="F314" t="s">
        <v>1714</v>
      </c>
      <c r="G314" t="s">
        <v>1714</v>
      </c>
      <c r="H314" t="s">
        <v>1747</v>
      </c>
      <c r="I314">
        <v>1</v>
      </c>
      <c r="J314" s="8">
        <v>18.830662345550508</v>
      </c>
      <c r="K314" s="8">
        <v>54.275389127922892</v>
      </c>
      <c r="L314" s="8">
        <v>26.8939485265266</v>
      </c>
      <c r="M314" s="8">
        <v>0.72603180963829528</v>
      </c>
      <c r="N314" s="8">
        <v>0.59997356766653087</v>
      </c>
      <c r="O314" s="8">
        <v>3.4032741076795099</v>
      </c>
      <c r="P314" s="8">
        <v>1.8856312126662398</v>
      </c>
      <c r="Q314" s="8">
        <v>14.394648319916911</v>
      </c>
      <c r="R314" s="8">
        <v>4.1817249213950598</v>
      </c>
      <c r="S314" s="8">
        <v>1.113</v>
      </c>
      <c r="T314" s="8">
        <v>0.7</v>
      </c>
      <c r="U314" s="8">
        <v>0.84499999999999997</v>
      </c>
      <c r="V314" s="8">
        <v>0.53600000000000003</v>
      </c>
      <c r="W314" s="8">
        <v>0.26800000000000002</v>
      </c>
      <c r="X314" s="8">
        <v>0.16399999999999992</v>
      </c>
      <c r="Y314" s="8">
        <v>2.1573604060913696</v>
      </c>
      <c r="Z314" s="8">
        <v>2.2255192878338335</v>
      </c>
      <c r="AA314" s="8">
        <v>8.0299999999999994</v>
      </c>
      <c r="AB314">
        <v>0.20899999999999999</v>
      </c>
      <c r="AC314" s="8">
        <v>12.944162436548218</v>
      </c>
      <c r="AD314" s="8">
        <v>12.759643916913937</v>
      </c>
      <c r="AE314" s="8">
        <v>3.5000000000000003E-2</v>
      </c>
      <c r="AF314" s="8">
        <v>2.5000000000000001E-2</v>
      </c>
      <c r="AG314" s="8">
        <v>1.5441801960297368</v>
      </c>
      <c r="AH314" s="8">
        <v>31.799999999999997</v>
      </c>
      <c r="AI314" s="8">
        <v>19.999999999999996</v>
      </c>
      <c r="AJ314" t="s">
        <v>1694</v>
      </c>
      <c r="AK314" t="s">
        <v>1694</v>
      </c>
      <c r="AL314" t="s">
        <v>1694</v>
      </c>
      <c r="AM314" t="s">
        <v>1694</v>
      </c>
      <c r="AN314" t="s">
        <v>1694</v>
      </c>
      <c r="AO314" t="s">
        <v>1694</v>
      </c>
      <c r="AP314" t="s">
        <v>1702</v>
      </c>
      <c r="AQ314" t="s">
        <v>1725</v>
      </c>
      <c r="AR314" t="s">
        <v>1703</v>
      </c>
      <c r="AS314" t="s">
        <v>1702</v>
      </c>
      <c r="AT314" t="s">
        <v>1703</v>
      </c>
      <c r="AU314" t="s">
        <v>1704</v>
      </c>
      <c r="AV314" t="s">
        <v>1705</v>
      </c>
      <c r="AW314" t="s">
        <v>1703</v>
      </c>
      <c r="AX314" t="s">
        <v>1706</v>
      </c>
      <c r="AY314" t="s">
        <v>1723</v>
      </c>
      <c r="AZ314" t="s">
        <v>1706</v>
      </c>
      <c r="BA314" t="s">
        <v>1700</v>
      </c>
      <c r="BB314" t="s">
        <v>1706</v>
      </c>
      <c r="BC314" t="s">
        <v>1707</v>
      </c>
      <c r="BD314" t="s">
        <v>1706</v>
      </c>
      <c r="BE314" t="s">
        <v>1706</v>
      </c>
      <c r="BF314" t="s">
        <v>1707</v>
      </c>
      <c r="BG314">
        <v>25</v>
      </c>
      <c r="BH314" s="12" t="s">
        <v>1709</v>
      </c>
      <c r="BI314" t="b">
        <v>0</v>
      </c>
      <c r="BJ314">
        <f t="shared" si="4"/>
        <v>0</v>
      </c>
    </row>
    <row r="315" spans="1:62" x14ac:dyDescent="0.2">
      <c r="A315" s="5" t="s">
        <v>66</v>
      </c>
      <c r="B315" s="6">
        <v>40240</v>
      </c>
      <c r="C315" s="7">
        <v>33.677453</v>
      </c>
      <c r="D315" s="7">
        <v>-112.362539</v>
      </c>
      <c r="E315" s="17">
        <v>386</v>
      </c>
      <c r="F315" t="s">
        <v>1714</v>
      </c>
      <c r="G315" t="s">
        <v>1714</v>
      </c>
      <c r="H315" t="s">
        <v>1747</v>
      </c>
      <c r="I315">
        <v>1</v>
      </c>
      <c r="J315" s="8">
        <v>17.986922214326789</v>
      </c>
      <c r="K315" s="8">
        <v>57.553780541954886</v>
      </c>
      <c r="L315" s="8">
        <v>24.459297243718325</v>
      </c>
      <c r="M315" s="8">
        <v>5.0000000000000001E-3</v>
      </c>
      <c r="N315" s="8">
        <v>0.14139434966498296</v>
      </c>
      <c r="O315" s="8">
        <v>2.2517637492398479</v>
      </c>
      <c r="P315" s="8">
        <v>2.1038386326963643</v>
      </c>
      <c r="Q315" s="8">
        <v>7.9390257457972346</v>
      </c>
      <c r="R315" s="8">
        <v>5.4237898197986887</v>
      </c>
      <c r="S315" s="8">
        <v>0.81200000000000006</v>
      </c>
      <c r="T315" s="8">
        <v>0.755</v>
      </c>
      <c r="U315" s="8">
        <v>0.40699999999999997</v>
      </c>
      <c r="V315" s="8">
        <v>0.44900000000000001</v>
      </c>
      <c r="W315" s="8">
        <v>0.40500000000000008</v>
      </c>
      <c r="X315" s="8">
        <v>0.30599999999999999</v>
      </c>
      <c r="Y315" s="8">
        <v>2.7855153203342522</v>
      </c>
      <c r="Z315" s="8">
        <v>2.5504782146652518</v>
      </c>
      <c r="AA315" s="8">
        <v>8.1999999999999993</v>
      </c>
      <c r="AB315">
        <v>0.53700000000000003</v>
      </c>
      <c r="AC315" s="8">
        <v>14.345403899721465</v>
      </c>
      <c r="AD315" s="8">
        <v>13.708820403825708</v>
      </c>
      <c r="AE315" s="8">
        <v>0.03</v>
      </c>
      <c r="AF315" s="8">
        <v>2.3E-2</v>
      </c>
      <c r="AG315" s="8">
        <v>1.1975537235576905</v>
      </c>
      <c r="AH315" s="8">
        <v>27.06666666666667</v>
      </c>
      <c r="AI315" s="8">
        <v>25.166666666666668</v>
      </c>
      <c r="AJ315" t="s">
        <v>1694</v>
      </c>
      <c r="AK315" t="s">
        <v>1694</v>
      </c>
      <c r="AL315" t="s">
        <v>1694</v>
      </c>
      <c r="AM315" t="s">
        <v>1694</v>
      </c>
      <c r="AN315" t="s">
        <v>1694</v>
      </c>
      <c r="AO315" t="s">
        <v>1694</v>
      </c>
      <c r="AP315" t="s">
        <v>1702</v>
      </c>
      <c r="AQ315" t="s">
        <v>1725</v>
      </c>
      <c r="AR315" t="s">
        <v>1703</v>
      </c>
      <c r="AS315" t="s">
        <v>1702</v>
      </c>
      <c r="AT315" t="s">
        <v>1703</v>
      </c>
      <c r="AU315" t="s">
        <v>1704</v>
      </c>
      <c r="AV315" t="s">
        <v>1705</v>
      </c>
      <c r="AW315" t="s">
        <v>1703</v>
      </c>
      <c r="AX315" t="s">
        <v>1706</v>
      </c>
      <c r="AY315" t="s">
        <v>1723</v>
      </c>
      <c r="AZ315" t="s">
        <v>1706</v>
      </c>
      <c r="BA315" t="s">
        <v>1700</v>
      </c>
      <c r="BB315" t="s">
        <v>1706</v>
      </c>
      <c r="BC315" t="s">
        <v>1707</v>
      </c>
      <c r="BD315" t="s">
        <v>1706</v>
      </c>
      <c r="BE315" t="s">
        <v>1706</v>
      </c>
      <c r="BF315" t="s">
        <v>1707</v>
      </c>
      <c r="BG315">
        <v>30</v>
      </c>
      <c r="BH315" s="12" t="s">
        <v>1709</v>
      </c>
      <c r="BI315" t="b">
        <v>0</v>
      </c>
      <c r="BJ315">
        <f t="shared" si="4"/>
        <v>0</v>
      </c>
    </row>
    <row r="316" spans="1:62" x14ac:dyDescent="0.2">
      <c r="A316" s="5" t="s">
        <v>66</v>
      </c>
      <c r="B316" s="6">
        <v>42130</v>
      </c>
      <c r="C316" s="7">
        <v>33.677453</v>
      </c>
      <c r="D316" s="7">
        <v>-112.362539</v>
      </c>
      <c r="E316" s="17">
        <v>386</v>
      </c>
      <c r="F316" t="s">
        <v>1714</v>
      </c>
      <c r="G316" t="s">
        <v>1714</v>
      </c>
      <c r="H316" t="s">
        <v>1747</v>
      </c>
      <c r="I316">
        <v>1</v>
      </c>
      <c r="J316" t="s">
        <v>1697</v>
      </c>
      <c r="K316" t="s">
        <v>1697</v>
      </c>
      <c r="L316" t="s">
        <v>1697</v>
      </c>
      <c r="M316" t="s">
        <v>1697</v>
      </c>
      <c r="N316" t="s">
        <v>1697</v>
      </c>
      <c r="O316" t="s">
        <v>1697</v>
      </c>
      <c r="P316" t="s">
        <v>1697</v>
      </c>
      <c r="Q316" t="s">
        <v>1697</v>
      </c>
      <c r="R316" t="s">
        <v>1697</v>
      </c>
      <c r="S316" t="s">
        <v>1697</v>
      </c>
      <c r="T316" t="s">
        <v>1697</v>
      </c>
      <c r="U316" t="s">
        <v>1697</v>
      </c>
      <c r="V316" t="s">
        <v>1697</v>
      </c>
      <c r="W316" t="s">
        <v>1697</v>
      </c>
      <c r="X316" t="s">
        <v>1697</v>
      </c>
      <c r="Y316" t="s">
        <v>1697</v>
      </c>
      <c r="Z316" t="s">
        <v>1697</v>
      </c>
      <c r="AA316" t="s">
        <v>1697</v>
      </c>
      <c r="AB316" t="s">
        <v>1697</v>
      </c>
      <c r="AC316" t="s">
        <v>1697</v>
      </c>
      <c r="AD316" t="s">
        <v>1697</v>
      </c>
      <c r="AE316" t="s">
        <v>1697</v>
      </c>
      <c r="AF316" t="s">
        <v>1697</v>
      </c>
      <c r="AG316" t="s">
        <v>1697</v>
      </c>
      <c r="AH316" t="s">
        <v>1697</v>
      </c>
      <c r="AI316" t="s">
        <v>1697</v>
      </c>
      <c r="AJ316" t="s">
        <v>1694</v>
      </c>
      <c r="AK316" t="s">
        <v>1694</v>
      </c>
      <c r="AL316" t="s">
        <v>1694</v>
      </c>
      <c r="AM316" t="s">
        <v>1694</v>
      </c>
      <c r="AN316" t="s">
        <v>1694</v>
      </c>
      <c r="AO316" t="s">
        <v>1694</v>
      </c>
      <c r="AP316" t="s">
        <v>1702</v>
      </c>
      <c r="AQ316" t="s">
        <v>1725</v>
      </c>
      <c r="AR316" t="s">
        <v>1703</v>
      </c>
      <c r="AS316" t="s">
        <v>1702</v>
      </c>
      <c r="AT316" t="s">
        <v>1703</v>
      </c>
      <c r="AU316" t="s">
        <v>1704</v>
      </c>
      <c r="AV316" t="s">
        <v>1705</v>
      </c>
      <c r="AW316" t="s">
        <v>1703</v>
      </c>
      <c r="AX316" t="s">
        <v>1706</v>
      </c>
      <c r="AY316" t="s">
        <v>1723</v>
      </c>
      <c r="AZ316" t="s">
        <v>1706</v>
      </c>
      <c r="BA316" t="s">
        <v>1700</v>
      </c>
      <c r="BB316" t="s">
        <v>1706</v>
      </c>
      <c r="BC316" t="s">
        <v>1707</v>
      </c>
      <c r="BD316" t="s">
        <v>1706</v>
      </c>
      <c r="BE316" t="s">
        <v>1706</v>
      </c>
      <c r="BF316" t="s">
        <v>1707</v>
      </c>
      <c r="BG316">
        <v>35</v>
      </c>
      <c r="BH316" s="12" t="s">
        <v>1709</v>
      </c>
      <c r="BI316" t="b">
        <v>0</v>
      </c>
      <c r="BJ316">
        <f t="shared" si="4"/>
        <v>0</v>
      </c>
    </row>
    <row r="317" spans="1:62" x14ac:dyDescent="0.2">
      <c r="A317" s="5" t="s">
        <v>67</v>
      </c>
      <c r="B317" s="6">
        <v>38426</v>
      </c>
      <c r="C317" s="7">
        <v>33.622568999999999</v>
      </c>
      <c r="D317" s="7">
        <v>-112.376</v>
      </c>
      <c r="E317" s="17">
        <v>386</v>
      </c>
      <c r="F317" t="s">
        <v>1711</v>
      </c>
      <c r="G317" t="s">
        <v>1711</v>
      </c>
      <c r="H317" t="s">
        <v>1711</v>
      </c>
      <c r="I317">
        <v>1</v>
      </c>
      <c r="J317" s="8">
        <v>19.450907155368203</v>
      </c>
      <c r="K317" s="8">
        <v>61.147292737522456</v>
      </c>
      <c r="L317" s="8">
        <v>19.401800107109338</v>
      </c>
      <c r="M317" s="8">
        <v>2.0033518403387047</v>
      </c>
      <c r="N317" s="8">
        <v>1.3488183915530143</v>
      </c>
      <c r="O317" s="8">
        <v>32.500531009802522</v>
      </c>
      <c r="P317" s="8">
        <v>30.078650131632219</v>
      </c>
      <c r="Q317" s="8">
        <v>1.852946348325583</v>
      </c>
      <c r="R317" s="8">
        <v>2.5414912187191852</v>
      </c>
      <c r="S317" s="8">
        <v>0.91</v>
      </c>
      <c r="T317" s="8">
        <v>1.163</v>
      </c>
      <c r="U317" s="8">
        <v>0.64800000000000002</v>
      </c>
      <c r="V317" s="8">
        <v>1.109</v>
      </c>
      <c r="W317" s="8">
        <v>0.26200000000000001</v>
      </c>
      <c r="X317" s="8">
        <v>5.4000000000000048E-2</v>
      </c>
      <c r="Y317" s="8">
        <v>3.6809815950920193</v>
      </c>
      <c r="Z317" s="8">
        <v>3.5564853556485336</v>
      </c>
      <c r="AA317" s="8">
        <v>8.1999999999999993</v>
      </c>
      <c r="AB317">
        <v>0.48099999999999998</v>
      </c>
      <c r="AC317" s="8">
        <v>10.429447852760733</v>
      </c>
      <c r="AD317" s="8">
        <v>13.598326359832624</v>
      </c>
      <c r="AE317" s="8">
        <v>0.03</v>
      </c>
      <c r="AF317" s="8">
        <v>2.3E-2</v>
      </c>
      <c r="AG317" s="8">
        <v>1.3907274784000616</v>
      </c>
      <c r="AH317" s="8">
        <v>30.333333333333336</v>
      </c>
      <c r="AI317" s="8">
        <v>38.766666666666666</v>
      </c>
      <c r="AJ317" t="s">
        <v>1694</v>
      </c>
      <c r="AK317" t="s">
        <v>1694</v>
      </c>
      <c r="AL317" t="s">
        <v>1702</v>
      </c>
      <c r="AM317" t="s">
        <v>1703</v>
      </c>
      <c r="AN317" t="s">
        <v>1702</v>
      </c>
      <c r="AO317" t="s">
        <v>1703</v>
      </c>
      <c r="AP317" t="s">
        <v>1702</v>
      </c>
      <c r="AQ317" t="s">
        <v>1697</v>
      </c>
      <c r="AR317" t="s">
        <v>1703</v>
      </c>
      <c r="AS317" t="s">
        <v>1702</v>
      </c>
      <c r="AT317" t="s">
        <v>1703</v>
      </c>
      <c r="AU317" t="s">
        <v>1704</v>
      </c>
      <c r="AV317" t="s">
        <v>1753</v>
      </c>
      <c r="AW317" t="s">
        <v>1703</v>
      </c>
      <c r="AX317" t="s">
        <v>1704</v>
      </c>
      <c r="AY317" t="s">
        <v>1753</v>
      </c>
      <c r="AZ317" t="s">
        <v>1703</v>
      </c>
      <c r="BA317" t="s">
        <v>1702</v>
      </c>
      <c r="BB317" t="s">
        <v>1704</v>
      </c>
      <c r="BC317" t="s">
        <v>1753</v>
      </c>
      <c r="BD317" t="s">
        <v>1703</v>
      </c>
      <c r="BE317" t="s">
        <v>1704</v>
      </c>
      <c r="BF317" t="s">
        <v>1753</v>
      </c>
      <c r="BG317">
        <v>5</v>
      </c>
      <c r="BH317" s="12" t="s">
        <v>1708</v>
      </c>
      <c r="BI317" t="b">
        <v>0</v>
      </c>
      <c r="BJ317">
        <f t="shared" si="4"/>
        <v>0</v>
      </c>
    </row>
    <row r="318" spans="1:62" x14ac:dyDescent="0.2">
      <c r="A318" s="5" t="s">
        <v>67</v>
      </c>
      <c r="B318" s="6">
        <v>40325</v>
      </c>
      <c r="C318" s="7">
        <v>33.622568999999999</v>
      </c>
      <c r="D318" s="7">
        <v>-112.376</v>
      </c>
      <c r="E318" s="17">
        <v>367</v>
      </c>
      <c r="F318" t="s">
        <v>1706</v>
      </c>
      <c r="G318" t="s">
        <v>1728</v>
      </c>
      <c r="H318" t="s">
        <v>1728</v>
      </c>
      <c r="I318">
        <v>1</v>
      </c>
      <c r="J318" s="8">
        <v>12.528796904176241</v>
      </c>
      <c r="K318" s="8">
        <v>59.228868765469691</v>
      </c>
      <c r="L318" s="8">
        <v>28.242334330354069</v>
      </c>
      <c r="M318" s="8">
        <v>0.59503088493578427</v>
      </c>
      <c r="N318" s="8">
        <v>0.50735298204454338</v>
      </c>
      <c r="O318" s="8">
        <v>0.85123632908064506</v>
      </c>
      <c r="P318" s="8">
        <v>2.2080810846456873</v>
      </c>
      <c r="Q318" s="8">
        <v>11.157489455321478</v>
      </c>
      <c r="R318" s="8">
        <v>16.959645688971289</v>
      </c>
      <c r="S318" s="8">
        <v>0.88400000000000001</v>
      </c>
      <c r="T318" s="8">
        <v>0.67400000000000004</v>
      </c>
      <c r="U318" s="8">
        <v>0.88200000000000001</v>
      </c>
      <c r="V318" s="8">
        <v>0.32600000000000001</v>
      </c>
      <c r="W318" s="8">
        <v>2.0000000000000018E-3</v>
      </c>
      <c r="X318" s="8">
        <v>0.34800000000000003</v>
      </c>
      <c r="Y318" s="8">
        <v>2.8106508875739573</v>
      </c>
      <c r="Z318" s="8">
        <v>3.1700288184438126</v>
      </c>
      <c r="AA318" s="8">
        <v>8.48</v>
      </c>
      <c r="AB318">
        <v>0.39100000000000001</v>
      </c>
      <c r="AC318" s="8">
        <v>3.9940828402367066</v>
      </c>
      <c r="AD318" s="8">
        <v>5.331412103746386</v>
      </c>
      <c r="AE318" s="8">
        <v>2.1999999999999999E-2</v>
      </c>
      <c r="AF318" s="8">
        <v>3.6999999999999998E-2</v>
      </c>
      <c r="AG318" s="8">
        <v>1.6120655312211798</v>
      </c>
      <c r="AH318" s="8">
        <v>40.181818181818187</v>
      </c>
      <c r="AI318" s="8">
        <v>30.63636363636364</v>
      </c>
      <c r="AJ318" t="s">
        <v>1694</v>
      </c>
      <c r="AK318" t="s">
        <v>1694</v>
      </c>
      <c r="AL318" t="s">
        <v>1702</v>
      </c>
      <c r="AM318" t="s">
        <v>1703</v>
      </c>
      <c r="AN318" t="s">
        <v>1702</v>
      </c>
      <c r="AO318" t="s">
        <v>1703</v>
      </c>
      <c r="AP318" t="s">
        <v>1702</v>
      </c>
      <c r="AQ318" t="s">
        <v>1697</v>
      </c>
      <c r="AR318" t="s">
        <v>1703</v>
      </c>
      <c r="AS318" t="s">
        <v>1702</v>
      </c>
      <c r="AT318" t="s">
        <v>1703</v>
      </c>
      <c r="AU318" t="s">
        <v>1704</v>
      </c>
      <c r="AV318" t="s">
        <v>1753</v>
      </c>
      <c r="AW318" t="s">
        <v>1703</v>
      </c>
      <c r="AX318" t="s">
        <v>1704</v>
      </c>
      <c r="AY318" t="s">
        <v>1753</v>
      </c>
      <c r="AZ318" t="s">
        <v>1703</v>
      </c>
      <c r="BA318" t="s">
        <v>1702</v>
      </c>
      <c r="BB318" t="s">
        <v>1704</v>
      </c>
      <c r="BC318" t="s">
        <v>1753</v>
      </c>
      <c r="BD318" t="s">
        <v>1703</v>
      </c>
      <c r="BE318" t="s">
        <v>1704</v>
      </c>
      <c r="BF318" t="s">
        <v>1753</v>
      </c>
      <c r="BG318">
        <v>5</v>
      </c>
      <c r="BH318" s="12" t="s">
        <v>1708</v>
      </c>
      <c r="BI318" t="b">
        <v>0</v>
      </c>
      <c r="BJ318">
        <f t="shared" si="4"/>
        <v>0</v>
      </c>
    </row>
    <row r="319" spans="1:62" x14ac:dyDescent="0.2">
      <c r="A319" s="5" t="s">
        <v>67</v>
      </c>
      <c r="B319" s="6">
        <v>42177</v>
      </c>
      <c r="C319" s="7">
        <v>33.622568999999999</v>
      </c>
      <c r="D319" s="7">
        <v>-112.376</v>
      </c>
      <c r="E319" s="17">
        <v>367</v>
      </c>
      <c r="F319" t="s">
        <v>1706</v>
      </c>
      <c r="G319" t="s">
        <v>1724</v>
      </c>
      <c r="H319" t="s">
        <v>1724</v>
      </c>
      <c r="I319">
        <v>1</v>
      </c>
      <c r="J319">
        <v>11.9488014970582</v>
      </c>
      <c r="K319">
        <v>80.320331224165002</v>
      </c>
      <c r="L319">
        <v>7.73086727877683</v>
      </c>
      <c r="M319">
        <v>2.4124738319484398</v>
      </c>
      <c r="N319" t="s">
        <v>1697</v>
      </c>
      <c r="O319">
        <v>5.4564005460847396</v>
      </c>
      <c r="P319" t="s">
        <v>1697</v>
      </c>
      <c r="Q319">
        <v>5.7173028431518604</v>
      </c>
      <c r="R319" t="s">
        <v>1697</v>
      </c>
      <c r="S319">
        <v>1.0329999999999999</v>
      </c>
      <c r="T319" t="s">
        <v>1697</v>
      </c>
      <c r="U319">
        <v>0.82799999999999996</v>
      </c>
      <c r="V319" t="s">
        <v>1697</v>
      </c>
      <c r="W319">
        <v>0.20499999999999999</v>
      </c>
      <c r="X319" t="s">
        <v>1697</v>
      </c>
      <c r="Y319">
        <v>1.10584518167457</v>
      </c>
      <c r="Z319" t="s">
        <v>1697</v>
      </c>
      <c r="AA319">
        <v>8.4</v>
      </c>
      <c r="AB319">
        <v>0.32200000000000001</v>
      </c>
      <c r="AC319">
        <v>4.6683046683046596</v>
      </c>
      <c r="AD319" t="s">
        <v>1697</v>
      </c>
      <c r="AE319">
        <v>0.104</v>
      </c>
      <c r="AF319" t="s">
        <v>1697</v>
      </c>
      <c r="AG319">
        <v>1.326282243099179</v>
      </c>
      <c r="AH319">
        <v>9.9326923076923102</v>
      </c>
      <c r="AI319" t="s">
        <v>1697</v>
      </c>
      <c r="AJ319" t="s">
        <v>1694</v>
      </c>
      <c r="AK319" t="s">
        <v>1694</v>
      </c>
      <c r="AL319" t="s">
        <v>1702</v>
      </c>
      <c r="AM319" t="s">
        <v>1703</v>
      </c>
      <c r="AN319" t="s">
        <v>1702</v>
      </c>
      <c r="AO319" t="s">
        <v>1703</v>
      </c>
      <c r="AP319" t="s">
        <v>1697</v>
      </c>
      <c r="AQ319" t="s">
        <v>1697</v>
      </c>
      <c r="AR319" t="s">
        <v>1703</v>
      </c>
      <c r="AS319" t="s">
        <v>1702</v>
      </c>
      <c r="AT319" t="s">
        <v>1703</v>
      </c>
      <c r="AU319" t="s">
        <v>1704</v>
      </c>
      <c r="AV319" t="s">
        <v>1753</v>
      </c>
      <c r="AW319" t="s">
        <v>1703</v>
      </c>
      <c r="AX319" t="s">
        <v>1704</v>
      </c>
      <c r="AY319" t="s">
        <v>1753</v>
      </c>
      <c r="AZ319" t="s">
        <v>1703</v>
      </c>
      <c r="BA319" t="s">
        <v>1702</v>
      </c>
      <c r="BB319" t="s">
        <v>1704</v>
      </c>
      <c r="BC319" t="s">
        <v>1753</v>
      </c>
      <c r="BD319" t="s">
        <v>1703</v>
      </c>
      <c r="BE319" t="s">
        <v>1704</v>
      </c>
      <c r="BF319" t="s">
        <v>1753</v>
      </c>
      <c r="BG319">
        <v>10</v>
      </c>
      <c r="BH319" t="s">
        <v>1708</v>
      </c>
      <c r="BI319" t="b">
        <v>0</v>
      </c>
      <c r="BJ319">
        <f t="shared" si="4"/>
        <v>0</v>
      </c>
    </row>
    <row r="320" spans="1:62" x14ac:dyDescent="0.2">
      <c r="A320" s="5" t="s">
        <v>67</v>
      </c>
      <c r="B320" s="6">
        <v>45057</v>
      </c>
      <c r="C320" s="7">
        <v>33.622568999999999</v>
      </c>
      <c r="D320" s="7">
        <v>-112.376</v>
      </c>
      <c r="E320" s="17">
        <v>367</v>
      </c>
      <c r="F320" t="s">
        <v>1706</v>
      </c>
      <c r="G320" t="s">
        <v>1724</v>
      </c>
      <c r="H320" t="s">
        <v>1724</v>
      </c>
      <c r="I320">
        <v>1</v>
      </c>
      <c r="J320" t="s">
        <v>1697</v>
      </c>
      <c r="K320" t="s">
        <v>1697</v>
      </c>
      <c r="L320" t="s">
        <v>1697</v>
      </c>
      <c r="M320" t="s">
        <v>1697</v>
      </c>
      <c r="N320" t="s">
        <v>1697</v>
      </c>
      <c r="O320" t="s">
        <v>1697</v>
      </c>
      <c r="P320" t="s">
        <v>1697</v>
      </c>
      <c r="Q320" t="s">
        <v>1697</v>
      </c>
      <c r="R320" t="s">
        <v>1697</v>
      </c>
      <c r="S320" t="s">
        <v>1697</v>
      </c>
      <c r="T320" t="s">
        <v>1697</v>
      </c>
      <c r="U320" t="s">
        <v>1697</v>
      </c>
      <c r="V320" t="s">
        <v>1697</v>
      </c>
      <c r="W320" t="s">
        <v>1697</v>
      </c>
      <c r="X320" t="s">
        <v>1697</v>
      </c>
      <c r="Y320" t="s">
        <v>1697</v>
      </c>
      <c r="Z320" t="s">
        <v>1697</v>
      </c>
      <c r="AA320" t="s">
        <v>1697</v>
      </c>
      <c r="AB320" t="s">
        <v>1697</v>
      </c>
      <c r="AC320" t="s">
        <v>1697</v>
      </c>
      <c r="AD320" t="s">
        <v>1697</v>
      </c>
      <c r="AE320" t="s">
        <v>1697</v>
      </c>
      <c r="AF320" t="s">
        <v>1697</v>
      </c>
      <c r="AG320" t="s">
        <v>1697</v>
      </c>
      <c r="AH320" t="s">
        <v>1697</v>
      </c>
      <c r="AI320" t="s">
        <v>1697</v>
      </c>
      <c r="AJ320" t="s">
        <v>1694</v>
      </c>
      <c r="AK320" t="s">
        <v>1694</v>
      </c>
      <c r="AL320" t="s">
        <v>1702</v>
      </c>
      <c r="AM320" t="s">
        <v>1703</v>
      </c>
      <c r="AN320" t="s">
        <v>1702</v>
      </c>
      <c r="AO320" t="s">
        <v>1703</v>
      </c>
      <c r="AP320" t="s">
        <v>1697</v>
      </c>
      <c r="AQ320" t="s">
        <v>1697</v>
      </c>
      <c r="AR320" t="s">
        <v>1703</v>
      </c>
      <c r="AS320" t="s">
        <v>1702</v>
      </c>
      <c r="AT320" t="s">
        <v>1703</v>
      </c>
      <c r="AU320" t="s">
        <v>1704</v>
      </c>
      <c r="AV320" t="s">
        <v>1753</v>
      </c>
      <c r="AW320" t="s">
        <v>1703</v>
      </c>
      <c r="AX320" t="s">
        <v>1704</v>
      </c>
      <c r="AY320" t="s">
        <v>1753</v>
      </c>
      <c r="AZ320" t="s">
        <v>1703</v>
      </c>
      <c r="BA320" t="s">
        <v>1702</v>
      </c>
      <c r="BB320" t="s">
        <v>1704</v>
      </c>
      <c r="BC320" t="s">
        <v>1753</v>
      </c>
      <c r="BD320" t="s">
        <v>1703</v>
      </c>
      <c r="BE320" t="s">
        <v>1704</v>
      </c>
      <c r="BF320" t="s">
        <v>1753</v>
      </c>
      <c r="BG320" s="6" t="s">
        <v>1697</v>
      </c>
      <c r="BH320" s="6" t="s">
        <v>1697</v>
      </c>
      <c r="BI320" t="b">
        <v>0</v>
      </c>
      <c r="BJ320">
        <f t="shared" si="4"/>
        <v>0</v>
      </c>
    </row>
    <row r="321" spans="1:62" x14ac:dyDescent="0.2">
      <c r="A321" s="5" t="s">
        <v>68</v>
      </c>
      <c r="B321" s="6">
        <v>38471</v>
      </c>
      <c r="C321" s="7">
        <v>33.460017000000001</v>
      </c>
      <c r="D321" s="7">
        <v>-112.399539</v>
      </c>
      <c r="E321" s="17">
        <v>306</v>
      </c>
      <c r="F321" t="s">
        <v>1706</v>
      </c>
      <c r="G321" t="s">
        <v>1724</v>
      </c>
      <c r="H321" t="s">
        <v>1724</v>
      </c>
      <c r="I321">
        <v>1</v>
      </c>
      <c r="J321" s="8">
        <v>15.942914003456362</v>
      </c>
      <c r="K321" s="8">
        <v>64.284457890794911</v>
      </c>
      <c r="L321" s="8">
        <v>19.772628105748723</v>
      </c>
      <c r="M321" s="8">
        <v>3.1870252876444241</v>
      </c>
      <c r="N321" s="8">
        <v>2.1223333641664577</v>
      </c>
      <c r="O321" s="8">
        <v>5.5895520429456038</v>
      </c>
      <c r="P321" s="8">
        <v>6.0404872672429946</v>
      </c>
      <c r="Q321" s="8">
        <v>6.4035489957123213</v>
      </c>
      <c r="R321" s="8">
        <v>4.2404220616045833</v>
      </c>
      <c r="S321" s="8">
        <v>1.278</v>
      </c>
      <c r="T321" s="8">
        <v>1.018</v>
      </c>
      <c r="U321" s="8">
        <v>1.1859999999999999</v>
      </c>
      <c r="V321" s="8">
        <v>0.72099999999999997</v>
      </c>
      <c r="W321" s="8">
        <v>9.2000000000000082E-2</v>
      </c>
      <c r="X321" s="8">
        <v>0.29700000000000004</v>
      </c>
      <c r="Y321" s="8">
        <v>2.4734982332155577</v>
      </c>
      <c r="Z321" s="8">
        <v>2.4532710280373933</v>
      </c>
      <c r="AA321" s="8">
        <v>8.6</v>
      </c>
      <c r="AB321">
        <v>0.20699999999999999</v>
      </c>
      <c r="AC321" s="8">
        <v>11.425206124852755</v>
      </c>
      <c r="AD321" s="8">
        <v>10.747663551401867</v>
      </c>
      <c r="AE321" s="8">
        <v>2.1999999999999999E-2</v>
      </c>
      <c r="AF321" s="8">
        <v>2.5000000000000001E-2</v>
      </c>
      <c r="AG321" s="8">
        <v>1.4707480453623354</v>
      </c>
      <c r="AH321" s="8">
        <v>58.090909090909093</v>
      </c>
      <c r="AI321" s="8">
        <v>46.272727272727273</v>
      </c>
      <c r="AJ321" t="s">
        <v>1694</v>
      </c>
      <c r="AK321" t="s">
        <v>1694</v>
      </c>
      <c r="AL321" t="s">
        <v>1702</v>
      </c>
      <c r="AM321" t="s">
        <v>1703</v>
      </c>
      <c r="AN321" t="s">
        <v>1702</v>
      </c>
      <c r="AO321" t="s">
        <v>1703</v>
      </c>
      <c r="AP321" t="s">
        <v>1702</v>
      </c>
      <c r="AQ321" t="s">
        <v>1725</v>
      </c>
      <c r="AR321" t="s">
        <v>1703</v>
      </c>
      <c r="AS321" t="s">
        <v>1702</v>
      </c>
      <c r="AT321" t="s">
        <v>1703</v>
      </c>
      <c r="AU321" t="s">
        <v>1704</v>
      </c>
      <c r="AV321" t="s">
        <v>1725</v>
      </c>
      <c r="AW321" t="s">
        <v>1703</v>
      </c>
      <c r="AX321" t="s">
        <v>1704</v>
      </c>
      <c r="AY321" t="s">
        <v>1725</v>
      </c>
      <c r="AZ321" t="s">
        <v>1703</v>
      </c>
      <c r="BA321" t="s">
        <v>1702</v>
      </c>
      <c r="BB321" t="s">
        <v>1704</v>
      </c>
      <c r="BC321" t="s">
        <v>1725</v>
      </c>
      <c r="BD321" t="s">
        <v>1703</v>
      </c>
      <c r="BE321" t="s">
        <v>1704</v>
      </c>
      <c r="BF321" t="s">
        <v>1725</v>
      </c>
      <c r="BG321">
        <v>5</v>
      </c>
      <c r="BH321" s="12" t="s">
        <v>1708</v>
      </c>
      <c r="BI321" t="b">
        <v>0</v>
      </c>
      <c r="BJ321">
        <f t="shared" si="4"/>
        <v>0</v>
      </c>
    </row>
    <row r="322" spans="1:62" x14ac:dyDescent="0.2">
      <c r="A322" s="5" t="s">
        <v>68</v>
      </c>
      <c r="B322" s="6">
        <v>40252</v>
      </c>
      <c r="C322" s="7">
        <v>33.460017000000001</v>
      </c>
      <c r="D322" s="7">
        <v>-112.399539</v>
      </c>
      <c r="E322" s="17">
        <v>306</v>
      </c>
      <c r="F322" t="s">
        <v>1706</v>
      </c>
      <c r="G322" t="s">
        <v>1728</v>
      </c>
      <c r="H322" t="s">
        <v>1728</v>
      </c>
      <c r="I322">
        <v>1</v>
      </c>
      <c r="J322" s="8">
        <v>16.952538414507345</v>
      </c>
      <c r="K322" s="8">
        <v>53.34363398901052</v>
      </c>
      <c r="L322" s="8">
        <v>29.703827596482142</v>
      </c>
      <c r="M322" s="8">
        <v>0.17628539209231839</v>
      </c>
      <c r="N322" s="8">
        <v>0.935187442961945</v>
      </c>
      <c r="O322" s="8">
        <v>14.930293411900436</v>
      </c>
      <c r="P322" s="8">
        <v>21.246005985737387</v>
      </c>
      <c r="Q322" s="8">
        <v>16.583833785136861</v>
      </c>
      <c r="R322" s="8">
        <v>11.730544869774581</v>
      </c>
      <c r="S322" s="8">
        <v>1.7390000000000001</v>
      </c>
      <c r="T322" s="8">
        <v>1.17</v>
      </c>
      <c r="U322" s="8">
        <v>1.5640000000000001</v>
      </c>
      <c r="V322" s="8">
        <v>0.871</v>
      </c>
      <c r="W322" s="8">
        <v>0.17500000000000004</v>
      </c>
      <c r="X322" s="8">
        <v>0.29899999999999993</v>
      </c>
      <c r="Y322" s="8">
        <v>3.1847133757961861</v>
      </c>
      <c r="Z322" s="8">
        <v>2.6845637583892636</v>
      </c>
      <c r="AA322" s="8">
        <v>8.61</v>
      </c>
      <c r="AB322">
        <v>0.158</v>
      </c>
      <c r="AC322" s="8">
        <v>5.5201698513800377</v>
      </c>
      <c r="AD322" s="8">
        <v>6.2080536912751541</v>
      </c>
      <c r="AE322" s="8">
        <v>2.5999999999999999E-2</v>
      </c>
      <c r="AF322" s="8">
        <v>2.3E-2</v>
      </c>
      <c r="AG322" s="8">
        <v>1.7284340422668958</v>
      </c>
      <c r="AH322" s="8">
        <v>66.884615384615387</v>
      </c>
      <c r="AI322" s="8">
        <v>45</v>
      </c>
      <c r="AJ322" t="s">
        <v>1694</v>
      </c>
      <c r="AK322" t="s">
        <v>1694</v>
      </c>
      <c r="AL322" t="s">
        <v>1702</v>
      </c>
      <c r="AM322" t="s">
        <v>1703</v>
      </c>
      <c r="AN322" t="s">
        <v>1702</v>
      </c>
      <c r="AO322" t="s">
        <v>1703</v>
      </c>
      <c r="AP322" t="s">
        <v>1702</v>
      </c>
      <c r="AQ322" t="s">
        <v>1725</v>
      </c>
      <c r="AR322" t="s">
        <v>1703</v>
      </c>
      <c r="AS322" t="s">
        <v>1702</v>
      </c>
      <c r="AT322" t="s">
        <v>1703</v>
      </c>
      <c r="AU322" t="s">
        <v>1704</v>
      </c>
      <c r="AV322" t="s">
        <v>1725</v>
      </c>
      <c r="AW322" t="s">
        <v>1703</v>
      </c>
      <c r="AX322" t="s">
        <v>1704</v>
      </c>
      <c r="AY322" t="s">
        <v>1725</v>
      </c>
      <c r="AZ322" t="s">
        <v>1703</v>
      </c>
      <c r="BA322" t="s">
        <v>1702</v>
      </c>
      <c r="BB322" t="s">
        <v>1704</v>
      </c>
      <c r="BC322" t="s">
        <v>1725</v>
      </c>
      <c r="BD322" t="s">
        <v>1703</v>
      </c>
      <c r="BE322" t="s">
        <v>1704</v>
      </c>
      <c r="BF322" t="s">
        <v>1725</v>
      </c>
      <c r="BG322">
        <v>10</v>
      </c>
      <c r="BH322" s="12" t="s">
        <v>1708</v>
      </c>
      <c r="BI322" t="b">
        <v>1</v>
      </c>
      <c r="BJ322">
        <f t="shared" ref="BJ322:BJ385" si="5">COUNTIF(BI322:BI322,TRUE)</f>
        <v>1</v>
      </c>
    </row>
    <row r="323" spans="1:62" x14ac:dyDescent="0.2">
      <c r="A323" s="5" t="s">
        <v>69</v>
      </c>
      <c r="B323" s="6">
        <v>38471</v>
      </c>
      <c r="C323" s="7">
        <v>33.432867000000002</v>
      </c>
      <c r="D323" s="7">
        <v>-112.379761</v>
      </c>
      <c r="E323" s="17">
        <v>294</v>
      </c>
      <c r="F323" t="s">
        <v>1711</v>
      </c>
      <c r="G323" t="s">
        <v>1711</v>
      </c>
      <c r="H323" t="s">
        <v>1711</v>
      </c>
      <c r="I323">
        <v>1</v>
      </c>
      <c r="J323" s="8">
        <v>16.490425155149225</v>
      </c>
      <c r="K323" s="8">
        <v>58.927395458590148</v>
      </c>
      <c r="L323" s="8">
        <v>24.582179386260634</v>
      </c>
      <c r="M323" s="8">
        <v>3.9868335380754063</v>
      </c>
      <c r="N323" s="8">
        <v>5.9384162833954512</v>
      </c>
      <c r="O323" s="8">
        <v>314.41926190957406</v>
      </c>
      <c r="P323" s="8">
        <v>541.0863953103111</v>
      </c>
      <c r="Q323" s="8">
        <v>241.04305276550474</v>
      </c>
      <c r="R323" s="8">
        <v>133.21210552078315</v>
      </c>
      <c r="S323" s="8">
        <v>2.4119999999999999</v>
      </c>
      <c r="T323" s="8">
        <v>2.4649999999999999</v>
      </c>
      <c r="U323" s="8">
        <v>1.4610000000000001</v>
      </c>
      <c r="V323" s="8">
        <v>1.8879999999999999</v>
      </c>
      <c r="W323" s="8">
        <v>0.95099999999999985</v>
      </c>
      <c r="X323" s="8">
        <v>0.57699999999999996</v>
      </c>
      <c r="Y323" s="8">
        <v>4.1800643086816782</v>
      </c>
      <c r="Z323" s="8">
        <v>4.2417815482502688</v>
      </c>
      <c r="AA323" s="8">
        <v>8.18</v>
      </c>
      <c r="AB323">
        <v>0.79300000000000004</v>
      </c>
      <c r="AC323" s="8">
        <v>4.5016077170418001</v>
      </c>
      <c r="AD323" s="8">
        <v>6.4687168610816483</v>
      </c>
      <c r="AE323" s="8">
        <v>0.121</v>
      </c>
      <c r="AF323" s="8">
        <v>0.115</v>
      </c>
      <c r="AG323" s="8">
        <v>1.2964710929192367</v>
      </c>
      <c r="AH323" s="8">
        <v>19.93388429752066</v>
      </c>
      <c r="AI323" s="8">
        <v>20.371900826446279</v>
      </c>
      <c r="AJ323" t="s">
        <v>1694</v>
      </c>
      <c r="AK323" t="s">
        <v>1694</v>
      </c>
      <c r="AL323" t="s">
        <v>1702</v>
      </c>
      <c r="AM323" t="s">
        <v>1703</v>
      </c>
      <c r="AN323" t="s">
        <v>1702</v>
      </c>
      <c r="AO323" t="s">
        <v>1703</v>
      </c>
      <c r="AP323" t="s">
        <v>1702</v>
      </c>
      <c r="AQ323" t="s">
        <v>1725</v>
      </c>
      <c r="AR323" t="s">
        <v>1703</v>
      </c>
      <c r="AS323" t="s">
        <v>1702</v>
      </c>
      <c r="AT323" t="s">
        <v>1703</v>
      </c>
      <c r="AU323" t="s">
        <v>1704</v>
      </c>
      <c r="AV323" t="s">
        <v>1725</v>
      </c>
      <c r="AW323" t="s">
        <v>1703</v>
      </c>
      <c r="AX323" t="s">
        <v>1704</v>
      </c>
      <c r="AY323" t="s">
        <v>1705</v>
      </c>
      <c r="AZ323" t="s">
        <v>1703</v>
      </c>
      <c r="BA323" t="s">
        <v>1702</v>
      </c>
      <c r="BB323" t="s">
        <v>1704</v>
      </c>
      <c r="BC323" t="s">
        <v>1705</v>
      </c>
      <c r="BD323" t="s">
        <v>1703</v>
      </c>
      <c r="BE323" t="s">
        <v>1704</v>
      </c>
      <c r="BF323" t="s">
        <v>1705</v>
      </c>
      <c r="BG323">
        <v>10</v>
      </c>
      <c r="BH323" s="12" t="s">
        <v>1708</v>
      </c>
      <c r="BI323" t="b">
        <v>0</v>
      </c>
      <c r="BJ323">
        <f t="shared" si="5"/>
        <v>0</v>
      </c>
    </row>
    <row r="324" spans="1:62" x14ac:dyDescent="0.2">
      <c r="A324" s="5" t="s">
        <v>69</v>
      </c>
      <c r="B324" s="6">
        <v>40298</v>
      </c>
      <c r="C324" s="7">
        <v>33.432867000000002</v>
      </c>
      <c r="D324" s="7">
        <v>-112.379761</v>
      </c>
      <c r="E324" s="17">
        <v>294</v>
      </c>
      <c r="F324" t="s">
        <v>1700</v>
      </c>
      <c r="G324" t="s">
        <v>1736</v>
      </c>
      <c r="H324" t="s">
        <v>1737</v>
      </c>
      <c r="I324">
        <v>1</v>
      </c>
      <c r="J324" s="8">
        <v>13.014427469698285</v>
      </c>
      <c r="K324" s="8">
        <v>54.314150470682939</v>
      </c>
      <c r="L324" s="8">
        <v>32.671422059618777</v>
      </c>
      <c r="M324" s="8">
        <v>4.1923962330910678</v>
      </c>
      <c r="N324" s="8">
        <v>1.4194446571191823</v>
      </c>
      <c r="O324" s="8">
        <v>295.43158791232372</v>
      </c>
      <c r="P324" s="8">
        <v>202.77780815988319</v>
      </c>
      <c r="Q324" s="8">
        <v>266.8086431184513</v>
      </c>
      <c r="R324" s="8">
        <v>170.21362338662652</v>
      </c>
      <c r="S324" s="8">
        <v>1.6659999999999999</v>
      </c>
      <c r="T324" s="8">
        <v>1.5409999999999999</v>
      </c>
      <c r="U324" s="8">
        <v>1.36</v>
      </c>
      <c r="V324" s="8">
        <v>0.90300000000000002</v>
      </c>
      <c r="W324" s="8">
        <v>0.30599999999999983</v>
      </c>
      <c r="X324" s="8">
        <v>0.6379999999999999</v>
      </c>
      <c r="Y324" s="8">
        <v>4.0051679586563376</v>
      </c>
      <c r="Z324" s="8">
        <v>3.3840947546531184</v>
      </c>
      <c r="AA324" s="8">
        <v>7.96</v>
      </c>
      <c r="AB324">
        <v>2.13</v>
      </c>
      <c r="AC324" s="8">
        <v>2.1963824289405678</v>
      </c>
      <c r="AD324" s="8">
        <v>4.230118443316413</v>
      </c>
      <c r="AE324" s="8">
        <v>7.9000000000000001E-2</v>
      </c>
      <c r="AF324" s="8">
        <v>6.4000000000000001E-2</v>
      </c>
      <c r="AG324" s="8">
        <v>1.6764991326211602</v>
      </c>
      <c r="AH324" s="8">
        <v>21.088607594936708</v>
      </c>
      <c r="AI324" s="8">
        <v>19.50632911392405</v>
      </c>
      <c r="AJ324" t="s">
        <v>1694</v>
      </c>
      <c r="AK324" t="s">
        <v>1694</v>
      </c>
      <c r="AL324" t="s">
        <v>1702</v>
      </c>
      <c r="AM324" t="s">
        <v>1703</v>
      </c>
      <c r="AN324" t="s">
        <v>1702</v>
      </c>
      <c r="AO324" t="s">
        <v>1703</v>
      </c>
      <c r="AP324" t="s">
        <v>1702</v>
      </c>
      <c r="AQ324" t="s">
        <v>1725</v>
      </c>
      <c r="AR324" t="s">
        <v>1703</v>
      </c>
      <c r="AS324" t="s">
        <v>1702</v>
      </c>
      <c r="AT324" t="s">
        <v>1703</v>
      </c>
      <c r="AU324" t="s">
        <v>1704</v>
      </c>
      <c r="AV324" t="s">
        <v>1725</v>
      </c>
      <c r="AW324" t="s">
        <v>1703</v>
      </c>
      <c r="AX324" t="s">
        <v>1704</v>
      </c>
      <c r="AY324" t="s">
        <v>1705</v>
      </c>
      <c r="AZ324" t="s">
        <v>1703</v>
      </c>
      <c r="BA324" t="s">
        <v>1702</v>
      </c>
      <c r="BB324" t="s">
        <v>1704</v>
      </c>
      <c r="BC324" t="s">
        <v>1705</v>
      </c>
      <c r="BD324" t="s">
        <v>1703</v>
      </c>
      <c r="BE324" t="s">
        <v>1704</v>
      </c>
      <c r="BF324" t="s">
        <v>1705</v>
      </c>
      <c r="BG324">
        <v>15</v>
      </c>
      <c r="BH324" s="12" t="s">
        <v>1708</v>
      </c>
      <c r="BI324" t="b">
        <v>0</v>
      </c>
      <c r="BJ324">
        <f t="shared" si="5"/>
        <v>0</v>
      </c>
    </row>
    <row r="325" spans="1:62" x14ac:dyDescent="0.2">
      <c r="A325" s="5" t="s">
        <v>69</v>
      </c>
      <c r="B325" s="6">
        <v>42086</v>
      </c>
      <c r="C325" s="7">
        <v>33.432867000000002</v>
      </c>
      <c r="D325" s="7">
        <v>-112.379761</v>
      </c>
      <c r="E325" s="17">
        <v>294</v>
      </c>
      <c r="F325" t="s">
        <v>1711</v>
      </c>
      <c r="G325" t="s">
        <v>1711</v>
      </c>
      <c r="H325" t="s">
        <v>1711</v>
      </c>
      <c r="I325">
        <v>1</v>
      </c>
      <c r="J325">
        <v>9.6961309258594994</v>
      </c>
      <c r="K325">
        <v>68.197999247569697</v>
      </c>
      <c r="L325">
        <v>22.1058698265708</v>
      </c>
      <c r="M325">
        <v>14.8659208842853</v>
      </c>
      <c r="N325">
        <v>35.123976486117201</v>
      </c>
      <c r="O325">
        <v>502.10853724208499</v>
      </c>
      <c r="P325">
        <v>1605.0323432263699</v>
      </c>
      <c r="Q325">
        <v>51.926591304783798</v>
      </c>
      <c r="R325">
        <v>75.931507497964901</v>
      </c>
      <c r="S325">
        <v>1.5489999999999999</v>
      </c>
      <c r="T325">
        <v>1.8009999999999999</v>
      </c>
      <c r="U325">
        <v>1.387</v>
      </c>
      <c r="V325">
        <v>1.3859999999999999</v>
      </c>
      <c r="W325">
        <v>0.16200000000000001</v>
      </c>
      <c r="X325">
        <v>0.41499999999999998</v>
      </c>
      <c r="Y325">
        <v>1.80505415162455</v>
      </c>
      <c r="Z325">
        <v>2.2650056625141501</v>
      </c>
      <c r="AA325">
        <v>8.25</v>
      </c>
      <c r="AB325">
        <v>1.274</v>
      </c>
      <c r="AC325">
        <v>3.1147540983606499</v>
      </c>
      <c r="AD325">
        <v>3.3333333333333401</v>
      </c>
      <c r="AE325">
        <v>5.6000000000000001E-2</v>
      </c>
      <c r="AF325">
        <v>9.6000000000000002E-2</v>
      </c>
      <c r="AG325">
        <v>1.8032037549736988</v>
      </c>
      <c r="AH325">
        <v>27.660714285714299</v>
      </c>
      <c r="AI325">
        <v>18.7604166666667</v>
      </c>
      <c r="AJ325" t="s">
        <v>1694</v>
      </c>
      <c r="AK325" t="s">
        <v>1694</v>
      </c>
      <c r="AL325" t="s">
        <v>1702</v>
      </c>
      <c r="AM325" t="s">
        <v>1703</v>
      </c>
      <c r="AN325" t="s">
        <v>1702</v>
      </c>
      <c r="AO325" t="s">
        <v>1703</v>
      </c>
      <c r="AP325" t="s">
        <v>1702</v>
      </c>
      <c r="AQ325" t="s">
        <v>1725</v>
      </c>
      <c r="AR325" t="s">
        <v>1703</v>
      </c>
      <c r="AS325" t="s">
        <v>1702</v>
      </c>
      <c r="AT325" t="s">
        <v>1703</v>
      </c>
      <c r="AU325" t="s">
        <v>1704</v>
      </c>
      <c r="AV325" t="s">
        <v>1725</v>
      </c>
      <c r="AW325" t="s">
        <v>1703</v>
      </c>
      <c r="AX325" t="s">
        <v>1704</v>
      </c>
      <c r="AY325" t="s">
        <v>1705</v>
      </c>
      <c r="AZ325" t="s">
        <v>1703</v>
      </c>
      <c r="BA325" t="s">
        <v>1702</v>
      </c>
      <c r="BB325" t="s">
        <v>1704</v>
      </c>
      <c r="BC325" t="s">
        <v>1705</v>
      </c>
      <c r="BD325" t="s">
        <v>1703</v>
      </c>
      <c r="BE325" t="s">
        <v>1704</v>
      </c>
      <c r="BF325" t="s">
        <v>1705</v>
      </c>
      <c r="BG325">
        <v>20</v>
      </c>
      <c r="BH325" s="12" t="s">
        <v>1708</v>
      </c>
      <c r="BI325" t="b">
        <v>0</v>
      </c>
      <c r="BJ325">
        <f t="shared" si="5"/>
        <v>0</v>
      </c>
    </row>
    <row r="326" spans="1:62" x14ac:dyDescent="0.2">
      <c r="A326" s="5" t="s">
        <v>69</v>
      </c>
      <c r="B326" s="6">
        <v>45064</v>
      </c>
      <c r="C326" s="7">
        <v>33.432867000000002</v>
      </c>
      <c r="D326" s="7">
        <v>-112.379761</v>
      </c>
      <c r="E326" s="17">
        <v>294</v>
      </c>
      <c r="F326" t="s">
        <v>1711</v>
      </c>
      <c r="G326" t="s">
        <v>1711</v>
      </c>
      <c r="H326" t="s">
        <v>1711</v>
      </c>
      <c r="I326">
        <v>1</v>
      </c>
      <c r="J326" t="s">
        <v>1697</v>
      </c>
      <c r="K326" t="s">
        <v>1697</v>
      </c>
      <c r="L326" t="s">
        <v>1697</v>
      </c>
      <c r="M326" t="s">
        <v>1697</v>
      </c>
      <c r="N326" t="s">
        <v>1697</v>
      </c>
      <c r="O326" t="s">
        <v>1697</v>
      </c>
      <c r="P326" t="s">
        <v>1697</v>
      </c>
      <c r="Q326" t="s">
        <v>1697</v>
      </c>
      <c r="R326" t="s">
        <v>1697</v>
      </c>
      <c r="S326" t="s">
        <v>1697</v>
      </c>
      <c r="T326" t="s">
        <v>1697</v>
      </c>
      <c r="U326" t="s">
        <v>1697</v>
      </c>
      <c r="V326" t="s">
        <v>1697</v>
      </c>
      <c r="W326" t="s">
        <v>1697</v>
      </c>
      <c r="X326" t="s">
        <v>1697</v>
      </c>
      <c r="Y326" t="s">
        <v>1697</v>
      </c>
      <c r="Z326" t="s">
        <v>1697</v>
      </c>
      <c r="AA326" t="s">
        <v>1697</v>
      </c>
      <c r="AB326" t="s">
        <v>1697</v>
      </c>
      <c r="AC326" t="s">
        <v>1697</v>
      </c>
      <c r="AD326" t="s">
        <v>1697</v>
      </c>
      <c r="AE326" t="s">
        <v>1697</v>
      </c>
      <c r="AF326" t="s">
        <v>1697</v>
      </c>
      <c r="AG326" t="s">
        <v>1697</v>
      </c>
      <c r="AH326" t="s">
        <v>1697</v>
      </c>
      <c r="AI326" t="s">
        <v>1697</v>
      </c>
      <c r="AJ326" t="s">
        <v>1694</v>
      </c>
      <c r="AK326" t="s">
        <v>1694</v>
      </c>
      <c r="AL326" t="s">
        <v>1702</v>
      </c>
      <c r="AM326" t="s">
        <v>1703</v>
      </c>
      <c r="AN326" t="s">
        <v>1702</v>
      </c>
      <c r="AO326" t="s">
        <v>1703</v>
      </c>
      <c r="AP326" t="s">
        <v>1702</v>
      </c>
      <c r="AQ326" t="s">
        <v>1725</v>
      </c>
      <c r="AR326" t="s">
        <v>1703</v>
      </c>
      <c r="AS326" t="s">
        <v>1702</v>
      </c>
      <c r="AT326" t="s">
        <v>1703</v>
      </c>
      <c r="AU326" t="s">
        <v>1704</v>
      </c>
      <c r="AV326" t="s">
        <v>1725</v>
      </c>
      <c r="AW326" t="s">
        <v>1703</v>
      </c>
      <c r="AX326" t="s">
        <v>1704</v>
      </c>
      <c r="AY326" t="s">
        <v>1705</v>
      </c>
      <c r="AZ326" t="s">
        <v>1703</v>
      </c>
      <c r="BA326" t="s">
        <v>1702</v>
      </c>
      <c r="BB326" t="s">
        <v>1704</v>
      </c>
      <c r="BC326" t="s">
        <v>1705</v>
      </c>
      <c r="BD326" t="s">
        <v>1703</v>
      </c>
      <c r="BE326" t="s">
        <v>1704</v>
      </c>
      <c r="BF326" t="s">
        <v>1705</v>
      </c>
      <c r="BG326" s="6" t="s">
        <v>1697</v>
      </c>
      <c r="BH326" s="6" t="s">
        <v>1697</v>
      </c>
      <c r="BI326" t="b">
        <v>1</v>
      </c>
      <c r="BJ326">
        <f t="shared" si="5"/>
        <v>1</v>
      </c>
    </row>
    <row r="327" spans="1:62" x14ac:dyDescent="0.2">
      <c r="A327" s="5" t="s">
        <v>870</v>
      </c>
      <c r="B327" s="6">
        <v>36612</v>
      </c>
      <c r="C327" s="7">
        <v>33.802110999999996</v>
      </c>
      <c r="D327" s="7">
        <v>-112.32816099999999</v>
      </c>
      <c r="E327" s="17">
        <v>505</v>
      </c>
      <c r="F327" t="s">
        <v>1694</v>
      </c>
      <c r="G327" t="s">
        <v>1694</v>
      </c>
      <c r="H327" t="s">
        <v>1694</v>
      </c>
      <c r="I327">
        <v>0</v>
      </c>
      <c r="J327" s="8">
        <v>19.04687515802917</v>
      </c>
      <c r="K327" s="8">
        <v>56.426859570696898</v>
      </c>
      <c r="L327" s="8">
        <v>24.526265271273928</v>
      </c>
      <c r="M327" s="8">
        <v>3.2569283333642245</v>
      </c>
      <c r="N327" s="8">
        <v>2.859666505751024</v>
      </c>
      <c r="O327" s="8">
        <v>1.2613903172855452</v>
      </c>
      <c r="P327" s="8">
        <v>1.7237252820032924</v>
      </c>
      <c r="Q327" s="8">
        <v>10.285310861157964</v>
      </c>
      <c r="R327" s="8">
        <v>5.9998272556528063</v>
      </c>
      <c r="S327" s="8">
        <v>1.0860000000000001</v>
      </c>
      <c r="T327" s="8">
        <v>1.5</v>
      </c>
      <c r="U327" s="8">
        <v>0.126</v>
      </c>
      <c r="V327" s="8">
        <v>0.64</v>
      </c>
      <c r="W327" s="8">
        <v>0.96</v>
      </c>
      <c r="X327" s="8">
        <v>0.86</v>
      </c>
      <c r="Y327" s="8">
        <v>2.9904299999999999</v>
      </c>
      <c r="Z327" s="8">
        <v>2.8686199999999999</v>
      </c>
      <c r="AA327" s="9">
        <v>8.15</v>
      </c>
      <c r="AB327" s="10">
        <v>0.50600000000000001</v>
      </c>
      <c r="AC327" s="8">
        <v>3.1816</v>
      </c>
      <c r="AD327" s="8">
        <v>6.0467199999999997</v>
      </c>
      <c r="AE327" s="8">
        <v>8.5999999999999993E-2</v>
      </c>
      <c r="AF327" s="8">
        <v>6.8000000000000005E-2</v>
      </c>
      <c r="AG327" s="8">
        <v>1.261688477823552</v>
      </c>
      <c r="AH327" s="8">
        <v>12.627906976744187</v>
      </c>
      <c r="AI327" s="8">
        <v>17.441860465116282</v>
      </c>
      <c r="AJ327" t="s">
        <v>1694</v>
      </c>
      <c r="AK327" t="s">
        <v>1694</v>
      </c>
      <c r="AL327" t="s">
        <v>1694</v>
      </c>
      <c r="AM327" t="s">
        <v>1694</v>
      </c>
      <c r="AN327" t="s">
        <v>1694</v>
      </c>
      <c r="AO327" t="s">
        <v>1694</v>
      </c>
      <c r="AP327" t="s">
        <v>1695</v>
      </c>
      <c r="AQ327" t="s">
        <v>1694</v>
      </c>
      <c r="AR327" t="s">
        <v>1694</v>
      </c>
      <c r="AS327" t="s">
        <v>1694</v>
      </c>
      <c r="AT327" t="s">
        <v>1694</v>
      </c>
      <c r="AU327" t="s">
        <v>1695</v>
      </c>
      <c r="AV327" t="s">
        <v>1694</v>
      </c>
      <c r="AW327" t="s">
        <v>1694</v>
      </c>
      <c r="AX327" t="s">
        <v>1695</v>
      </c>
      <c r="AY327" t="s">
        <v>1694</v>
      </c>
      <c r="AZ327" t="s">
        <v>1694</v>
      </c>
      <c r="BA327" t="s">
        <v>1694</v>
      </c>
      <c r="BB327" t="s">
        <v>1695</v>
      </c>
      <c r="BC327" t="s">
        <v>1694</v>
      </c>
      <c r="BD327" t="s">
        <v>1694</v>
      </c>
      <c r="BE327" t="s">
        <v>1695</v>
      </c>
      <c r="BF327" t="s">
        <v>1694</v>
      </c>
      <c r="BG327" t="s">
        <v>1697</v>
      </c>
      <c r="BH327" t="s">
        <v>1698</v>
      </c>
      <c r="BI327" t="b">
        <v>0</v>
      </c>
      <c r="BJ327">
        <f t="shared" si="5"/>
        <v>0</v>
      </c>
    </row>
    <row r="328" spans="1:62" x14ac:dyDescent="0.2">
      <c r="A328" s="5" t="s">
        <v>870</v>
      </c>
      <c r="B328" s="6">
        <v>38484</v>
      </c>
      <c r="C328" s="7">
        <v>33.802110999999996</v>
      </c>
      <c r="D328" s="7">
        <v>-112.32816099999999</v>
      </c>
      <c r="E328" s="17">
        <v>505</v>
      </c>
      <c r="F328" t="s">
        <v>1694</v>
      </c>
      <c r="G328" t="s">
        <v>1694</v>
      </c>
      <c r="H328" t="s">
        <v>1694</v>
      </c>
      <c r="I328">
        <v>0</v>
      </c>
      <c r="J328" s="8" t="s">
        <v>1697</v>
      </c>
      <c r="K328" s="8" t="s">
        <v>1697</v>
      </c>
      <c r="L328" s="8" t="s">
        <v>1697</v>
      </c>
      <c r="M328" s="8">
        <v>1.3122370127706713</v>
      </c>
      <c r="N328" s="8">
        <v>1.1737404677088685</v>
      </c>
      <c r="O328" s="8">
        <v>1.6694570884693543</v>
      </c>
      <c r="P328" s="8">
        <v>1.0710381767843424</v>
      </c>
      <c r="Q328" s="8">
        <v>7.3797091411261517</v>
      </c>
      <c r="R328" s="8">
        <v>2.4505410740458324</v>
      </c>
      <c r="S328" s="8">
        <v>1.2589999999999999</v>
      </c>
      <c r="T328" s="8">
        <v>0.63200000000000001</v>
      </c>
      <c r="U328" s="8">
        <v>0.25600000000000001</v>
      </c>
      <c r="V328" s="8">
        <v>0.114</v>
      </c>
      <c r="W328" s="8">
        <v>1.0029999999999999</v>
      </c>
      <c r="X328" s="8">
        <v>0.51800000000000002</v>
      </c>
      <c r="Y328" s="8">
        <v>3.7950664136622256</v>
      </c>
      <c r="Z328" s="8">
        <v>3.1936127744511009</v>
      </c>
      <c r="AA328" s="8">
        <v>7.94</v>
      </c>
      <c r="AB328">
        <v>0.34799999999999998</v>
      </c>
      <c r="AC328" s="8">
        <v>2.4667931688804705</v>
      </c>
      <c r="AD328" s="8">
        <v>3.5928143712574792</v>
      </c>
      <c r="AE328" s="8">
        <v>8.8999999999999996E-2</v>
      </c>
      <c r="AF328" s="8">
        <v>4.3999999999999997E-2</v>
      </c>
      <c r="AG328" s="8">
        <v>1.5111553623165432</v>
      </c>
      <c r="AH328" s="8">
        <v>14.146067415730336</v>
      </c>
      <c r="AI328" s="8">
        <v>7.1011235955056184</v>
      </c>
      <c r="AJ328" t="s">
        <v>1694</v>
      </c>
      <c r="AK328" t="s">
        <v>1694</v>
      </c>
      <c r="AL328" t="s">
        <v>1694</v>
      </c>
      <c r="AM328" t="s">
        <v>1694</v>
      </c>
      <c r="AN328" t="s">
        <v>1694</v>
      </c>
      <c r="AO328" t="s">
        <v>1694</v>
      </c>
      <c r="AP328" t="s">
        <v>1695</v>
      </c>
      <c r="AQ328" t="s">
        <v>1694</v>
      </c>
      <c r="AR328" t="s">
        <v>1694</v>
      </c>
      <c r="AS328" t="s">
        <v>1694</v>
      </c>
      <c r="AT328" t="s">
        <v>1694</v>
      </c>
      <c r="AU328" t="s">
        <v>1695</v>
      </c>
      <c r="AV328" t="s">
        <v>1694</v>
      </c>
      <c r="AW328" t="s">
        <v>1694</v>
      </c>
      <c r="AX328" t="s">
        <v>1695</v>
      </c>
      <c r="AY328" t="s">
        <v>1694</v>
      </c>
      <c r="AZ328" t="s">
        <v>1694</v>
      </c>
      <c r="BA328" t="s">
        <v>1694</v>
      </c>
      <c r="BB328" t="s">
        <v>1695</v>
      </c>
      <c r="BC328" t="s">
        <v>1694</v>
      </c>
      <c r="BD328" t="s">
        <v>1694</v>
      </c>
      <c r="BE328" t="s">
        <v>1695</v>
      </c>
      <c r="BF328" t="s">
        <v>1694</v>
      </c>
      <c r="BG328" t="s">
        <v>1697</v>
      </c>
      <c r="BH328" t="s">
        <v>1698</v>
      </c>
      <c r="BI328" t="b">
        <v>0</v>
      </c>
      <c r="BJ328">
        <f t="shared" si="5"/>
        <v>0</v>
      </c>
    </row>
    <row r="329" spans="1:62" x14ac:dyDescent="0.2">
      <c r="A329" s="5" t="s">
        <v>870</v>
      </c>
      <c r="B329" s="6">
        <v>40283</v>
      </c>
      <c r="C329" s="7">
        <v>33.802110999999996</v>
      </c>
      <c r="D329" s="7">
        <v>-112.32816099999999</v>
      </c>
      <c r="E329" s="17">
        <v>505</v>
      </c>
      <c r="F329" t="s">
        <v>1694</v>
      </c>
      <c r="G329" t="s">
        <v>1694</v>
      </c>
      <c r="H329" t="s">
        <v>1694</v>
      </c>
      <c r="I329">
        <v>0</v>
      </c>
      <c r="J329" s="8">
        <v>12.679428486559473</v>
      </c>
      <c r="K329" s="8">
        <v>62.697136833625677</v>
      </c>
      <c r="L329" s="8">
        <v>24.623434679814849</v>
      </c>
      <c r="M329" s="8">
        <v>1.2102345423386545</v>
      </c>
      <c r="N329" s="8">
        <v>1.1813276322240795</v>
      </c>
      <c r="O329" s="8">
        <v>0.75153026125645117</v>
      </c>
      <c r="P329" s="8">
        <v>0.52147176908177229</v>
      </c>
      <c r="Q329" s="8">
        <v>13.586222741032541</v>
      </c>
      <c r="R329" s="8">
        <v>14.720424915827271</v>
      </c>
      <c r="S329" s="8">
        <v>1.349</v>
      </c>
      <c r="T329" s="8">
        <v>1.224</v>
      </c>
      <c r="U329" s="8">
        <v>0.628</v>
      </c>
      <c r="V329" s="8">
        <v>0.86</v>
      </c>
      <c r="W329" s="8">
        <v>0.72099999999999997</v>
      </c>
      <c r="X329" s="8">
        <v>0.36399999999999999</v>
      </c>
      <c r="Y329" s="8">
        <v>3.9603960396039639</v>
      </c>
      <c r="Z329" s="8">
        <v>3.2629558541266785</v>
      </c>
      <c r="AA329" s="8">
        <v>8.36</v>
      </c>
      <c r="AB329">
        <v>0.26700000000000002</v>
      </c>
      <c r="AC329" s="8">
        <v>3.3003300330032883</v>
      </c>
      <c r="AD329" s="8">
        <v>2.6871401151631593</v>
      </c>
      <c r="AE329" s="8">
        <v>7.5999999999999998E-2</v>
      </c>
      <c r="AF329" s="8">
        <v>5.7000000000000002E-2</v>
      </c>
      <c r="AG329" s="8">
        <v>1.6418335653989693</v>
      </c>
      <c r="AH329" s="8">
        <v>17.75</v>
      </c>
      <c r="AI329" s="8">
        <v>16.105263157894736</v>
      </c>
      <c r="AJ329" t="s">
        <v>1694</v>
      </c>
      <c r="AK329" t="s">
        <v>1694</v>
      </c>
      <c r="AL329" t="s">
        <v>1694</v>
      </c>
      <c r="AM329" t="s">
        <v>1694</v>
      </c>
      <c r="AN329" t="s">
        <v>1694</v>
      </c>
      <c r="AO329" t="s">
        <v>1694</v>
      </c>
      <c r="AP329" t="s">
        <v>1695</v>
      </c>
      <c r="AQ329" t="s">
        <v>1694</v>
      </c>
      <c r="AR329" t="s">
        <v>1694</v>
      </c>
      <c r="AS329" t="s">
        <v>1694</v>
      </c>
      <c r="AT329" t="s">
        <v>1694</v>
      </c>
      <c r="AU329" t="s">
        <v>1695</v>
      </c>
      <c r="AV329" t="s">
        <v>1694</v>
      </c>
      <c r="AW329" t="s">
        <v>1694</v>
      </c>
      <c r="AX329" t="s">
        <v>1695</v>
      </c>
      <c r="AY329" t="s">
        <v>1694</v>
      </c>
      <c r="AZ329" t="s">
        <v>1694</v>
      </c>
      <c r="BA329" t="s">
        <v>1694</v>
      </c>
      <c r="BB329" t="s">
        <v>1695</v>
      </c>
      <c r="BC329" t="s">
        <v>1694</v>
      </c>
      <c r="BD329" t="s">
        <v>1694</v>
      </c>
      <c r="BE329" t="s">
        <v>1695</v>
      </c>
      <c r="BF329" t="s">
        <v>1694</v>
      </c>
      <c r="BG329" t="s">
        <v>1697</v>
      </c>
      <c r="BH329" t="s">
        <v>1698</v>
      </c>
      <c r="BI329" t="b">
        <v>0</v>
      </c>
      <c r="BJ329">
        <f t="shared" si="5"/>
        <v>0</v>
      </c>
    </row>
    <row r="330" spans="1:62" x14ac:dyDescent="0.2">
      <c r="A330" s="5" t="s">
        <v>870</v>
      </c>
      <c r="B330" s="6">
        <v>42124</v>
      </c>
      <c r="C330" s="7">
        <v>33.802110999999996</v>
      </c>
      <c r="D330" s="7">
        <v>-112.32816099999999</v>
      </c>
      <c r="E330" s="17">
        <v>505</v>
      </c>
      <c r="F330" t="s">
        <v>1694</v>
      </c>
      <c r="G330" t="s">
        <v>1694</v>
      </c>
      <c r="H330" t="s">
        <v>1694</v>
      </c>
      <c r="I330">
        <v>0</v>
      </c>
      <c r="J330">
        <v>10.034601534934399</v>
      </c>
      <c r="K330">
        <v>69.589784032657306</v>
      </c>
      <c r="L330">
        <v>20.375614432408302</v>
      </c>
      <c r="M330">
        <v>4.2259157171514596</v>
      </c>
      <c r="N330" t="s">
        <v>1697</v>
      </c>
      <c r="O330">
        <v>36.010721480784902</v>
      </c>
      <c r="P330" t="s">
        <v>1697</v>
      </c>
      <c r="Q330">
        <v>7.4329981405955001</v>
      </c>
      <c r="R330" t="s">
        <v>1697</v>
      </c>
      <c r="S330">
        <v>1.2809999999999999</v>
      </c>
      <c r="T330" t="s">
        <v>1697</v>
      </c>
      <c r="U330">
        <v>7.0999999999999994E-2</v>
      </c>
      <c r="V330" t="s">
        <v>1697</v>
      </c>
      <c r="W330">
        <v>1.21</v>
      </c>
      <c r="X330" t="s">
        <v>1697</v>
      </c>
      <c r="Y330">
        <v>3.29113924050634</v>
      </c>
      <c r="Z330" t="s">
        <v>1697</v>
      </c>
      <c r="AA330">
        <v>7.93</v>
      </c>
      <c r="AB330">
        <v>0.28899999999999998</v>
      </c>
      <c r="AC330">
        <v>3.0141843971631199</v>
      </c>
      <c r="AD330" t="s">
        <v>1697</v>
      </c>
      <c r="AE330">
        <v>0.129</v>
      </c>
      <c r="AF330" t="s">
        <v>1697</v>
      </c>
      <c r="AG330">
        <v>1.3057126295938999</v>
      </c>
      <c r="AH330">
        <v>9.9302325581395294</v>
      </c>
      <c r="AI330" t="s">
        <v>1697</v>
      </c>
      <c r="AJ330" t="s">
        <v>1694</v>
      </c>
      <c r="AK330" t="s">
        <v>1694</v>
      </c>
      <c r="AL330" t="s">
        <v>1694</v>
      </c>
      <c r="AM330" t="s">
        <v>1694</v>
      </c>
      <c r="AN330" t="s">
        <v>1694</v>
      </c>
      <c r="AO330" t="s">
        <v>1694</v>
      </c>
      <c r="AP330" t="s">
        <v>1697</v>
      </c>
      <c r="AQ330" t="s">
        <v>1697</v>
      </c>
      <c r="AR330" t="s">
        <v>1694</v>
      </c>
      <c r="AS330" t="s">
        <v>1694</v>
      </c>
      <c r="AT330" t="s">
        <v>1694</v>
      </c>
      <c r="AU330" t="s">
        <v>1695</v>
      </c>
      <c r="AV330" t="s">
        <v>1694</v>
      </c>
      <c r="AW330" t="s">
        <v>1694</v>
      </c>
      <c r="AX330" t="s">
        <v>1695</v>
      </c>
      <c r="AY330" t="s">
        <v>1694</v>
      </c>
      <c r="AZ330" t="s">
        <v>1694</v>
      </c>
      <c r="BA330" t="s">
        <v>1694</v>
      </c>
      <c r="BB330" t="s">
        <v>1695</v>
      </c>
      <c r="BC330" t="s">
        <v>1694</v>
      </c>
      <c r="BD330" t="s">
        <v>1694</v>
      </c>
      <c r="BE330" t="s">
        <v>1695</v>
      </c>
      <c r="BF330" t="s">
        <v>1694</v>
      </c>
      <c r="BG330" t="s">
        <v>1697</v>
      </c>
      <c r="BH330" t="s">
        <v>1698</v>
      </c>
      <c r="BI330" t="b">
        <v>0</v>
      </c>
      <c r="BJ330">
        <f t="shared" si="5"/>
        <v>0</v>
      </c>
    </row>
    <row r="331" spans="1:62" x14ac:dyDescent="0.2">
      <c r="A331" s="5" t="s">
        <v>871</v>
      </c>
      <c r="B331" s="6">
        <v>36612</v>
      </c>
      <c r="C331" s="7">
        <v>33.706280999999997</v>
      </c>
      <c r="D331" s="7">
        <v>-112.357114</v>
      </c>
      <c r="E331" s="17">
        <v>404</v>
      </c>
      <c r="F331" t="s">
        <v>1694</v>
      </c>
      <c r="G331" t="s">
        <v>1694</v>
      </c>
      <c r="H331" t="s">
        <v>1694</v>
      </c>
      <c r="I331">
        <v>0</v>
      </c>
      <c r="J331" s="8">
        <v>10.395582292803834</v>
      </c>
      <c r="K331" s="8">
        <v>62.911420906075001</v>
      </c>
      <c r="L331" s="8">
        <v>26.692996801121168</v>
      </c>
      <c r="M331" s="8">
        <v>3.3631304627202998</v>
      </c>
      <c r="N331" s="8">
        <v>10.779488074859637</v>
      </c>
      <c r="O331" s="8">
        <v>1.0816154956853132</v>
      </c>
      <c r="P331" s="8">
        <v>1.0943198882361749</v>
      </c>
      <c r="Q331" s="8">
        <v>9.1312369491923668</v>
      </c>
      <c r="R331" s="8">
        <v>2.5000000000000001E-3</v>
      </c>
      <c r="S331" s="8">
        <v>0.316</v>
      </c>
      <c r="T331" s="8">
        <v>0.309</v>
      </c>
      <c r="U331" s="8">
        <v>9.5000000000000001E-2</v>
      </c>
      <c r="V331" s="8">
        <v>0.26700000000000002</v>
      </c>
      <c r="W331" s="8">
        <v>0.221</v>
      </c>
      <c r="X331" s="8">
        <v>4.2000000000000003E-2</v>
      </c>
      <c r="Y331" s="8">
        <v>1.46641</v>
      </c>
      <c r="Z331" s="8">
        <v>1.4916799999999999</v>
      </c>
      <c r="AA331" s="9">
        <v>8.48</v>
      </c>
      <c r="AB331" s="10">
        <v>0.24349999999999999</v>
      </c>
      <c r="AC331" s="8">
        <v>3.3434699999999999</v>
      </c>
      <c r="AD331" s="8">
        <v>6.7441899999999997</v>
      </c>
      <c r="AE331" s="8">
        <v>2.5000000000000001E-2</v>
      </c>
      <c r="AF331" s="8">
        <v>3.1E-2</v>
      </c>
      <c r="AG331" s="8">
        <v>1.6311533620726573</v>
      </c>
      <c r="AH331" s="8">
        <v>12.639999999999999</v>
      </c>
      <c r="AI331" s="8">
        <v>12.36</v>
      </c>
      <c r="AJ331" t="s">
        <v>1694</v>
      </c>
      <c r="AK331" t="s">
        <v>1694</v>
      </c>
      <c r="AL331" t="s">
        <v>1694</v>
      </c>
      <c r="AM331" t="s">
        <v>1694</v>
      </c>
      <c r="AN331" t="s">
        <v>1694</v>
      </c>
      <c r="AO331" t="s">
        <v>1694</v>
      </c>
      <c r="AP331" t="s">
        <v>1695</v>
      </c>
      <c r="AQ331" t="s">
        <v>1694</v>
      </c>
      <c r="AR331" t="s">
        <v>1694</v>
      </c>
      <c r="AS331" t="s">
        <v>1694</v>
      </c>
      <c r="AT331" t="s">
        <v>1694</v>
      </c>
      <c r="AU331" t="s">
        <v>1695</v>
      </c>
      <c r="AV331" t="s">
        <v>1694</v>
      </c>
      <c r="AW331" t="s">
        <v>1694</v>
      </c>
      <c r="AX331" t="s">
        <v>1695</v>
      </c>
      <c r="AY331" t="s">
        <v>1694</v>
      </c>
      <c r="AZ331" t="s">
        <v>1694</v>
      </c>
      <c r="BA331" t="s">
        <v>1694</v>
      </c>
      <c r="BB331" t="s">
        <v>1695</v>
      </c>
      <c r="BC331" t="s">
        <v>1694</v>
      </c>
      <c r="BD331" t="s">
        <v>1694</v>
      </c>
      <c r="BE331" t="s">
        <v>1695</v>
      </c>
      <c r="BF331" t="s">
        <v>1694</v>
      </c>
      <c r="BG331" t="s">
        <v>1697</v>
      </c>
      <c r="BH331" t="s">
        <v>1698</v>
      </c>
      <c r="BI331" t="b">
        <v>0</v>
      </c>
      <c r="BJ331">
        <f t="shared" si="5"/>
        <v>0</v>
      </c>
    </row>
    <row r="332" spans="1:62" x14ac:dyDescent="0.2">
      <c r="A332" s="5" t="s">
        <v>871</v>
      </c>
      <c r="B332" s="6">
        <v>38483</v>
      </c>
      <c r="C332" s="7">
        <v>33.706280999999997</v>
      </c>
      <c r="D332" s="7">
        <v>-112.357114</v>
      </c>
      <c r="E332" s="17">
        <v>404</v>
      </c>
      <c r="F332" t="s">
        <v>1694</v>
      </c>
      <c r="G332" t="s">
        <v>1694</v>
      </c>
      <c r="H332" t="s">
        <v>1694</v>
      </c>
      <c r="I332">
        <v>0</v>
      </c>
      <c r="J332" s="8">
        <v>7.6521970452763988</v>
      </c>
      <c r="K332" s="8">
        <v>71.592036325248372</v>
      </c>
      <c r="L332" s="8">
        <v>20.755766629475232</v>
      </c>
      <c r="M332" s="8">
        <v>1.0713434515851104</v>
      </c>
      <c r="N332" s="8">
        <v>0.77773823608209625</v>
      </c>
      <c r="O332" s="8">
        <v>0.83564789223638614</v>
      </c>
      <c r="P332" s="8">
        <v>0.59108105942239297</v>
      </c>
      <c r="Q332" s="8">
        <v>11.768627647104836</v>
      </c>
      <c r="R332" s="8">
        <v>1.5723338526507009</v>
      </c>
      <c r="S332" s="8">
        <v>0.22900000000000001</v>
      </c>
      <c r="T332" s="8">
        <v>0.247</v>
      </c>
      <c r="U332" s="8">
        <v>4.1000000000000002E-2</v>
      </c>
      <c r="V332" s="8">
        <v>0.189</v>
      </c>
      <c r="W332" s="8">
        <v>0.188</v>
      </c>
      <c r="X332" s="8">
        <v>5.7999999999999996E-2</v>
      </c>
      <c r="Y332" s="8">
        <v>1.6071428571428545</v>
      </c>
      <c r="Z332" s="8">
        <v>1.7391304347826102</v>
      </c>
      <c r="AA332" s="8">
        <v>8.6199999999999992</v>
      </c>
      <c r="AB332">
        <v>0.126</v>
      </c>
      <c r="AC332" s="8">
        <v>0.89285714285715567</v>
      </c>
      <c r="AD332" s="8">
        <v>2.7536231884057898</v>
      </c>
      <c r="AE332" s="8">
        <v>0.02</v>
      </c>
      <c r="AF332" s="8">
        <v>1.4999999999999999E-2</v>
      </c>
      <c r="AG332" s="8">
        <v>1.5487410662289791</v>
      </c>
      <c r="AH332" s="8">
        <v>11.450000000000001</v>
      </c>
      <c r="AI332" s="8">
        <v>12.35</v>
      </c>
      <c r="AJ332" t="s">
        <v>1694</v>
      </c>
      <c r="AK332" t="s">
        <v>1694</v>
      </c>
      <c r="AL332" t="s">
        <v>1694</v>
      </c>
      <c r="AM332" t="s">
        <v>1694</v>
      </c>
      <c r="AN332" t="s">
        <v>1694</v>
      </c>
      <c r="AO332" t="s">
        <v>1694</v>
      </c>
      <c r="AP332" t="s">
        <v>1695</v>
      </c>
      <c r="AQ332" t="s">
        <v>1694</v>
      </c>
      <c r="AR332" t="s">
        <v>1694</v>
      </c>
      <c r="AS332" t="s">
        <v>1694</v>
      </c>
      <c r="AT332" t="s">
        <v>1694</v>
      </c>
      <c r="AU332" t="s">
        <v>1695</v>
      </c>
      <c r="AV332" t="s">
        <v>1694</v>
      </c>
      <c r="AW332" t="s">
        <v>1694</v>
      </c>
      <c r="AX332" t="s">
        <v>1695</v>
      </c>
      <c r="AY332" t="s">
        <v>1694</v>
      </c>
      <c r="AZ332" t="s">
        <v>1694</v>
      </c>
      <c r="BA332" t="s">
        <v>1694</v>
      </c>
      <c r="BB332" t="s">
        <v>1695</v>
      </c>
      <c r="BC332" t="s">
        <v>1694</v>
      </c>
      <c r="BD332" t="s">
        <v>1694</v>
      </c>
      <c r="BE332" t="s">
        <v>1695</v>
      </c>
      <c r="BF332" t="s">
        <v>1694</v>
      </c>
      <c r="BG332" t="s">
        <v>1697</v>
      </c>
      <c r="BH332" t="s">
        <v>1698</v>
      </c>
      <c r="BI332" t="b">
        <v>0</v>
      </c>
      <c r="BJ332">
        <f t="shared" si="5"/>
        <v>0</v>
      </c>
    </row>
    <row r="333" spans="1:62" x14ac:dyDescent="0.2">
      <c r="A333" s="5" t="s">
        <v>871</v>
      </c>
      <c r="B333" s="6">
        <v>40283</v>
      </c>
      <c r="C333" s="7">
        <v>33.706280999999997</v>
      </c>
      <c r="D333" s="7">
        <v>-112.357114</v>
      </c>
      <c r="E333" s="17">
        <v>404</v>
      </c>
      <c r="F333" t="s">
        <v>1694</v>
      </c>
      <c r="G333" t="s">
        <v>1694</v>
      </c>
      <c r="H333" t="s">
        <v>1694</v>
      </c>
      <c r="I333">
        <v>0</v>
      </c>
      <c r="J333" s="8">
        <v>11.151737912498852</v>
      </c>
      <c r="K333" s="8">
        <v>64.949489831925646</v>
      </c>
      <c r="L333" s="8">
        <v>23.898772255575494</v>
      </c>
      <c r="M333" s="8">
        <v>0.78819697242041475</v>
      </c>
      <c r="N333" s="8">
        <v>0.15404932184050071</v>
      </c>
      <c r="O333" s="8">
        <v>0.44320068113347255</v>
      </c>
      <c r="P333" s="8">
        <v>0.20747683230541425</v>
      </c>
      <c r="Q333" s="8">
        <v>11.150310891424779</v>
      </c>
      <c r="R333" s="8">
        <v>2.5000000000000001E-3</v>
      </c>
      <c r="S333" s="8">
        <v>0.19800000000000001</v>
      </c>
      <c r="T333" s="8">
        <v>0.30099999999999999</v>
      </c>
      <c r="U333" s="8">
        <v>8.1000000000000003E-2</v>
      </c>
      <c r="V333" s="8">
        <v>0.23200000000000001</v>
      </c>
      <c r="W333" s="8">
        <v>0.11700000000000001</v>
      </c>
      <c r="X333" s="8">
        <v>6.8999999999999978E-2</v>
      </c>
      <c r="Y333" s="8">
        <v>1.7123287671232816</v>
      </c>
      <c r="Z333" s="8">
        <v>1.8461538461538616</v>
      </c>
      <c r="AA333" s="8">
        <v>8.49</v>
      </c>
      <c r="AB333">
        <v>0.157</v>
      </c>
      <c r="AC333" s="8">
        <v>1.0273972602739811</v>
      </c>
      <c r="AD333" s="8">
        <v>3.6923076923076956</v>
      </c>
      <c r="AE333" s="8">
        <v>1.7999999999999999E-2</v>
      </c>
      <c r="AF333" s="8">
        <v>1.4999999999999999E-2</v>
      </c>
      <c r="AG333" s="8">
        <v>1.71423622611494</v>
      </c>
      <c r="AH333" s="8">
        <v>11.000000000000002</v>
      </c>
      <c r="AI333" s="8">
        <v>16.722222222222221</v>
      </c>
      <c r="AJ333" t="s">
        <v>1694</v>
      </c>
      <c r="AK333" t="s">
        <v>1694</v>
      </c>
      <c r="AL333" t="s">
        <v>1694</v>
      </c>
      <c r="AM333" t="s">
        <v>1694</v>
      </c>
      <c r="AN333" t="s">
        <v>1694</v>
      </c>
      <c r="AO333" t="s">
        <v>1694</v>
      </c>
      <c r="AP333" t="s">
        <v>1695</v>
      </c>
      <c r="AQ333" t="s">
        <v>1694</v>
      </c>
      <c r="AR333" t="s">
        <v>1694</v>
      </c>
      <c r="AS333" t="s">
        <v>1694</v>
      </c>
      <c r="AT333" t="s">
        <v>1694</v>
      </c>
      <c r="AU333" t="s">
        <v>1695</v>
      </c>
      <c r="AV333" t="s">
        <v>1694</v>
      </c>
      <c r="AW333" t="s">
        <v>1694</v>
      </c>
      <c r="AX333" t="s">
        <v>1695</v>
      </c>
      <c r="AY333" t="s">
        <v>1694</v>
      </c>
      <c r="AZ333" t="s">
        <v>1694</v>
      </c>
      <c r="BA333" t="s">
        <v>1694</v>
      </c>
      <c r="BB333" t="s">
        <v>1695</v>
      </c>
      <c r="BC333" t="s">
        <v>1694</v>
      </c>
      <c r="BD333" t="s">
        <v>1694</v>
      </c>
      <c r="BE333" t="s">
        <v>1695</v>
      </c>
      <c r="BF333" t="s">
        <v>1694</v>
      </c>
      <c r="BG333" t="s">
        <v>1697</v>
      </c>
      <c r="BH333" t="s">
        <v>1698</v>
      </c>
      <c r="BI333" t="b">
        <v>0</v>
      </c>
      <c r="BJ333">
        <f t="shared" si="5"/>
        <v>0</v>
      </c>
    </row>
    <row r="334" spans="1:62" x14ac:dyDescent="0.2">
      <c r="A334" s="5" t="s">
        <v>871</v>
      </c>
      <c r="B334" s="6">
        <v>42129</v>
      </c>
      <c r="C334" s="7">
        <v>33.706280999999997</v>
      </c>
      <c r="D334" s="7">
        <v>-112.357114</v>
      </c>
      <c r="E334" s="17">
        <v>404</v>
      </c>
      <c r="F334" t="s">
        <v>1694</v>
      </c>
      <c r="G334" t="s">
        <v>1694</v>
      </c>
      <c r="H334" t="s">
        <v>1694</v>
      </c>
      <c r="I334">
        <v>0</v>
      </c>
      <c r="J334">
        <v>4.6766442953006804</v>
      </c>
      <c r="K334">
        <v>82.679950931652598</v>
      </c>
      <c r="L334">
        <v>12.643404773046701</v>
      </c>
      <c r="M334">
        <v>3.3666181848347598</v>
      </c>
      <c r="N334">
        <v>2.63028590986726</v>
      </c>
      <c r="O334">
        <v>4.4617831365280001</v>
      </c>
      <c r="P334">
        <v>1.5080305883239</v>
      </c>
      <c r="Q334">
        <v>15.137799753776299</v>
      </c>
      <c r="R334">
        <v>1.1217924713063101</v>
      </c>
      <c r="S334">
        <v>0.20399999999999999</v>
      </c>
      <c r="T334">
        <v>0.36799999999999999</v>
      </c>
      <c r="U334">
        <v>3.7999999999999999E-2</v>
      </c>
      <c r="V334">
        <v>0.27200000000000002</v>
      </c>
      <c r="W334">
        <v>0.16600000000000001</v>
      </c>
      <c r="X334">
        <v>9.6000000000000002E-2</v>
      </c>
      <c r="Y334">
        <v>1.4869888475836399</v>
      </c>
      <c r="Z334">
        <v>1.63576881134133</v>
      </c>
      <c r="AA334">
        <v>8.2100000000000009</v>
      </c>
      <c r="AB334">
        <v>0.17100000000000001</v>
      </c>
      <c r="AC334">
        <v>0.51282051282050201</v>
      </c>
      <c r="AD334">
        <v>1.2949640287769799</v>
      </c>
      <c r="AE334">
        <v>3.7999999999999999E-2</v>
      </c>
      <c r="AF334">
        <v>3.3000000000000002E-2</v>
      </c>
      <c r="AG334">
        <v>1.663868255472905</v>
      </c>
      <c r="AH334">
        <v>5.3684210526315796</v>
      </c>
      <c r="AI334">
        <v>11.1515151515152</v>
      </c>
      <c r="AJ334" t="s">
        <v>1694</v>
      </c>
      <c r="AK334" t="s">
        <v>1694</v>
      </c>
      <c r="AL334" t="s">
        <v>1694</v>
      </c>
      <c r="AM334" t="s">
        <v>1694</v>
      </c>
      <c r="AN334" t="s">
        <v>1694</v>
      </c>
      <c r="AO334" t="s">
        <v>1694</v>
      </c>
      <c r="AP334" t="s">
        <v>1697</v>
      </c>
      <c r="AQ334" t="s">
        <v>1697</v>
      </c>
      <c r="AR334" t="s">
        <v>1694</v>
      </c>
      <c r="AS334" t="s">
        <v>1694</v>
      </c>
      <c r="AT334" t="s">
        <v>1694</v>
      </c>
      <c r="AU334" t="s">
        <v>1695</v>
      </c>
      <c r="AV334" t="s">
        <v>1694</v>
      </c>
      <c r="AW334" t="s">
        <v>1694</v>
      </c>
      <c r="AX334" t="s">
        <v>1695</v>
      </c>
      <c r="AY334" t="s">
        <v>1694</v>
      </c>
      <c r="AZ334" t="s">
        <v>1694</v>
      </c>
      <c r="BA334" t="s">
        <v>1694</v>
      </c>
      <c r="BB334" t="s">
        <v>1695</v>
      </c>
      <c r="BC334" t="s">
        <v>1694</v>
      </c>
      <c r="BD334" t="s">
        <v>1694</v>
      </c>
      <c r="BE334" t="s">
        <v>1695</v>
      </c>
      <c r="BF334" t="s">
        <v>1694</v>
      </c>
      <c r="BG334" t="s">
        <v>1697</v>
      </c>
      <c r="BH334" t="s">
        <v>1698</v>
      </c>
      <c r="BI334" t="b">
        <v>0</v>
      </c>
      <c r="BJ334">
        <f t="shared" si="5"/>
        <v>0</v>
      </c>
    </row>
    <row r="335" spans="1:62" x14ac:dyDescent="0.2">
      <c r="A335" s="5" t="s">
        <v>871</v>
      </c>
      <c r="B335" s="6">
        <v>45071</v>
      </c>
      <c r="C335" s="7">
        <v>33.706280999999997</v>
      </c>
      <c r="D335" s="7">
        <v>-112.357114</v>
      </c>
      <c r="E335" s="17">
        <v>404</v>
      </c>
      <c r="F335" t="s">
        <v>1694</v>
      </c>
      <c r="G335" t="s">
        <v>1694</v>
      </c>
      <c r="H335" t="s">
        <v>1694</v>
      </c>
      <c r="I335">
        <v>0</v>
      </c>
      <c r="J335" s="6" t="s">
        <v>1697</v>
      </c>
      <c r="K335" s="6" t="s">
        <v>1697</v>
      </c>
      <c r="L335" s="6" t="s">
        <v>1697</v>
      </c>
      <c r="M335" s="6" t="s">
        <v>1697</v>
      </c>
      <c r="N335" s="6" t="s">
        <v>1697</v>
      </c>
      <c r="O335" s="6" t="s">
        <v>1697</v>
      </c>
      <c r="P335" s="6" t="s">
        <v>1697</v>
      </c>
      <c r="Q335" s="6" t="s">
        <v>1697</v>
      </c>
      <c r="R335" s="6" t="s">
        <v>1697</v>
      </c>
      <c r="S335" s="6" t="s">
        <v>1697</v>
      </c>
      <c r="T335" s="6" t="s">
        <v>1697</v>
      </c>
      <c r="U335" s="6" t="s">
        <v>1697</v>
      </c>
      <c r="V335" s="6" t="s">
        <v>1697</v>
      </c>
      <c r="W335" s="6" t="s">
        <v>1697</v>
      </c>
      <c r="X335" s="6" t="s">
        <v>1697</v>
      </c>
      <c r="Y335" s="6" t="s">
        <v>1697</v>
      </c>
      <c r="Z335" s="6" t="s">
        <v>1697</v>
      </c>
      <c r="AA335" s="6" t="s">
        <v>1697</v>
      </c>
      <c r="AB335" s="6" t="s">
        <v>1697</v>
      </c>
      <c r="AC335" s="6" t="s">
        <v>1697</v>
      </c>
      <c r="AD335" s="6" t="s">
        <v>1697</v>
      </c>
      <c r="AE335" s="6" t="s">
        <v>1697</v>
      </c>
      <c r="AF335" s="6" t="s">
        <v>1697</v>
      </c>
      <c r="AG335" s="6" t="s">
        <v>1697</v>
      </c>
      <c r="AH335" s="6" t="s">
        <v>1697</v>
      </c>
      <c r="AI335" s="6" t="s">
        <v>1697</v>
      </c>
      <c r="AJ335" t="s">
        <v>1694</v>
      </c>
      <c r="AK335" t="s">
        <v>1694</v>
      </c>
      <c r="AL335" t="s">
        <v>1694</v>
      </c>
      <c r="AM335" t="s">
        <v>1694</v>
      </c>
      <c r="AN335" t="s">
        <v>1694</v>
      </c>
      <c r="AO335" t="s">
        <v>1694</v>
      </c>
      <c r="AP335" t="s">
        <v>1697</v>
      </c>
      <c r="AQ335" t="s">
        <v>1697</v>
      </c>
      <c r="AR335" t="s">
        <v>1694</v>
      </c>
      <c r="AS335" t="s">
        <v>1694</v>
      </c>
      <c r="AT335" t="s">
        <v>1694</v>
      </c>
      <c r="AU335" t="s">
        <v>1695</v>
      </c>
      <c r="AV335" t="s">
        <v>1694</v>
      </c>
      <c r="AW335" t="s">
        <v>1694</v>
      </c>
      <c r="AX335" t="s">
        <v>1695</v>
      </c>
      <c r="AY335" t="s">
        <v>1694</v>
      </c>
      <c r="AZ335" t="s">
        <v>1694</v>
      </c>
      <c r="BA335" t="s">
        <v>1694</v>
      </c>
      <c r="BB335" t="s">
        <v>1695</v>
      </c>
      <c r="BC335" t="s">
        <v>1694</v>
      </c>
      <c r="BD335" t="s">
        <v>1694</v>
      </c>
      <c r="BE335" t="s">
        <v>1695</v>
      </c>
      <c r="BF335" t="s">
        <v>1694</v>
      </c>
      <c r="BG335" s="6" t="s">
        <v>1697</v>
      </c>
      <c r="BH335" s="6" t="s">
        <v>1697</v>
      </c>
      <c r="BI335" t="b">
        <v>1</v>
      </c>
      <c r="BJ335">
        <f t="shared" si="5"/>
        <v>1</v>
      </c>
    </row>
    <row r="336" spans="1:62" x14ac:dyDescent="0.2">
      <c r="A336" s="5" t="s">
        <v>70</v>
      </c>
      <c r="B336" s="6">
        <v>38426</v>
      </c>
      <c r="C336" s="7">
        <v>33.658802999999999</v>
      </c>
      <c r="D336" s="7">
        <v>-112.333653</v>
      </c>
      <c r="E336" s="17">
        <v>372</v>
      </c>
      <c r="F336" t="s">
        <v>1706</v>
      </c>
      <c r="G336" t="s">
        <v>1724</v>
      </c>
      <c r="H336" t="s">
        <v>1724</v>
      </c>
      <c r="I336">
        <v>1</v>
      </c>
      <c r="J336" s="8">
        <v>11.988875707303002</v>
      </c>
      <c r="K336" s="8">
        <v>69.229402092463943</v>
      </c>
      <c r="L336" s="8">
        <v>18.781722200233048</v>
      </c>
      <c r="M336" s="8">
        <v>2.4902180074769227</v>
      </c>
      <c r="N336" s="8">
        <v>2.4189865800010337</v>
      </c>
      <c r="O336" s="8">
        <v>1.0349968593575958</v>
      </c>
      <c r="P336" s="8">
        <v>0.60474664500025843</v>
      </c>
      <c r="Q336" s="8">
        <v>6.7211591392047874</v>
      </c>
      <c r="R336" s="8">
        <v>0.63934331677662815</v>
      </c>
      <c r="S336" s="8">
        <v>1.296</v>
      </c>
      <c r="T336" s="8">
        <v>1.1020000000000001</v>
      </c>
      <c r="U336" s="8">
        <v>0.96799999999999997</v>
      </c>
      <c r="V336" s="8">
        <v>1.07</v>
      </c>
      <c r="W336" s="8">
        <v>0.32800000000000007</v>
      </c>
      <c r="X336" s="8">
        <v>3.2000000000000028E-2</v>
      </c>
      <c r="Y336" s="8">
        <v>3.0120481927710911</v>
      </c>
      <c r="Z336" s="8">
        <v>2.9357798165137639</v>
      </c>
      <c r="AA336" s="8">
        <v>8.2200000000000006</v>
      </c>
      <c r="AB336">
        <v>0.14499999999999999</v>
      </c>
      <c r="AC336" s="8">
        <v>9.4377510040160573</v>
      </c>
      <c r="AD336" s="8">
        <v>13.394495412844028</v>
      </c>
      <c r="AE336" s="8">
        <v>2.1000000000000001E-2</v>
      </c>
      <c r="AF336" s="8">
        <v>1.4E-2</v>
      </c>
      <c r="AG336" s="8">
        <v>1.4268967591884603</v>
      </c>
      <c r="AH336" s="8">
        <v>61.714285714285715</v>
      </c>
      <c r="AI336" s="8">
        <v>52.476190476190474</v>
      </c>
      <c r="AJ336" t="s">
        <v>1694</v>
      </c>
      <c r="AK336" t="s">
        <v>1694</v>
      </c>
      <c r="AL336" t="s">
        <v>1694</v>
      </c>
      <c r="AM336" t="s">
        <v>1694</v>
      </c>
      <c r="AN336" t="s">
        <v>1694</v>
      </c>
      <c r="AO336" t="s">
        <v>1694</v>
      </c>
      <c r="AP336" t="s">
        <v>1695</v>
      </c>
      <c r="AQ336" t="s">
        <v>1694</v>
      </c>
      <c r="AR336" t="s">
        <v>1694</v>
      </c>
      <c r="AS336" t="s">
        <v>1694</v>
      </c>
      <c r="AT336" t="s">
        <v>1694</v>
      </c>
      <c r="AU336" t="s">
        <v>1706</v>
      </c>
      <c r="AV336" t="s">
        <v>1707</v>
      </c>
      <c r="AW336" t="s">
        <v>1706</v>
      </c>
      <c r="AX336" t="s">
        <v>1706</v>
      </c>
      <c r="AY336" t="s">
        <v>1707</v>
      </c>
      <c r="AZ336" t="s">
        <v>1706</v>
      </c>
      <c r="BA336" t="s">
        <v>1700</v>
      </c>
      <c r="BB336" t="s">
        <v>1706</v>
      </c>
      <c r="BC336" t="s">
        <v>1707</v>
      </c>
      <c r="BD336" t="s">
        <v>1706</v>
      </c>
      <c r="BE336" t="s">
        <v>1706</v>
      </c>
      <c r="BF336" t="s">
        <v>1707</v>
      </c>
      <c r="BG336">
        <v>30</v>
      </c>
      <c r="BH336" s="12" t="s">
        <v>1709</v>
      </c>
      <c r="BI336" t="b">
        <v>0</v>
      </c>
      <c r="BJ336">
        <f t="shared" si="5"/>
        <v>0</v>
      </c>
    </row>
    <row r="337" spans="1:62" x14ac:dyDescent="0.2">
      <c r="A337" s="5" t="s">
        <v>70</v>
      </c>
      <c r="B337" s="6">
        <v>40240</v>
      </c>
      <c r="C337" s="7">
        <v>33.658802999999999</v>
      </c>
      <c r="D337" s="7">
        <v>-112.333653</v>
      </c>
      <c r="E337" s="17">
        <v>372</v>
      </c>
      <c r="F337" t="s">
        <v>1706</v>
      </c>
      <c r="G337" t="s">
        <v>1724</v>
      </c>
      <c r="H337" t="s">
        <v>1724</v>
      </c>
      <c r="I337">
        <v>1</v>
      </c>
      <c r="J337" s="8">
        <v>13.498170285521148</v>
      </c>
      <c r="K337" s="8">
        <v>63.254399321945449</v>
      </c>
      <c r="L337" s="8">
        <v>23.247430392533403</v>
      </c>
      <c r="M337" s="8">
        <v>0.9954716473524422</v>
      </c>
      <c r="N337" s="8">
        <v>3.5556053468611086</v>
      </c>
      <c r="O337" s="8">
        <v>7.635079710354109</v>
      </c>
      <c r="P337" s="8">
        <v>1.9570361854657869</v>
      </c>
      <c r="Q337" s="8">
        <v>45.682281657954597</v>
      </c>
      <c r="R337" s="8">
        <v>8.3032925716533779</v>
      </c>
      <c r="S337" s="8">
        <v>1.175</v>
      </c>
      <c r="T337" s="8">
        <v>1.0620000000000001</v>
      </c>
      <c r="U337" s="8">
        <v>1.006</v>
      </c>
      <c r="V337" s="8">
        <v>0.874</v>
      </c>
      <c r="W337" s="8">
        <v>0.16900000000000004</v>
      </c>
      <c r="X337" s="8">
        <v>0.18800000000000006</v>
      </c>
      <c r="Y337" s="8">
        <v>2.0942408376963368</v>
      </c>
      <c r="Z337" s="8">
        <v>2.0408163265306114</v>
      </c>
      <c r="AA337" s="8">
        <v>8.52</v>
      </c>
      <c r="AB337">
        <v>0.189</v>
      </c>
      <c r="AC337" s="8">
        <v>12.172774869109942</v>
      </c>
      <c r="AD337" s="8">
        <v>15.606242496998787</v>
      </c>
      <c r="AE337" s="8">
        <v>3.3000000000000002E-2</v>
      </c>
      <c r="AF337" s="8">
        <v>1.9E-2</v>
      </c>
      <c r="AG337" s="8">
        <v>1.6579858041137643</v>
      </c>
      <c r="AH337" s="8">
        <v>35.606060606060609</v>
      </c>
      <c r="AI337" s="8">
        <v>32.18181818181818</v>
      </c>
      <c r="AJ337" t="s">
        <v>1694</v>
      </c>
      <c r="AK337" t="s">
        <v>1694</v>
      </c>
      <c r="AL337" t="s">
        <v>1694</v>
      </c>
      <c r="AM337" t="s">
        <v>1694</v>
      </c>
      <c r="AN337" t="s">
        <v>1694</v>
      </c>
      <c r="AO337" t="s">
        <v>1694</v>
      </c>
      <c r="AP337" t="s">
        <v>1695</v>
      </c>
      <c r="AQ337" t="s">
        <v>1694</v>
      </c>
      <c r="AR337" t="s">
        <v>1694</v>
      </c>
      <c r="AS337" t="s">
        <v>1694</v>
      </c>
      <c r="AT337" t="s">
        <v>1694</v>
      </c>
      <c r="AU337" t="s">
        <v>1706</v>
      </c>
      <c r="AV337" t="s">
        <v>1707</v>
      </c>
      <c r="AW337" t="s">
        <v>1706</v>
      </c>
      <c r="AX337" t="s">
        <v>1706</v>
      </c>
      <c r="AY337" t="s">
        <v>1707</v>
      </c>
      <c r="AZ337" t="s">
        <v>1706</v>
      </c>
      <c r="BA337" t="s">
        <v>1700</v>
      </c>
      <c r="BB337" t="s">
        <v>1706</v>
      </c>
      <c r="BC337" t="s">
        <v>1707</v>
      </c>
      <c r="BD337" t="s">
        <v>1706</v>
      </c>
      <c r="BE337" t="s">
        <v>1706</v>
      </c>
      <c r="BF337" t="s">
        <v>1707</v>
      </c>
      <c r="BG337">
        <v>35</v>
      </c>
      <c r="BH337" s="12" t="s">
        <v>1709</v>
      </c>
      <c r="BI337" t="b">
        <v>0</v>
      </c>
      <c r="BJ337">
        <f t="shared" si="5"/>
        <v>0</v>
      </c>
    </row>
    <row r="338" spans="1:62" x14ac:dyDescent="0.2">
      <c r="A338" s="5" t="s">
        <v>71</v>
      </c>
      <c r="B338" s="6">
        <v>38517</v>
      </c>
      <c r="C338" s="7">
        <v>33.457760999999998</v>
      </c>
      <c r="D338" s="7">
        <v>-112.32158099999999</v>
      </c>
      <c r="E338" s="17">
        <v>298</v>
      </c>
      <c r="F338" t="s">
        <v>1714</v>
      </c>
      <c r="G338" t="s">
        <v>1714</v>
      </c>
      <c r="H338" t="s">
        <v>1754</v>
      </c>
      <c r="I338">
        <v>1</v>
      </c>
      <c r="J338" s="8">
        <v>12.133712097471907</v>
      </c>
      <c r="K338" s="8">
        <v>68.330540705378823</v>
      </c>
      <c r="L338" s="8">
        <v>19.535747197149277</v>
      </c>
      <c r="M338" s="8">
        <v>4.6573391340184314</v>
      </c>
      <c r="N338" s="8">
        <v>0.93138444005610899</v>
      </c>
      <c r="O338" s="8">
        <v>40.76963026548443</v>
      </c>
      <c r="P338" s="8">
        <v>214.06319047289571</v>
      </c>
      <c r="Q338" s="8">
        <v>6.2204413569860373</v>
      </c>
      <c r="R338" s="8">
        <v>6.8730948959654548</v>
      </c>
      <c r="S338" s="8">
        <v>0.83</v>
      </c>
      <c r="T338" s="8">
        <v>0.59599999999999997</v>
      </c>
      <c r="U338" s="8">
        <v>0.45600000000000002</v>
      </c>
      <c r="V338" s="8">
        <v>0.48499999999999999</v>
      </c>
      <c r="W338" s="8">
        <v>0.37399999999999994</v>
      </c>
      <c r="X338" s="8">
        <v>0.11099999999999999</v>
      </c>
      <c r="Y338" s="8">
        <v>2.2071307300509471</v>
      </c>
      <c r="Z338" s="8">
        <v>1.6877637130801579</v>
      </c>
      <c r="AA338" s="8">
        <v>7.83</v>
      </c>
      <c r="AB338">
        <v>2.15</v>
      </c>
      <c r="AC338" s="8">
        <v>2.0373514431239257</v>
      </c>
      <c r="AD338" s="8">
        <v>6.3291139240506489</v>
      </c>
      <c r="AE338" s="8">
        <v>6.3E-2</v>
      </c>
      <c r="AF338" s="8">
        <v>3.1E-2</v>
      </c>
      <c r="AG338" s="8">
        <v>1.4401988543675617</v>
      </c>
      <c r="AH338" s="8">
        <v>13.174603174603174</v>
      </c>
      <c r="AI338" s="8">
        <v>9.4603174603174605</v>
      </c>
      <c r="AJ338" t="s">
        <v>1694</v>
      </c>
      <c r="AK338" t="s">
        <v>1694</v>
      </c>
      <c r="AL338" t="s">
        <v>1694</v>
      </c>
      <c r="AM338" t="s">
        <v>1694</v>
      </c>
      <c r="AN338" t="s">
        <v>1694</v>
      </c>
      <c r="AO338" t="s">
        <v>1694</v>
      </c>
      <c r="AP338" t="s">
        <v>1697</v>
      </c>
      <c r="AQ338" t="s">
        <v>1697</v>
      </c>
      <c r="AR338" t="s">
        <v>1697</v>
      </c>
      <c r="AS338" t="s">
        <v>1702</v>
      </c>
      <c r="AT338" t="s">
        <v>1703</v>
      </c>
      <c r="AU338" t="s">
        <v>1704</v>
      </c>
      <c r="AV338" t="s">
        <v>1725</v>
      </c>
      <c r="AW338" t="s">
        <v>1703</v>
      </c>
      <c r="AX338" t="s">
        <v>1714</v>
      </c>
      <c r="AY338" t="s">
        <v>1754</v>
      </c>
      <c r="AZ338" t="s">
        <v>1714</v>
      </c>
      <c r="BA338" t="s">
        <v>1700</v>
      </c>
      <c r="BB338" t="s">
        <v>1714</v>
      </c>
      <c r="BC338" t="s">
        <v>1754</v>
      </c>
      <c r="BD338" t="s">
        <v>1714</v>
      </c>
      <c r="BE338" t="s">
        <v>1714</v>
      </c>
      <c r="BF338" t="s">
        <v>1754</v>
      </c>
      <c r="BG338">
        <v>25</v>
      </c>
      <c r="BH338" s="12" t="s">
        <v>1709</v>
      </c>
      <c r="BI338" t="b">
        <v>0</v>
      </c>
      <c r="BJ338">
        <f t="shared" si="5"/>
        <v>0</v>
      </c>
    </row>
    <row r="339" spans="1:62" x14ac:dyDescent="0.2">
      <c r="A339" s="5" t="s">
        <v>72</v>
      </c>
      <c r="B339" s="6">
        <v>36609</v>
      </c>
      <c r="C339" s="7">
        <v>33.420496999999997</v>
      </c>
      <c r="D339" s="7">
        <v>-112.34312799999999</v>
      </c>
      <c r="E339" s="17">
        <v>286</v>
      </c>
      <c r="F339" t="s">
        <v>1700</v>
      </c>
      <c r="G339" t="s">
        <v>1755</v>
      </c>
      <c r="H339" t="s">
        <v>1755</v>
      </c>
      <c r="I339">
        <v>1</v>
      </c>
      <c r="J339" s="8">
        <v>11.739128606638666</v>
      </c>
      <c r="K339" s="8">
        <v>69.916181793922618</v>
      </c>
      <c r="L339" s="8">
        <v>18.344689599438709</v>
      </c>
      <c r="M339" s="8">
        <v>76.673142494301018</v>
      </c>
      <c r="N339" s="8">
        <v>26.863138880880467</v>
      </c>
      <c r="O339" s="8">
        <v>464.3894886137677</v>
      </c>
      <c r="P339" s="8">
        <v>218.96748814191415</v>
      </c>
      <c r="Q339" s="8">
        <v>25.536749091655864</v>
      </c>
      <c r="R339" s="8">
        <v>19.153733041340136</v>
      </c>
      <c r="S339" s="8">
        <v>0.83899999999999997</v>
      </c>
      <c r="T339" s="8">
        <v>0.53400000000000003</v>
      </c>
      <c r="U339" s="8">
        <v>0.253</v>
      </c>
      <c r="V339" s="8">
        <v>0.19600000000000001</v>
      </c>
      <c r="W339" s="8">
        <v>0.58599999999999997</v>
      </c>
      <c r="X339" s="8">
        <v>0.33800000000000002</v>
      </c>
      <c r="Y339" s="8">
        <v>2.9726499999999998</v>
      </c>
      <c r="Z339" s="8">
        <v>1.8154300000000001</v>
      </c>
      <c r="AA339" s="9">
        <v>6.43</v>
      </c>
      <c r="AB339" s="10">
        <v>2.7549999999999999</v>
      </c>
      <c r="AC339" s="8">
        <v>4.5540799999999999</v>
      </c>
      <c r="AD339" s="8">
        <v>5.6208099999999996</v>
      </c>
      <c r="AE339" s="8">
        <v>0.1</v>
      </c>
      <c r="AF339" s="8">
        <v>7.2999999999999995E-2</v>
      </c>
      <c r="AG339" s="8">
        <v>1.1230527883162347</v>
      </c>
      <c r="AH339" s="8">
        <v>8.3899999999999988</v>
      </c>
      <c r="AI339" s="8">
        <v>5.34</v>
      </c>
      <c r="AJ339" t="s">
        <v>1694</v>
      </c>
      <c r="AK339" t="s">
        <v>1694</v>
      </c>
      <c r="AL339" t="s">
        <v>1694</v>
      </c>
      <c r="AM339" t="s">
        <v>1694</v>
      </c>
      <c r="AN339" t="s">
        <v>1694</v>
      </c>
      <c r="AO339" t="s">
        <v>1694</v>
      </c>
      <c r="AP339" t="s">
        <v>1695</v>
      </c>
      <c r="AQ339" t="s">
        <v>1694</v>
      </c>
      <c r="AR339" t="s">
        <v>1694</v>
      </c>
      <c r="AS339" t="s">
        <v>1694</v>
      </c>
      <c r="AT339" t="s">
        <v>1694</v>
      </c>
      <c r="AU339" t="s">
        <v>1695</v>
      </c>
      <c r="AV339" t="s">
        <v>1711</v>
      </c>
      <c r="AW339" t="s">
        <v>1711</v>
      </c>
      <c r="AX339" t="s">
        <v>1695</v>
      </c>
      <c r="AY339" t="s">
        <v>1711</v>
      </c>
      <c r="AZ339" t="s">
        <v>1711</v>
      </c>
      <c r="BA339" t="s">
        <v>1700</v>
      </c>
      <c r="BB339" t="s">
        <v>1695</v>
      </c>
      <c r="BC339" t="s">
        <v>1711</v>
      </c>
      <c r="BD339" t="s">
        <v>1711</v>
      </c>
      <c r="BE339" t="s">
        <v>1695</v>
      </c>
      <c r="BF339" t="s">
        <v>1711</v>
      </c>
      <c r="BG339">
        <v>5</v>
      </c>
      <c r="BH339" s="12" t="s">
        <v>1708</v>
      </c>
      <c r="BI339" t="b">
        <v>0</v>
      </c>
      <c r="BJ339">
        <f t="shared" si="5"/>
        <v>0</v>
      </c>
    </row>
    <row r="340" spans="1:62" x14ac:dyDescent="0.2">
      <c r="A340" s="5" t="s">
        <v>72</v>
      </c>
      <c r="B340" s="6">
        <v>38481</v>
      </c>
      <c r="C340" s="7">
        <v>33.420496999999997</v>
      </c>
      <c r="D340" s="7">
        <v>-112.34312799999999</v>
      </c>
      <c r="E340" s="17">
        <v>286</v>
      </c>
      <c r="F340" t="s">
        <v>1700</v>
      </c>
      <c r="G340" t="s">
        <v>1755</v>
      </c>
      <c r="H340" t="s">
        <v>1755</v>
      </c>
      <c r="I340">
        <v>1</v>
      </c>
      <c r="J340" s="8">
        <v>5.2211489179684065</v>
      </c>
      <c r="K340" s="8">
        <v>81.967703349282289</v>
      </c>
      <c r="L340" s="8">
        <v>12.811147732749305</v>
      </c>
      <c r="M340" s="8">
        <v>1.9867883776289639</v>
      </c>
      <c r="N340" s="8">
        <v>0.95279821965002276</v>
      </c>
      <c r="O340" s="8">
        <v>60.360523091775178</v>
      </c>
      <c r="P340" s="8">
        <v>63.980400449499008</v>
      </c>
      <c r="Q340" s="8">
        <v>15.17008462829002</v>
      </c>
      <c r="R340" s="8">
        <v>46.000919115459958</v>
      </c>
      <c r="S340" s="8">
        <v>0.86199999999999999</v>
      </c>
      <c r="T340" s="8">
        <v>0.77100000000000002</v>
      </c>
      <c r="U340" s="8">
        <v>0.35299999999999998</v>
      </c>
      <c r="V340" s="8">
        <v>0.21199999999999999</v>
      </c>
      <c r="W340" s="8">
        <v>0.50900000000000001</v>
      </c>
      <c r="X340" s="8">
        <v>0.55900000000000005</v>
      </c>
      <c r="Y340" s="8">
        <v>2.9055690072639253</v>
      </c>
      <c r="Z340" s="8">
        <v>2.6910656620021531</v>
      </c>
      <c r="AA340" s="8">
        <v>7.5</v>
      </c>
      <c r="AB340">
        <v>0.92200000000000004</v>
      </c>
      <c r="AC340" s="8">
        <v>4.6004842615012205</v>
      </c>
      <c r="AD340" s="8">
        <v>7.1044133476856857</v>
      </c>
      <c r="AE340" s="8">
        <v>4.4999999999999998E-2</v>
      </c>
      <c r="AF340" s="8">
        <v>0.06</v>
      </c>
      <c r="AG340" s="8">
        <v>0.97081280481635746</v>
      </c>
      <c r="AH340" s="8">
        <v>19.155555555555555</v>
      </c>
      <c r="AI340" s="8">
        <v>17.133333333333333</v>
      </c>
      <c r="AJ340" t="s">
        <v>1694</v>
      </c>
      <c r="AK340" t="s">
        <v>1694</v>
      </c>
      <c r="AL340" t="s">
        <v>1694</v>
      </c>
      <c r="AM340" t="s">
        <v>1694</v>
      </c>
      <c r="AN340" t="s">
        <v>1694</v>
      </c>
      <c r="AO340" t="s">
        <v>1694</v>
      </c>
      <c r="AP340" t="s">
        <v>1695</v>
      </c>
      <c r="AQ340" t="s">
        <v>1694</v>
      </c>
      <c r="AR340" t="s">
        <v>1694</v>
      </c>
      <c r="AS340" t="s">
        <v>1694</v>
      </c>
      <c r="AT340" t="s">
        <v>1694</v>
      </c>
      <c r="AU340" t="s">
        <v>1695</v>
      </c>
      <c r="AV340" t="s">
        <v>1711</v>
      </c>
      <c r="AW340" t="s">
        <v>1711</v>
      </c>
      <c r="AX340" t="s">
        <v>1695</v>
      </c>
      <c r="AY340" t="s">
        <v>1711</v>
      </c>
      <c r="AZ340" t="s">
        <v>1711</v>
      </c>
      <c r="BA340" t="s">
        <v>1700</v>
      </c>
      <c r="BB340" t="s">
        <v>1695</v>
      </c>
      <c r="BC340" t="s">
        <v>1711</v>
      </c>
      <c r="BD340" t="s">
        <v>1711</v>
      </c>
      <c r="BE340" t="s">
        <v>1695</v>
      </c>
      <c r="BF340" t="s">
        <v>1711</v>
      </c>
      <c r="BG340">
        <v>10</v>
      </c>
      <c r="BH340" s="12" t="s">
        <v>1708</v>
      </c>
      <c r="BI340" t="b">
        <v>0</v>
      </c>
      <c r="BJ340">
        <f t="shared" si="5"/>
        <v>0</v>
      </c>
    </row>
    <row r="341" spans="1:62" x14ac:dyDescent="0.2">
      <c r="A341" s="5" t="s">
        <v>72</v>
      </c>
      <c r="B341" s="6">
        <v>40298</v>
      </c>
      <c r="C341" s="7">
        <v>33.420496999999997</v>
      </c>
      <c r="D341" s="7">
        <v>-112.34312799999999</v>
      </c>
      <c r="E341" s="17">
        <v>286</v>
      </c>
      <c r="F341" t="s">
        <v>1700</v>
      </c>
      <c r="G341" t="s">
        <v>1755</v>
      </c>
      <c r="H341" t="s">
        <v>1755</v>
      </c>
      <c r="I341">
        <v>1</v>
      </c>
      <c r="J341" s="8">
        <v>19.559957528423247</v>
      </c>
      <c r="K341" s="8">
        <v>59.184176745903407</v>
      </c>
      <c r="L341" s="8">
        <v>21.255865725673345</v>
      </c>
      <c r="M341" s="8">
        <v>1.9409941685171903</v>
      </c>
      <c r="N341" s="8">
        <v>2.3615261085452639</v>
      </c>
      <c r="O341" s="8">
        <v>43.573338476916533</v>
      </c>
      <c r="P341" s="8">
        <v>59.542752309474601</v>
      </c>
      <c r="Q341" s="8">
        <v>31.817622438123401</v>
      </c>
      <c r="R341" s="8">
        <v>31.050442685829715</v>
      </c>
      <c r="S341" s="8">
        <v>0.73299999999999998</v>
      </c>
      <c r="T341" s="8">
        <v>0.54800000000000004</v>
      </c>
      <c r="U341" s="8">
        <v>0.11899999999999999</v>
      </c>
      <c r="V341" s="8">
        <v>8.5000000000000006E-2</v>
      </c>
      <c r="W341" s="8">
        <v>0.61399999999999999</v>
      </c>
      <c r="X341" s="8">
        <v>0.46300000000000002</v>
      </c>
      <c r="Y341" s="8">
        <v>2.3230088495575312</v>
      </c>
      <c r="Z341" s="8">
        <v>1.7094017094016984</v>
      </c>
      <c r="AA341" s="8">
        <v>7.72</v>
      </c>
      <c r="AB341">
        <v>0.28999999999999998</v>
      </c>
      <c r="AC341" s="8">
        <v>1.3274336283185753</v>
      </c>
      <c r="AD341" s="8">
        <v>1.8518518518518632</v>
      </c>
      <c r="AE341" s="8">
        <v>5.3999999999999999E-2</v>
      </c>
      <c r="AF341" s="8">
        <v>5.1999999999999998E-2</v>
      </c>
      <c r="AG341" s="8">
        <v>0.66105430894843276</v>
      </c>
      <c r="AH341" s="8">
        <v>13.574074074074074</v>
      </c>
      <c r="AI341" s="8">
        <v>10.148148148148149</v>
      </c>
      <c r="AJ341" t="s">
        <v>1694</v>
      </c>
      <c r="AK341" t="s">
        <v>1694</v>
      </c>
      <c r="AL341" t="s">
        <v>1694</v>
      </c>
      <c r="AM341" t="s">
        <v>1694</v>
      </c>
      <c r="AN341" t="s">
        <v>1694</v>
      </c>
      <c r="AO341" t="s">
        <v>1694</v>
      </c>
      <c r="AP341" t="s">
        <v>1695</v>
      </c>
      <c r="AQ341" t="s">
        <v>1694</v>
      </c>
      <c r="AR341" t="s">
        <v>1694</v>
      </c>
      <c r="AS341" t="s">
        <v>1694</v>
      </c>
      <c r="AT341" t="s">
        <v>1694</v>
      </c>
      <c r="AU341" t="s">
        <v>1695</v>
      </c>
      <c r="AV341" t="s">
        <v>1711</v>
      </c>
      <c r="AW341" t="s">
        <v>1711</v>
      </c>
      <c r="AX341" t="s">
        <v>1695</v>
      </c>
      <c r="AY341" t="s">
        <v>1711</v>
      </c>
      <c r="AZ341" t="s">
        <v>1711</v>
      </c>
      <c r="BA341" t="s">
        <v>1700</v>
      </c>
      <c r="BB341" t="s">
        <v>1695</v>
      </c>
      <c r="BC341" t="s">
        <v>1711</v>
      </c>
      <c r="BD341" t="s">
        <v>1711</v>
      </c>
      <c r="BE341" t="s">
        <v>1695</v>
      </c>
      <c r="BF341" t="s">
        <v>1711</v>
      </c>
      <c r="BG341">
        <v>15</v>
      </c>
      <c r="BH341" s="12" t="s">
        <v>1708</v>
      </c>
      <c r="BI341" t="b">
        <v>1</v>
      </c>
      <c r="BJ341">
        <f t="shared" si="5"/>
        <v>1</v>
      </c>
    </row>
    <row r="342" spans="1:62" x14ac:dyDescent="0.2">
      <c r="A342" s="5" t="s">
        <v>72</v>
      </c>
      <c r="B342" s="6">
        <v>42166</v>
      </c>
      <c r="C342" s="7">
        <v>33.420496999999997</v>
      </c>
      <c r="D342" s="7">
        <v>-112.34312799999999</v>
      </c>
      <c r="E342" s="17">
        <v>286</v>
      </c>
      <c r="F342" t="s">
        <v>1700</v>
      </c>
      <c r="G342" t="s">
        <v>1755</v>
      </c>
      <c r="H342" t="s">
        <v>1755</v>
      </c>
      <c r="I342">
        <v>1</v>
      </c>
      <c r="J342">
        <v>5.3386435548634896</v>
      </c>
      <c r="K342">
        <v>88.546041187549505</v>
      </c>
      <c r="L342">
        <v>6.1153152575870102</v>
      </c>
      <c r="M342">
        <v>23.6120446781485</v>
      </c>
      <c r="N342">
        <v>9.2175966564870695</v>
      </c>
      <c r="O342">
        <v>2701.5582649773601</v>
      </c>
      <c r="P342">
        <v>1602.7919186168399</v>
      </c>
      <c r="Q342">
        <v>13.088359807619399</v>
      </c>
      <c r="R342">
        <v>25.237702154839599</v>
      </c>
      <c r="S342">
        <v>1.5069999999999999</v>
      </c>
      <c r="T342">
        <v>0.80900000000000005</v>
      </c>
      <c r="U342">
        <v>0.32400000000000001</v>
      </c>
      <c r="V342">
        <v>0.28899999999999998</v>
      </c>
      <c r="W342">
        <v>1.1830000000000001</v>
      </c>
      <c r="X342">
        <v>0.52</v>
      </c>
      <c r="Y342">
        <v>3.0060120240481001</v>
      </c>
      <c r="Z342">
        <v>1.5130674002750999</v>
      </c>
      <c r="AA342">
        <v>7.73</v>
      </c>
      <c r="AB342">
        <v>6.85</v>
      </c>
      <c r="AC342">
        <v>3.8709677419354702</v>
      </c>
      <c r="AD342">
        <v>3.2064128256513</v>
      </c>
      <c r="AE342">
        <v>0.13900000000000001</v>
      </c>
      <c r="AF342">
        <v>7.9000000000000001E-2</v>
      </c>
      <c r="AG342">
        <v>1.7512572528532981</v>
      </c>
      <c r="AH342">
        <v>10.841726618705</v>
      </c>
      <c r="AI342">
        <v>10.2405063291139</v>
      </c>
      <c r="AJ342" t="s">
        <v>1694</v>
      </c>
      <c r="AK342" t="s">
        <v>1694</v>
      </c>
      <c r="AL342" t="s">
        <v>1694</v>
      </c>
      <c r="AM342" t="s">
        <v>1694</v>
      </c>
      <c r="AN342" t="s">
        <v>1694</v>
      </c>
      <c r="AO342" t="s">
        <v>1694</v>
      </c>
      <c r="AP342" t="s">
        <v>1695</v>
      </c>
      <c r="AQ342" t="s">
        <v>1711</v>
      </c>
      <c r="AR342" t="s">
        <v>1694</v>
      </c>
      <c r="AS342" t="s">
        <v>1694</v>
      </c>
      <c r="AT342" t="s">
        <v>1694</v>
      </c>
      <c r="AU342" t="s">
        <v>1695</v>
      </c>
      <c r="AV342" t="s">
        <v>1711</v>
      </c>
      <c r="AW342" t="s">
        <v>1711</v>
      </c>
      <c r="AX342" t="s">
        <v>1695</v>
      </c>
      <c r="AY342" t="s">
        <v>1711</v>
      </c>
      <c r="AZ342" t="s">
        <v>1711</v>
      </c>
      <c r="BA342" t="s">
        <v>1700</v>
      </c>
      <c r="BB342" t="s">
        <v>1695</v>
      </c>
      <c r="BC342" t="s">
        <v>1711</v>
      </c>
      <c r="BD342" t="s">
        <v>1711</v>
      </c>
      <c r="BE342" t="s">
        <v>1695</v>
      </c>
      <c r="BF342" t="s">
        <v>1711</v>
      </c>
      <c r="BG342">
        <v>20</v>
      </c>
      <c r="BH342" s="12" t="s">
        <v>1708</v>
      </c>
      <c r="BI342" t="b">
        <v>1</v>
      </c>
      <c r="BJ342">
        <f t="shared" si="5"/>
        <v>1</v>
      </c>
    </row>
    <row r="343" spans="1:62" x14ac:dyDescent="0.2">
      <c r="A343" s="5" t="s">
        <v>72</v>
      </c>
      <c r="B343" s="6">
        <v>45064</v>
      </c>
      <c r="C343" s="7">
        <v>33.420496999999997</v>
      </c>
      <c r="D343" s="7">
        <v>-112.34312799999999</v>
      </c>
      <c r="E343" s="17">
        <v>286</v>
      </c>
      <c r="F343" t="s">
        <v>1700</v>
      </c>
      <c r="G343" t="s">
        <v>1755</v>
      </c>
      <c r="H343" t="s">
        <v>1755</v>
      </c>
      <c r="I343">
        <v>1</v>
      </c>
      <c r="J343" t="s">
        <v>1697</v>
      </c>
      <c r="K343" t="s">
        <v>1697</v>
      </c>
      <c r="L343" t="s">
        <v>1697</v>
      </c>
      <c r="M343" t="s">
        <v>1697</v>
      </c>
      <c r="N343" t="s">
        <v>1697</v>
      </c>
      <c r="O343" t="s">
        <v>1697</v>
      </c>
      <c r="P343" t="s">
        <v>1697</v>
      </c>
      <c r="Q343" t="s">
        <v>1697</v>
      </c>
      <c r="R343" t="s">
        <v>1697</v>
      </c>
      <c r="S343" t="s">
        <v>1697</v>
      </c>
      <c r="T343" t="s">
        <v>1697</v>
      </c>
      <c r="U343" t="s">
        <v>1697</v>
      </c>
      <c r="V343" t="s">
        <v>1697</v>
      </c>
      <c r="W343" t="s">
        <v>1697</v>
      </c>
      <c r="X343" t="s">
        <v>1697</v>
      </c>
      <c r="Y343" t="s">
        <v>1697</v>
      </c>
      <c r="Z343" t="s">
        <v>1697</v>
      </c>
      <c r="AA343" t="s">
        <v>1697</v>
      </c>
      <c r="AB343" t="s">
        <v>1697</v>
      </c>
      <c r="AC343" t="s">
        <v>1697</v>
      </c>
      <c r="AD343" t="s">
        <v>1697</v>
      </c>
      <c r="AE343" t="s">
        <v>1697</v>
      </c>
      <c r="AF343" t="s">
        <v>1697</v>
      </c>
      <c r="AG343" t="s">
        <v>1697</v>
      </c>
      <c r="AH343" t="s">
        <v>1697</v>
      </c>
      <c r="AI343" t="s">
        <v>1697</v>
      </c>
      <c r="AJ343" t="s">
        <v>1694</v>
      </c>
      <c r="AK343" t="s">
        <v>1694</v>
      </c>
      <c r="AL343" t="s">
        <v>1694</v>
      </c>
      <c r="AM343" t="s">
        <v>1694</v>
      </c>
      <c r="AN343" t="s">
        <v>1694</v>
      </c>
      <c r="AO343" t="s">
        <v>1694</v>
      </c>
      <c r="AP343" t="s">
        <v>1695</v>
      </c>
      <c r="AQ343" t="s">
        <v>1711</v>
      </c>
      <c r="AR343" t="s">
        <v>1694</v>
      </c>
      <c r="AS343" t="s">
        <v>1694</v>
      </c>
      <c r="AT343" t="s">
        <v>1694</v>
      </c>
      <c r="AU343" t="s">
        <v>1695</v>
      </c>
      <c r="AV343" t="s">
        <v>1711</v>
      </c>
      <c r="AW343" t="s">
        <v>1711</v>
      </c>
      <c r="AX343" t="s">
        <v>1695</v>
      </c>
      <c r="AY343" t="s">
        <v>1711</v>
      </c>
      <c r="AZ343" t="s">
        <v>1711</v>
      </c>
      <c r="BA343" t="s">
        <v>1700</v>
      </c>
      <c r="BB343" t="s">
        <v>1695</v>
      </c>
      <c r="BC343" t="s">
        <v>1711</v>
      </c>
      <c r="BD343" t="s">
        <v>1711</v>
      </c>
      <c r="BE343" t="s">
        <v>1695</v>
      </c>
      <c r="BF343" t="s">
        <v>1711</v>
      </c>
      <c r="BG343" s="6" t="s">
        <v>1697</v>
      </c>
      <c r="BH343" s="6" t="s">
        <v>1697</v>
      </c>
      <c r="BI343" t="b">
        <v>1</v>
      </c>
      <c r="BJ343">
        <f t="shared" si="5"/>
        <v>1</v>
      </c>
    </row>
    <row r="344" spans="1:62" x14ac:dyDescent="0.2">
      <c r="A344" s="5" t="s">
        <v>872</v>
      </c>
      <c r="B344" s="6">
        <v>38496</v>
      </c>
      <c r="C344" s="7">
        <v>33.748358000000003</v>
      </c>
      <c r="D344" s="7">
        <v>-112.312422</v>
      </c>
      <c r="E344" s="17">
        <v>427</v>
      </c>
      <c r="F344" t="s">
        <v>1694</v>
      </c>
      <c r="G344" t="s">
        <v>1694</v>
      </c>
      <c r="H344" t="s">
        <v>1694</v>
      </c>
      <c r="I344">
        <v>0</v>
      </c>
      <c r="J344" s="8">
        <v>6.0075899296615773</v>
      </c>
      <c r="K344" s="8">
        <v>69.896923943778518</v>
      </c>
      <c r="L344" s="8">
        <v>24.095486126559905</v>
      </c>
      <c r="M344" s="8">
        <v>1.6611978431404619</v>
      </c>
      <c r="N344" s="8">
        <v>1.4646368548014481</v>
      </c>
      <c r="O344" s="8">
        <v>5.8503054475816274</v>
      </c>
      <c r="P344" s="8">
        <v>6.6933904264426172</v>
      </c>
      <c r="Q344" s="8">
        <v>6.026536870940876</v>
      </c>
      <c r="R344" s="8">
        <v>3.8621987962631548</v>
      </c>
      <c r="S344" s="8">
        <v>1.444</v>
      </c>
      <c r="T344" s="8">
        <v>3.2069999999999999</v>
      </c>
      <c r="U344" s="8">
        <v>0.92800000000000005</v>
      </c>
      <c r="V344" s="8">
        <v>3.04</v>
      </c>
      <c r="W344" s="8">
        <v>0.5159999999999999</v>
      </c>
      <c r="X344" s="8">
        <v>0.16699999999999982</v>
      </c>
      <c r="Y344" s="8">
        <v>3.5374149659863923</v>
      </c>
      <c r="Z344" s="8">
        <v>3.7142857142857109</v>
      </c>
      <c r="AA344" s="8">
        <v>8.39</v>
      </c>
      <c r="AB344">
        <v>0.26800000000000002</v>
      </c>
      <c r="AC344" s="8">
        <v>1.7687074829932079</v>
      </c>
      <c r="AD344" s="8">
        <v>5.8571428571428594</v>
      </c>
      <c r="AE344" s="8">
        <v>4.8000000000000001E-2</v>
      </c>
      <c r="AF344" s="8">
        <v>2.9000000000000001E-2</v>
      </c>
      <c r="AG344" s="8">
        <v>1.4617293129308209</v>
      </c>
      <c r="AH344" s="8">
        <v>30.083333333333332</v>
      </c>
      <c r="AI344" s="8">
        <v>66.8125</v>
      </c>
      <c r="AJ344" t="s">
        <v>1694</v>
      </c>
      <c r="AK344" t="s">
        <v>1694</v>
      </c>
      <c r="AL344" t="s">
        <v>1694</v>
      </c>
      <c r="AM344" t="s">
        <v>1694</v>
      </c>
      <c r="AN344" t="s">
        <v>1694</v>
      </c>
      <c r="AO344" t="s">
        <v>1694</v>
      </c>
      <c r="AP344" t="s">
        <v>1695</v>
      </c>
      <c r="AQ344" t="s">
        <v>1694</v>
      </c>
      <c r="AR344" t="s">
        <v>1694</v>
      </c>
      <c r="AS344" t="s">
        <v>1694</v>
      </c>
      <c r="AT344" t="s">
        <v>1694</v>
      </c>
      <c r="AU344" t="s">
        <v>1695</v>
      </c>
      <c r="AV344" t="s">
        <v>1694</v>
      </c>
      <c r="AW344" t="s">
        <v>1694</v>
      </c>
      <c r="AX344" t="s">
        <v>1695</v>
      </c>
      <c r="AY344" t="s">
        <v>1694</v>
      </c>
      <c r="AZ344" t="s">
        <v>1694</v>
      </c>
      <c r="BA344" t="s">
        <v>1694</v>
      </c>
      <c r="BB344" t="s">
        <v>1695</v>
      </c>
      <c r="BC344" t="s">
        <v>1694</v>
      </c>
      <c r="BD344" t="s">
        <v>1694</v>
      </c>
      <c r="BE344" t="s">
        <v>1695</v>
      </c>
      <c r="BF344" t="s">
        <v>1694</v>
      </c>
      <c r="BG344" t="s">
        <v>1697</v>
      </c>
      <c r="BH344" t="s">
        <v>1698</v>
      </c>
      <c r="BI344" t="b">
        <v>0</v>
      </c>
      <c r="BJ344">
        <f t="shared" si="5"/>
        <v>0</v>
      </c>
    </row>
    <row r="345" spans="1:62" x14ac:dyDescent="0.2">
      <c r="A345" s="5" t="s">
        <v>872</v>
      </c>
      <c r="B345" s="6">
        <v>40254</v>
      </c>
      <c r="C345" s="7">
        <v>33.748358000000003</v>
      </c>
      <c r="D345" s="7">
        <v>-112.312422</v>
      </c>
      <c r="E345" s="17">
        <v>427</v>
      </c>
      <c r="F345" t="s">
        <v>1694</v>
      </c>
      <c r="G345" t="s">
        <v>1694</v>
      </c>
      <c r="H345" t="s">
        <v>1694</v>
      </c>
      <c r="I345">
        <v>0</v>
      </c>
      <c r="J345" s="8">
        <v>13.664503722014789</v>
      </c>
      <c r="K345" s="8">
        <v>56.984601487026296</v>
      </c>
      <c r="L345" s="8">
        <v>29.350894790958918</v>
      </c>
      <c r="M345" s="8">
        <v>5.0000000000000001E-3</v>
      </c>
      <c r="N345" s="8">
        <v>0.13965031941021866</v>
      </c>
      <c r="O345" s="8">
        <v>2.1910583140317454</v>
      </c>
      <c r="P345" s="8">
        <v>0.55426431119956343</v>
      </c>
      <c r="Q345" s="8">
        <v>2.5000000000000001E-3</v>
      </c>
      <c r="R345" s="8">
        <v>7.0143488769028242</v>
      </c>
      <c r="S345" s="8">
        <v>1.3009999999999999</v>
      </c>
      <c r="T345" s="8">
        <v>3.4540000000000002</v>
      </c>
      <c r="U345" s="8">
        <v>1.008</v>
      </c>
      <c r="V345" s="8">
        <v>2.7719999999999998</v>
      </c>
      <c r="W345" s="8">
        <v>0.29299999999999993</v>
      </c>
      <c r="X345" s="8">
        <v>0.68200000000000038</v>
      </c>
      <c r="Y345" s="8">
        <v>3.4770514603616141</v>
      </c>
      <c r="Z345" s="8">
        <v>3.534609720176733</v>
      </c>
      <c r="AA345" s="8">
        <v>8.48</v>
      </c>
      <c r="AB345">
        <v>0.27700000000000002</v>
      </c>
      <c r="AC345" s="8">
        <v>8.4840055632823539</v>
      </c>
      <c r="AD345" s="8">
        <v>12.960235640647996</v>
      </c>
      <c r="AE345" s="8">
        <v>2.5999999999999999E-2</v>
      </c>
      <c r="AF345" s="8">
        <v>1.7999999999999999E-2</v>
      </c>
      <c r="AG345" s="8">
        <v>1.5309073924065166</v>
      </c>
      <c r="AH345" s="8">
        <v>50.03846153846154</v>
      </c>
      <c r="AI345" s="8">
        <v>132.84615384615387</v>
      </c>
      <c r="AJ345" t="s">
        <v>1694</v>
      </c>
      <c r="AK345" t="s">
        <v>1694</v>
      </c>
      <c r="AL345" t="s">
        <v>1694</v>
      </c>
      <c r="AM345" t="s">
        <v>1694</v>
      </c>
      <c r="AN345" t="s">
        <v>1694</v>
      </c>
      <c r="AO345" t="s">
        <v>1694</v>
      </c>
      <c r="AP345" t="s">
        <v>1695</v>
      </c>
      <c r="AQ345" t="s">
        <v>1694</v>
      </c>
      <c r="AR345" t="s">
        <v>1694</v>
      </c>
      <c r="AS345" t="s">
        <v>1694</v>
      </c>
      <c r="AT345" t="s">
        <v>1694</v>
      </c>
      <c r="AU345" t="s">
        <v>1695</v>
      </c>
      <c r="AV345" t="s">
        <v>1694</v>
      </c>
      <c r="AW345" t="s">
        <v>1694</v>
      </c>
      <c r="AX345" t="s">
        <v>1695</v>
      </c>
      <c r="AY345" t="s">
        <v>1694</v>
      </c>
      <c r="AZ345" t="s">
        <v>1694</v>
      </c>
      <c r="BA345" t="s">
        <v>1694</v>
      </c>
      <c r="BB345" t="s">
        <v>1695</v>
      </c>
      <c r="BC345" t="s">
        <v>1694</v>
      </c>
      <c r="BD345" t="s">
        <v>1694</v>
      </c>
      <c r="BE345" t="s">
        <v>1695</v>
      </c>
      <c r="BF345" t="s">
        <v>1694</v>
      </c>
      <c r="BG345" t="s">
        <v>1697</v>
      </c>
      <c r="BH345" t="s">
        <v>1698</v>
      </c>
      <c r="BI345" t="b">
        <v>0</v>
      </c>
      <c r="BJ345">
        <f t="shared" si="5"/>
        <v>0</v>
      </c>
    </row>
    <row r="346" spans="1:62" x14ac:dyDescent="0.2">
      <c r="A346" s="5" t="s">
        <v>872</v>
      </c>
      <c r="B346" s="6">
        <v>42065</v>
      </c>
      <c r="C346" s="7">
        <v>33.748358000000003</v>
      </c>
      <c r="D346" s="7">
        <v>-112.312422</v>
      </c>
      <c r="E346" s="17">
        <v>427</v>
      </c>
      <c r="F346" t="s">
        <v>1694</v>
      </c>
      <c r="G346" t="s">
        <v>1694</v>
      </c>
      <c r="H346" t="s">
        <v>1694</v>
      </c>
      <c r="I346">
        <v>0</v>
      </c>
      <c r="J346">
        <v>9.0908585310000802</v>
      </c>
      <c r="K346">
        <v>64.035697811093996</v>
      </c>
      <c r="L346">
        <v>26.873443657905899</v>
      </c>
      <c r="M346">
        <v>5.0089899501123796</v>
      </c>
      <c r="N346">
        <v>2.1182658197959898</v>
      </c>
      <c r="O346">
        <v>6.9534079898184498</v>
      </c>
      <c r="P346">
        <v>19.601539539011998</v>
      </c>
      <c r="Q346">
        <v>1.73933127423722</v>
      </c>
      <c r="R346">
        <v>4.6764837295893704</v>
      </c>
      <c r="S346">
        <v>1.1879999999999999</v>
      </c>
      <c r="T346">
        <v>2.7010000000000001</v>
      </c>
      <c r="U346">
        <v>1.17</v>
      </c>
      <c r="V346">
        <v>2.036</v>
      </c>
      <c r="W346">
        <v>1.7999999999999999E-2</v>
      </c>
      <c r="X346">
        <v>0.66500000000000004</v>
      </c>
      <c r="Y346">
        <v>1.6304347826087</v>
      </c>
      <c r="Z346">
        <v>1.68539325842697</v>
      </c>
      <c r="AA346">
        <v>8.2899999999999991</v>
      </c>
      <c r="AB346">
        <v>0.218</v>
      </c>
      <c r="AC346">
        <v>3.9138943248532101</v>
      </c>
      <c r="AD346">
        <v>4.9689440993788896</v>
      </c>
      <c r="AE346">
        <v>1.2999999999999999E-2</v>
      </c>
      <c r="AF346">
        <v>4.3999999999999997E-2</v>
      </c>
      <c r="AG346">
        <v>1.5932699699603698</v>
      </c>
      <c r="AH346">
        <v>91.384615384615401</v>
      </c>
      <c r="AI346">
        <v>61.386363636363598</v>
      </c>
      <c r="AJ346" t="s">
        <v>1694</v>
      </c>
      <c r="AK346" t="s">
        <v>1694</v>
      </c>
      <c r="AL346" t="s">
        <v>1694</v>
      </c>
      <c r="AM346" t="s">
        <v>1694</v>
      </c>
      <c r="AN346" t="s">
        <v>1694</v>
      </c>
      <c r="AO346" t="s">
        <v>1694</v>
      </c>
      <c r="AP346" t="s">
        <v>1697</v>
      </c>
      <c r="AQ346" t="s">
        <v>1697</v>
      </c>
      <c r="AR346" t="s">
        <v>1694</v>
      </c>
      <c r="AS346" t="s">
        <v>1694</v>
      </c>
      <c r="AT346" t="s">
        <v>1694</v>
      </c>
      <c r="AU346" t="s">
        <v>1695</v>
      </c>
      <c r="AV346" t="s">
        <v>1694</v>
      </c>
      <c r="AW346" t="s">
        <v>1694</v>
      </c>
      <c r="AX346" t="s">
        <v>1695</v>
      </c>
      <c r="AY346" t="s">
        <v>1694</v>
      </c>
      <c r="AZ346" t="s">
        <v>1694</v>
      </c>
      <c r="BA346" t="s">
        <v>1694</v>
      </c>
      <c r="BB346" t="s">
        <v>1695</v>
      </c>
      <c r="BC346" t="s">
        <v>1694</v>
      </c>
      <c r="BD346" t="s">
        <v>1694</v>
      </c>
      <c r="BE346" t="s">
        <v>1695</v>
      </c>
      <c r="BF346" t="s">
        <v>1694</v>
      </c>
      <c r="BG346" t="s">
        <v>1697</v>
      </c>
      <c r="BH346" t="s">
        <v>1698</v>
      </c>
      <c r="BI346" t="b">
        <v>0</v>
      </c>
      <c r="BJ346">
        <f t="shared" si="5"/>
        <v>0</v>
      </c>
    </row>
    <row r="347" spans="1:62" x14ac:dyDescent="0.2">
      <c r="A347" s="5" t="s">
        <v>872</v>
      </c>
      <c r="B347" s="6">
        <v>45071</v>
      </c>
      <c r="C347" s="7">
        <v>33.748358000000003</v>
      </c>
      <c r="D347" s="7">
        <v>-112.312422</v>
      </c>
      <c r="E347" s="17">
        <v>427</v>
      </c>
      <c r="F347" t="s">
        <v>1694</v>
      </c>
      <c r="G347" t="s">
        <v>1694</v>
      </c>
      <c r="H347" t="s">
        <v>1694</v>
      </c>
      <c r="I347">
        <v>0</v>
      </c>
      <c r="J347" s="6" t="s">
        <v>1697</v>
      </c>
      <c r="K347" s="6" t="s">
        <v>1697</v>
      </c>
      <c r="L347" s="6" t="s">
        <v>1697</v>
      </c>
      <c r="M347" s="6" t="s">
        <v>1697</v>
      </c>
      <c r="N347" s="6" t="s">
        <v>1697</v>
      </c>
      <c r="O347" s="6" t="s">
        <v>1697</v>
      </c>
      <c r="P347" s="6" t="s">
        <v>1697</v>
      </c>
      <c r="Q347" s="6" t="s">
        <v>1697</v>
      </c>
      <c r="R347" s="6" t="s">
        <v>1697</v>
      </c>
      <c r="S347" s="6" t="s">
        <v>1697</v>
      </c>
      <c r="T347" s="6" t="s">
        <v>1697</v>
      </c>
      <c r="U347" s="6" t="s">
        <v>1697</v>
      </c>
      <c r="V347" s="6" t="s">
        <v>1697</v>
      </c>
      <c r="W347" s="6" t="s">
        <v>1697</v>
      </c>
      <c r="X347" s="6" t="s">
        <v>1697</v>
      </c>
      <c r="Y347" s="6" t="s">
        <v>1697</v>
      </c>
      <c r="Z347" s="6" t="s">
        <v>1697</v>
      </c>
      <c r="AA347" s="6" t="s">
        <v>1697</v>
      </c>
      <c r="AB347" s="6" t="s">
        <v>1697</v>
      </c>
      <c r="AC347" s="6" t="s">
        <v>1697</v>
      </c>
      <c r="AD347" s="6" t="s">
        <v>1697</v>
      </c>
      <c r="AE347" s="6" t="s">
        <v>1697</v>
      </c>
      <c r="AF347" s="6" t="s">
        <v>1697</v>
      </c>
      <c r="AG347" s="6" t="s">
        <v>1697</v>
      </c>
      <c r="AH347" s="6" t="s">
        <v>1697</v>
      </c>
      <c r="AI347" s="6" t="s">
        <v>1697</v>
      </c>
      <c r="AJ347" t="s">
        <v>1694</v>
      </c>
      <c r="AK347" t="s">
        <v>1694</v>
      </c>
      <c r="AL347" t="s">
        <v>1694</v>
      </c>
      <c r="AM347" t="s">
        <v>1694</v>
      </c>
      <c r="AN347" t="s">
        <v>1694</v>
      </c>
      <c r="AO347" t="s">
        <v>1694</v>
      </c>
      <c r="AP347" t="s">
        <v>1697</v>
      </c>
      <c r="AQ347" t="s">
        <v>1697</v>
      </c>
      <c r="AR347" t="s">
        <v>1694</v>
      </c>
      <c r="AS347" t="s">
        <v>1694</v>
      </c>
      <c r="AT347" t="s">
        <v>1694</v>
      </c>
      <c r="AU347" t="s">
        <v>1695</v>
      </c>
      <c r="AV347" t="s">
        <v>1694</v>
      </c>
      <c r="AW347" t="s">
        <v>1694</v>
      </c>
      <c r="AX347" t="s">
        <v>1695</v>
      </c>
      <c r="AY347" t="s">
        <v>1694</v>
      </c>
      <c r="AZ347" t="s">
        <v>1694</v>
      </c>
      <c r="BA347" t="s">
        <v>1694</v>
      </c>
      <c r="BB347" t="s">
        <v>1695</v>
      </c>
      <c r="BC347" t="s">
        <v>1694</v>
      </c>
      <c r="BD347" t="s">
        <v>1694</v>
      </c>
      <c r="BE347" t="s">
        <v>1695</v>
      </c>
      <c r="BF347" t="s">
        <v>1694</v>
      </c>
      <c r="BG347" s="6" t="s">
        <v>1697</v>
      </c>
      <c r="BH347" s="6" t="s">
        <v>1697</v>
      </c>
      <c r="BI347" t="b">
        <v>1</v>
      </c>
      <c r="BJ347">
        <f t="shared" si="5"/>
        <v>1</v>
      </c>
    </row>
    <row r="348" spans="1:62" x14ac:dyDescent="0.2">
      <c r="A348" s="5" t="s">
        <v>73</v>
      </c>
      <c r="B348" s="6">
        <v>36577</v>
      </c>
      <c r="C348" s="7">
        <v>33.586903</v>
      </c>
      <c r="D348" s="7">
        <v>-112.302469</v>
      </c>
      <c r="E348" s="17">
        <v>344</v>
      </c>
      <c r="F348" t="s">
        <v>1706</v>
      </c>
      <c r="G348" t="s">
        <v>1710</v>
      </c>
      <c r="H348" t="s">
        <v>1710</v>
      </c>
      <c r="I348">
        <v>1</v>
      </c>
      <c r="J348" s="8">
        <v>11.134164793253113</v>
      </c>
      <c r="K348" s="8">
        <v>82.989459508817987</v>
      </c>
      <c r="L348" s="8">
        <v>5.8763756979288928</v>
      </c>
      <c r="M348" s="8">
        <v>5.1354906720822227</v>
      </c>
      <c r="N348" s="8">
        <v>2.6378644737284511</v>
      </c>
      <c r="O348" s="8">
        <v>53.495915028490053</v>
      </c>
      <c r="P348" s="8">
        <v>6.8753825400399657</v>
      </c>
      <c r="Q348" s="8">
        <v>20.890131310353869</v>
      </c>
      <c r="R348" s="8">
        <v>5.1411002030972099</v>
      </c>
      <c r="S348" s="8">
        <v>1.1100000000000001</v>
      </c>
      <c r="T348" s="8">
        <v>0.67200000000000004</v>
      </c>
      <c r="U348" s="8">
        <v>0.17399999999999999</v>
      </c>
      <c r="V348" s="8">
        <v>0.39</v>
      </c>
      <c r="W348" s="8">
        <v>0.93600000000000005</v>
      </c>
      <c r="X348" s="8">
        <v>0.28199999999999997</v>
      </c>
      <c r="Y348" s="8">
        <v>3.23176</v>
      </c>
      <c r="Z348" s="8">
        <v>2.34192</v>
      </c>
      <c r="AA348" s="9">
        <v>7.73</v>
      </c>
      <c r="AB348" s="10">
        <v>0.97150000000000003</v>
      </c>
      <c r="AC348" s="8">
        <v>5.4803800000000003</v>
      </c>
      <c r="AD348" s="8">
        <v>5.44496</v>
      </c>
      <c r="AE348" s="8">
        <v>0.10199999999999999</v>
      </c>
      <c r="AF348" s="8">
        <v>5.7000000000000002E-2</v>
      </c>
      <c r="AG348" s="8">
        <v>1.3912083219608269</v>
      </c>
      <c r="AH348" s="8">
        <v>10.882352941176473</v>
      </c>
      <c r="AI348" s="8">
        <v>6.5882352941176476</v>
      </c>
      <c r="AJ348" t="s">
        <v>1694</v>
      </c>
      <c r="AK348" t="s">
        <v>1694</v>
      </c>
      <c r="AL348" t="s">
        <v>1694</v>
      </c>
      <c r="AM348" t="s">
        <v>1694</v>
      </c>
      <c r="AN348" t="s">
        <v>1694</v>
      </c>
      <c r="AO348" t="s">
        <v>1694</v>
      </c>
      <c r="AP348" t="s">
        <v>1706</v>
      </c>
      <c r="AQ348" t="s">
        <v>1707</v>
      </c>
      <c r="AR348" t="s">
        <v>1706</v>
      </c>
      <c r="AS348" t="s">
        <v>1700</v>
      </c>
      <c r="AT348" t="s">
        <v>1700</v>
      </c>
      <c r="AU348" t="s">
        <v>1706</v>
      </c>
      <c r="AV348" t="s">
        <v>1707</v>
      </c>
      <c r="AW348" t="s">
        <v>1706</v>
      </c>
      <c r="AX348" t="s">
        <v>1706</v>
      </c>
      <c r="AY348" t="s">
        <v>1707</v>
      </c>
      <c r="AZ348" t="s">
        <v>1706</v>
      </c>
      <c r="BA348" t="s">
        <v>1700</v>
      </c>
      <c r="BB348" t="s">
        <v>1706</v>
      </c>
      <c r="BC348" t="s">
        <v>1707</v>
      </c>
      <c r="BD348" t="s">
        <v>1706</v>
      </c>
      <c r="BE348" t="s">
        <v>1706</v>
      </c>
      <c r="BF348" t="s">
        <v>1707</v>
      </c>
      <c r="BG348">
        <v>45</v>
      </c>
      <c r="BH348" s="12" t="s">
        <v>1729</v>
      </c>
      <c r="BI348" t="b">
        <v>0</v>
      </c>
      <c r="BJ348">
        <f t="shared" si="5"/>
        <v>0</v>
      </c>
    </row>
    <row r="349" spans="1:62" x14ac:dyDescent="0.2">
      <c r="A349" s="5" t="s">
        <v>73</v>
      </c>
      <c r="B349" s="6">
        <v>38456</v>
      </c>
      <c r="C349" s="7">
        <v>33.586903</v>
      </c>
      <c r="D349" s="7">
        <v>-112.302469</v>
      </c>
      <c r="E349" s="17">
        <v>344</v>
      </c>
      <c r="F349" t="s">
        <v>1706</v>
      </c>
      <c r="G349" t="s">
        <v>1710</v>
      </c>
      <c r="H349" t="s">
        <v>1710</v>
      </c>
      <c r="I349">
        <v>1</v>
      </c>
      <c r="J349" s="8">
        <v>7.0642388006239054</v>
      </c>
      <c r="K349" s="8">
        <v>78.741272547103065</v>
      </c>
      <c r="L349" s="8">
        <v>14.194488652273023</v>
      </c>
      <c r="M349" s="8">
        <v>2.0708593152555372</v>
      </c>
      <c r="N349" s="8">
        <v>0.96745444745705556</v>
      </c>
      <c r="O349" s="8">
        <v>4.5307891685287807</v>
      </c>
      <c r="P349" s="8">
        <v>1.5156786343493869</v>
      </c>
      <c r="Q349" s="8">
        <v>41.908209485216162</v>
      </c>
      <c r="R349" s="8">
        <v>15.894986182548783</v>
      </c>
      <c r="S349" s="8">
        <v>1.6319999999999999</v>
      </c>
      <c r="T349" s="8">
        <v>1.129</v>
      </c>
      <c r="U349" s="8">
        <v>0.46</v>
      </c>
      <c r="V349" s="8">
        <v>0.55500000000000005</v>
      </c>
      <c r="W349" s="8">
        <v>1.1719999999999999</v>
      </c>
      <c r="X349" s="8">
        <v>0.57399999999999995</v>
      </c>
      <c r="Y349" s="8">
        <v>4.4150110375275977</v>
      </c>
      <c r="Z349" s="8">
        <v>3.5388127853881333</v>
      </c>
      <c r="AA349" s="8">
        <v>8.49</v>
      </c>
      <c r="AB349">
        <v>0.14199999999999999</v>
      </c>
      <c r="AC349" s="8">
        <v>5.0772626931567224</v>
      </c>
      <c r="AD349" s="8">
        <v>8.105022831050217</v>
      </c>
      <c r="AE349" s="8">
        <v>0.10199999999999999</v>
      </c>
      <c r="AF349" s="8">
        <v>5.7000000000000002E-2</v>
      </c>
      <c r="AG349" s="8">
        <v>1.1892412613127898</v>
      </c>
      <c r="AH349" s="8">
        <v>16</v>
      </c>
      <c r="AI349" s="8">
        <v>11.068627450980394</v>
      </c>
      <c r="AJ349" t="s">
        <v>1694</v>
      </c>
      <c r="AK349" t="s">
        <v>1694</v>
      </c>
      <c r="AL349" t="s">
        <v>1694</v>
      </c>
      <c r="AM349" t="s">
        <v>1694</v>
      </c>
      <c r="AN349" t="s">
        <v>1694</v>
      </c>
      <c r="AO349" t="s">
        <v>1694</v>
      </c>
      <c r="AP349" t="s">
        <v>1706</v>
      </c>
      <c r="AQ349" t="s">
        <v>1707</v>
      </c>
      <c r="AR349" t="s">
        <v>1706</v>
      </c>
      <c r="AS349" t="s">
        <v>1700</v>
      </c>
      <c r="AT349" t="s">
        <v>1700</v>
      </c>
      <c r="AU349" t="s">
        <v>1706</v>
      </c>
      <c r="AV349" t="s">
        <v>1707</v>
      </c>
      <c r="AW349" t="s">
        <v>1706</v>
      </c>
      <c r="AX349" t="s">
        <v>1706</v>
      </c>
      <c r="AY349" t="s">
        <v>1707</v>
      </c>
      <c r="AZ349" t="s">
        <v>1706</v>
      </c>
      <c r="BA349" t="s">
        <v>1700</v>
      </c>
      <c r="BB349" t="s">
        <v>1706</v>
      </c>
      <c r="BC349" t="s">
        <v>1707</v>
      </c>
      <c r="BD349" t="s">
        <v>1706</v>
      </c>
      <c r="BE349" t="s">
        <v>1706</v>
      </c>
      <c r="BF349" t="s">
        <v>1707</v>
      </c>
      <c r="BG349">
        <v>50</v>
      </c>
      <c r="BH349" s="12" t="s">
        <v>1729</v>
      </c>
      <c r="BI349" t="b">
        <v>0</v>
      </c>
      <c r="BJ349">
        <f t="shared" si="5"/>
        <v>0</v>
      </c>
    </row>
    <row r="350" spans="1:62" x14ac:dyDescent="0.2">
      <c r="A350" s="5" t="s">
        <v>74</v>
      </c>
      <c r="B350" s="6">
        <v>36634</v>
      </c>
      <c r="C350" s="7">
        <v>33.482188999999998</v>
      </c>
      <c r="D350" s="7">
        <v>-112.303892</v>
      </c>
      <c r="E350" s="17">
        <v>308</v>
      </c>
      <c r="F350" t="s">
        <v>1706</v>
      </c>
      <c r="G350" t="s">
        <v>1724</v>
      </c>
      <c r="H350" t="s">
        <v>1724</v>
      </c>
      <c r="I350">
        <v>1</v>
      </c>
      <c r="J350" s="8">
        <v>25.30310502906406</v>
      </c>
      <c r="K350" s="8">
        <v>41.833556407740964</v>
      </c>
      <c r="L350" s="8">
        <v>32.863338563194972</v>
      </c>
      <c r="M350" s="8">
        <v>6.3297891366674106</v>
      </c>
      <c r="N350" s="8">
        <v>5.8106965110975262</v>
      </c>
      <c r="O350" s="8">
        <v>3.8654738098164847</v>
      </c>
      <c r="P350" s="8">
        <v>10.688042862619374</v>
      </c>
      <c r="Q350" s="8">
        <v>7.7564958925547556</v>
      </c>
      <c r="R350" s="8">
        <v>8.2931571467480207</v>
      </c>
      <c r="S350" s="8">
        <v>0.48699999999999999</v>
      </c>
      <c r="T350" s="8">
        <v>0.48899999999999999</v>
      </c>
      <c r="U350" s="8">
        <v>0.19700000000000001</v>
      </c>
      <c r="V350" s="8">
        <v>0.17399999999999999</v>
      </c>
      <c r="W350" s="8">
        <v>0.28999999999999998</v>
      </c>
      <c r="X350" s="8">
        <v>0.315</v>
      </c>
      <c r="Y350" s="8">
        <v>2.2922600000000002</v>
      </c>
      <c r="Z350" s="8">
        <v>2.6266400000000001</v>
      </c>
      <c r="AA350" s="9">
        <v>8.58</v>
      </c>
      <c r="AB350" s="10">
        <v>0.35549999999999998</v>
      </c>
      <c r="AC350" s="8">
        <v>9.3059899999999995</v>
      </c>
      <c r="AD350" s="8">
        <v>10.41147</v>
      </c>
      <c r="AE350" s="8">
        <v>3.9E-2</v>
      </c>
      <c r="AF350" s="8">
        <v>4.2000000000000003E-2</v>
      </c>
      <c r="AG350" s="8">
        <v>1.3265075172465095</v>
      </c>
      <c r="AH350" s="8">
        <v>12.487179487179487</v>
      </c>
      <c r="AI350" s="8">
        <v>12.538461538461538</v>
      </c>
      <c r="AJ350" t="s">
        <v>1694</v>
      </c>
      <c r="AK350" t="s">
        <v>1694</v>
      </c>
      <c r="AL350" t="s">
        <v>1702</v>
      </c>
      <c r="AM350" t="s">
        <v>1703</v>
      </c>
      <c r="AN350" t="s">
        <v>1702</v>
      </c>
      <c r="AO350" t="s">
        <v>1703</v>
      </c>
      <c r="AP350" t="s">
        <v>1702</v>
      </c>
      <c r="AQ350" t="s">
        <v>1725</v>
      </c>
      <c r="AR350" t="s">
        <v>1703</v>
      </c>
      <c r="AS350" t="s">
        <v>1702</v>
      </c>
      <c r="AT350" t="s">
        <v>1703</v>
      </c>
      <c r="AU350" t="s">
        <v>1704</v>
      </c>
      <c r="AV350" t="s">
        <v>1725</v>
      </c>
      <c r="AW350" t="s">
        <v>1703</v>
      </c>
      <c r="AX350" t="s">
        <v>1734</v>
      </c>
      <c r="AY350" t="s">
        <v>1734</v>
      </c>
      <c r="AZ350" t="s">
        <v>1706</v>
      </c>
      <c r="BA350" t="s">
        <v>1700</v>
      </c>
      <c r="BB350" t="s">
        <v>1706</v>
      </c>
      <c r="BC350" t="s">
        <v>1723</v>
      </c>
      <c r="BD350" t="s">
        <v>1706</v>
      </c>
      <c r="BE350" t="s">
        <v>1706</v>
      </c>
      <c r="BF350" t="s">
        <v>1723</v>
      </c>
      <c r="BG350">
        <v>20</v>
      </c>
      <c r="BH350" s="12" t="s">
        <v>1708</v>
      </c>
      <c r="BI350" t="b">
        <v>0</v>
      </c>
      <c r="BJ350">
        <f t="shared" si="5"/>
        <v>0</v>
      </c>
    </row>
    <row r="351" spans="1:62" x14ac:dyDescent="0.2">
      <c r="A351" s="5" t="s">
        <v>74</v>
      </c>
      <c r="B351" s="6">
        <v>38481</v>
      </c>
      <c r="C351" s="7">
        <v>33.482188999999998</v>
      </c>
      <c r="D351" s="7">
        <v>-112.303892</v>
      </c>
      <c r="E351" s="17">
        <v>308</v>
      </c>
      <c r="F351" t="s">
        <v>1706</v>
      </c>
      <c r="G351" t="s">
        <v>1724</v>
      </c>
      <c r="H351" t="s">
        <v>1724</v>
      </c>
      <c r="I351">
        <v>1</v>
      </c>
      <c r="J351" s="8">
        <v>14.183040865440489</v>
      </c>
      <c r="K351" s="8">
        <v>63.113298110245736</v>
      </c>
      <c r="L351" s="8">
        <v>22.703661024313774</v>
      </c>
      <c r="M351" s="8">
        <v>2.1687567816013291</v>
      </c>
      <c r="N351" s="8">
        <v>1.2104472770070762</v>
      </c>
      <c r="O351" s="8">
        <v>11.28355958872025</v>
      </c>
      <c r="P351" s="8">
        <v>6.3487959679021122</v>
      </c>
      <c r="Q351" s="8">
        <v>5.6220848876895984</v>
      </c>
      <c r="R351" s="8">
        <v>8.9747026845122679</v>
      </c>
      <c r="S351" s="8">
        <v>0.56200000000000006</v>
      </c>
      <c r="T351" s="8">
        <v>0.40100000000000002</v>
      </c>
      <c r="U351" s="8">
        <v>0.22600000000000001</v>
      </c>
      <c r="V351" s="8">
        <v>7.9000000000000001E-2</v>
      </c>
      <c r="W351" s="8">
        <v>0.33600000000000008</v>
      </c>
      <c r="X351" s="8">
        <v>0.32200000000000001</v>
      </c>
      <c r="Y351" s="8">
        <v>3.0156815440289511</v>
      </c>
      <c r="Z351" s="8">
        <v>2.9085872576177398</v>
      </c>
      <c r="AA351" s="8">
        <v>8.41</v>
      </c>
      <c r="AB351">
        <v>0.20899999999999999</v>
      </c>
      <c r="AC351" s="8">
        <v>7.2376357056694776</v>
      </c>
      <c r="AD351" s="8">
        <v>9.9722991689750771</v>
      </c>
      <c r="AE351" s="8">
        <v>3.9E-2</v>
      </c>
      <c r="AF351" s="8">
        <v>4.2000000000000003E-2</v>
      </c>
      <c r="AG351" s="8">
        <v>1.1332511117128419</v>
      </c>
      <c r="AH351" s="8">
        <v>14.410256410256412</v>
      </c>
      <c r="AI351" s="8">
        <v>10.282051282051283</v>
      </c>
      <c r="AJ351" t="s">
        <v>1694</v>
      </c>
      <c r="AK351" t="s">
        <v>1694</v>
      </c>
      <c r="AL351" t="s">
        <v>1702</v>
      </c>
      <c r="AM351" t="s">
        <v>1703</v>
      </c>
      <c r="AN351" t="s">
        <v>1702</v>
      </c>
      <c r="AO351" t="s">
        <v>1703</v>
      </c>
      <c r="AP351" t="s">
        <v>1702</v>
      </c>
      <c r="AQ351" t="s">
        <v>1725</v>
      </c>
      <c r="AR351" t="s">
        <v>1703</v>
      </c>
      <c r="AS351" t="s">
        <v>1702</v>
      </c>
      <c r="AT351" t="s">
        <v>1703</v>
      </c>
      <c r="AU351" t="s">
        <v>1704</v>
      </c>
      <c r="AV351" t="s">
        <v>1725</v>
      </c>
      <c r="AW351" t="s">
        <v>1703</v>
      </c>
      <c r="AX351" t="s">
        <v>1734</v>
      </c>
      <c r="AY351" t="s">
        <v>1734</v>
      </c>
      <c r="AZ351" t="s">
        <v>1706</v>
      </c>
      <c r="BA351" t="s">
        <v>1700</v>
      </c>
      <c r="BB351" t="s">
        <v>1706</v>
      </c>
      <c r="BC351" t="s">
        <v>1723</v>
      </c>
      <c r="BD351" t="s">
        <v>1706</v>
      </c>
      <c r="BE351" t="s">
        <v>1706</v>
      </c>
      <c r="BF351" t="s">
        <v>1723</v>
      </c>
      <c r="BG351">
        <v>25</v>
      </c>
      <c r="BH351" s="12" t="s">
        <v>1709</v>
      </c>
      <c r="BI351" t="b">
        <v>0</v>
      </c>
      <c r="BJ351">
        <f t="shared" si="5"/>
        <v>0</v>
      </c>
    </row>
    <row r="352" spans="1:62" x14ac:dyDescent="0.2">
      <c r="A352" s="5" t="s">
        <v>74</v>
      </c>
      <c r="B352" s="6">
        <v>40316</v>
      </c>
      <c r="C352" s="7">
        <v>33.482188999999998</v>
      </c>
      <c r="D352" s="7">
        <v>-112.303892</v>
      </c>
      <c r="E352" s="17">
        <v>308</v>
      </c>
      <c r="F352" t="s">
        <v>1706</v>
      </c>
      <c r="G352" t="s">
        <v>1724</v>
      </c>
      <c r="H352" t="s">
        <v>1724</v>
      </c>
      <c r="I352">
        <v>1</v>
      </c>
      <c r="J352" s="8">
        <v>14.271790383394684</v>
      </c>
      <c r="K352" s="8">
        <v>72.529438749084079</v>
      </c>
      <c r="L352" s="8">
        <v>13.198770867521233</v>
      </c>
      <c r="M352" s="8">
        <v>1.0974101633031978</v>
      </c>
      <c r="N352" s="8">
        <v>0.47304652257873397</v>
      </c>
      <c r="O352" s="8">
        <v>2.8428971946988355</v>
      </c>
      <c r="P352" s="8">
        <v>1.837160040784201</v>
      </c>
      <c r="Q352" s="8">
        <v>13.037177637854171</v>
      </c>
      <c r="R352" s="8">
        <v>14.077133232294692</v>
      </c>
      <c r="S352" s="8">
        <v>0.52100000000000002</v>
      </c>
      <c r="T352" s="8">
        <v>0.441</v>
      </c>
      <c r="U352" s="8">
        <v>0.25700000000000001</v>
      </c>
      <c r="V352" s="8">
        <v>9.1999999999999998E-2</v>
      </c>
      <c r="W352" s="8">
        <v>0.26400000000000001</v>
      </c>
      <c r="X352" s="8">
        <v>0.34899999999999998</v>
      </c>
      <c r="Y352" s="8">
        <v>2.948402948402951</v>
      </c>
      <c r="Z352" s="8">
        <v>3.3274956217162934</v>
      </c>
      <c r="AA352" s="8">
        <v>8.52</v>
      </c>
      <c r="AB352">
        <v>0.183</v>
      </c>
      <c r="AC352" s="8">
        <v>1.9656019656019672</v>
      </c>
      <c r="AD352" s="8">
        <v>4.7285464098073469</v>
      </c>
      <c r="AE352" s="8">
        <v>3.4000000000000002E-2</v>
      </c>
      <c r="AF352" s="8">
        <v>4.2000000000000003E-2</v>
      </c>
      <c r="AG352" s="8">
        <v>1.6786729810047445</v>
      </c>
      <c r="AH352" s="8">
        <v>15.323529411764705</v>
      </c>
      <c r="AI352" s="8">
        <v>12.970588235294116</v>
      </c>
      <c r="AJ352" t="s">
        <v>1694</v>
      </c>
      <c r="AK352" t="s">
        <v>1694</v>
      </c>
      <c r="AL352" t="s">
        <v>1702</v>
      </c>
      <c r="AM352" t="s">
        <v>1703</v>
      </c>
      <c r="AN352" t="s">
        <v>1702</v>
      </c>
      <c r="AO352" t="s">
        <v>1703</v>
      </c>
      <c r="AP352" t="s">
        <v>1702</v>
      </c>
      <c r="AQ352" t="s">
        <v>1725</v>
      </c>
      <c r="AR352" t="s">
        <v>1703</v>
      </c>
      <c r="AS352" t="s">
        <v>1702</v>
      </c>
      <c r="AT352" t="s">
        <v>1703</v>
      </c>
      <c r="AU352" t="s">
        <v>1704</v>
      </c>
      <c r="AV352" t="s">
        <v>1725</v>
      </c>
      <c r="AW352" t="s">
        <v>1703</v>
      </c>
      <c r="AX352" t="s">
        <v>1734</v>
      </c>
      <c r="AY352" t="s">
        <v>1734</v>
      </c>
      <c r="AZ352" t="s">
        <v>1706</v>
      </c>
      <c r="BA352" t="s">
        <v>1700</v>
      </c>
      <c r="BB352" t="s">
        <v>1706</v>
      </c>
      <c r="BC352" t="s">
        <v>1723</v>
      </c>
      <c r="BD352" t="s">
        <v>1706</v>
      </c>
      <c r="BE352" t="s">
        <v>1706</v>
      </c>
      <c r="BF352" t="s">
        <v>1723</v>
      </c>
      <c r="BG352">
        <v>30</v>
      </c>
      <c r="BH352" s="12" t="s">
        <v>1709</v>
      </c>
      <c r="BI352" t="b">
        <v>0</v>
      </c>
      <c r="BJ352">
        <f t="shared" si="5"/>
        <v>0</v>
      </c>
    </row>
    <row r="353" spans="1:62" x14ac:dyDescent="0.2">
      <c r="A353" s="5" t="s">
        <v>75</v>
      </c>
      <c r="B353" s="6">
        <v>38471</v>
      </c>
      <c r="C353" s="7">
        <v>33.411911000000003</v>
      </c>
      <c r="D353" s="7">
        <v>-112.29218299999999</v>
      </c>
      <c r="E353" s="17">
        <v>293</v>
      </c>
      <c r="F353" t="s">
        <v>1703</v>
      </c>
      <c r="G353" s="11" t="s">
        <v>1730</v>
      </c>
      <c r="H353" t="s">
        <v>1705</v>
      </c>
      <c r="I353">
        <v>0</v>
      </c>
      <c r="J353" s="8">
        <v>11.482692037356811</v>
      </c>
      <c r="K353" s="8">
        <v>77.314018944621338</v>
      </c>
      <c r="L353" s="8">
        <v>11.203289018021849</v>
      </c>
      <c r="M353" s="8">
        <v>4.5572764304803561</v>
      </c>
      <c r="N353" s="8">
        <v>3.1836090505368415</v>
      </c>
      <c r="O353" s="8">
        <v>85.36944569190527</v>
      </c>
      <c r="P353" s="8">
        <v>323.08142881827331</v>
      </c>
      <c r="Q353" s="8">
        <v>23.773337832074798</v>
      </c>
      <c r="R353" s="8">
        <v>18.423791780240993</v>
      </c>
      <c r="S353" s="8">
        <v>1.5369999999999999</v>
      </c>
      <c r="T353" s="8">
        <v>1.52</v>
      </c>
      <c r="U353" s="8">
        <v>0.81200000000000006</v>
      </c>
      <c r="V353" s="8">
        <v>1.056</v>
      </c>
      <c r="W353" s="8">
        <v>0.72499999999999987</v>
      </c>
      <c r="X353" s="8">
        <v>0.46399999999999997</v>
      </c>
      <c r="Y353" s="8">
        <v>3.6529680365296837</v>
      </c>
      <c r="Z353" s="8">
        <v>3.9254170755642819</v>
      </c>
      <c r="AA353" s="8">
        <v>8</v>
      </c>
      <c r="AB353">
        <v>0.76300000000000001</v>
      </c>
      <c r="AC353" s="8">
        <v>5.9360730593607265</v>
      </c>
      <c r="AD353" s="8">
        <v>10.50049067713443</v>
      </c>
      <c r="AE353" s="8">
        <v>7.1999999999999995E-2</v>
      </c>
      <c r="AF353" s="8">
        <v>0.09</v>
      </c>
      <c r="AG353" s="8">
        <v>0.99140479145674276</v>
      </c>
      <c r="AH353" s="8">
        <v>21.347222222222221</v>
      </c>
      <c r="AI353" s="8">
        <v>21.111111111111114</v>
      </c>
      <c r="AJ353" t="s">
        <v>1694</v>
      </c>
      <c r="AK353" t="s">
        <v>1694</v>
      </c>
      <c r="AL353" t="s">
        <v>1694</v>
      </c>
      <c r="AM353" t="s">
        <v>1694</v>
      </c>
      <c r="AN353" t="s">
        <v>1694</v>
      </c>
      <c r="AO353" t="s">
        <v>1694</v>
      </c>
      <c r="AP353" t="s">
        <v>1702</v>
      </c>
      <c r="AQ353" t="s">
        <v>1725</v>
      </c>
      <c r="AR353" t="s">
        <v>1703</v>
      </c>
      <c r="AS353" t="s">
        <v>1702</v>
      </c>
      <c r="AT353" t="s">
        <v>1703</v>
      </c>
      <c r="AU353" t="s">
        <v>1706</v>
      </c>
      <c r="AV353" t="s">
        <v>1746</v>
      </c>
      <c r="AW353" t="s">
        <v>1706</v>
      </c>
      <c r="AX353" t="s">
        <v>1706</v>
      </c>
      <c r="AY353" t="s">
        <v>1746</v>
      </c>
      <c r="AZ353" t="s">
        <v>1706</v>
      </c>
      <c r="BA353" t="s">
        <v>1702</v>
      </c>
      <c r="BB353" t="s">
        <v>1706</v>
      </c>
      <c r="BC353" t="s">
        <v>1746</v>
      </c>
      <c r="BD353" t="s">
        <v>1706</v>
      </c>
      <c r="BE353" t="s">
        <v>1706</v>
      </c>
      <c r="BF353" t="s">
        <v>1746</v>
      </c>
      <c r="BG353">
        <v>50</v>
      </c>
      <c r="BH353" s="12" t="s">
        <v>1729</v>
      </c>
      <c r="BI353" t="b">
        <v>0</v>
      </c>
      <c r="BJ353">
        <f t="shared" si="5"/>
        <v>0</v>
      </c>
    </row>
    <row r="354" spans="1:62" x14ac:dyDescent="0.2">
      <c r="A354" s="5" t="s">
        <v>75</v>
      </c>
      <c r="B354" s="6">
        <v>40303</v>
      </c>
      <c r="C354" s="7">
        <v>33.411911000000003</v>
      </c>
      <c r="D354" s="7">
        <v>-112.29218299999999</v>
      </c>
      <c r="E354" s="17">
        <v>293</v>
      </c>
      <c r="F354" t="s">
        <v>1703</v>
      </c>
      <c r="G354" s="11" t="s">
        <v>1730</v>
      </c>
      <c r="H354" t="s">
        <v>1705</v>
      </c>
      <c r="I354">
        <v>0</v>
      </c>
      <c r="J354" s="8">
        <v>13.7013402545335</v>
      </c>
      <c r="K354" s="8">
        <v>65.906024170203054</v>
      </c>
      <c r="L354" s="8">
        <v>20.392635575263441</v>
      </c>
      <c r="M354" s="8">
        <v>2.8706232115414134</v>
      </c>
      <c r="N354" s="8">
        <v>1.3336717343423166</v>
      </c>
      <c r="O354" s="8">
        <v>251.17953100987359</v>
      </c>
      <c r="P354" s="8">
        <v>573.70236616959994</v>
      </c>
      <c r="Q354" s="8">
        <v>53.663631492305846</v>
      </c>
      <c r="R354" s="8">
        <v>72.482316451722113</v>
      </c>
      <c r="S354" s="8">
        <v>1.5389999999999999</v>
      </c>
      <c r="T354" s="8">
        <v>1.6439999999999999</v>
      </c>
      <c r="U354" s="8">
        <v>0.72499999999999998</v>
      </c>
      <c r="V354" s="8">
        <v>0.84899999999999998</v>
      </c>
      <c r="W354" s="8">
        <v>0.81399999999999995</v>
      </c>
      <c r="X354" s="8">
        <v>0.79499999999999993</v>
      </c>
      <c r="Y354" s="8">
        <v>3.9999999999999885</v>
      </c>
      <c r="Z354" s="8">
        <v>4.858299595141693</v>
      </c>
      <c r="AA354" s="8">
        <v>7.99</v>
      </c>
      <c r="AB354">
        <v>1.347</v>
      </c>
      <c r="AC354" s="8">
        <v>4.4137931034482794</v>
      </c>
      <c r="AD354" s="8">
        <v>9.3117408906882524</v>
      </c>
      <c r="AE354" s="8">
        <v>9.5000000000000001E-2</v>
      </c>
      <c r="AF354" s="8">
        <v>0.11799999999999999</v>
      </c>
      <c r="AG354" s="8">
        <v>1.3874263254169705</v>
      </c>
      <c r="AH354" s="8">
        <v>16.2</v>
      </c>
      <c r="AI354" s="8">
        <v>17.305263157894736</v>
      </c>
      <c r="AJ354" t="s">
        <v>1694</v>
      </c>
      <c r="AK354" t="s">
        <v>1694</v>
      </c>
      <c r="AL354" t="s">
        <v>1694</v>
      </c>
      <c r="AM354" t="s">
        <v>1694</v>
      </c>
      <c r="AN354" t="s">
        <v>1694</v>
      </c>
      <c r="AO354" t="s">
        <v>1694</v>
      </c>
      <c r="AP354" t="s">
        <v>1702</v>
      </c>
      <c r="AQ354" t="s">
        <v>1725</v>
      </c>
      <c r="AR354" t="s">
        <v>1703</v>
      </c>
      <c r="AS354" t="s">
        <v>1702</v>
      </c>
      <c r="AT354" t="s">
        <v>1703</v>
      </c>
      <c r="AU354" t="s">
        <v>1706</v>
      </c>
      <c r="AV354" t="s">
        <v>1746</v>
      </c>
      <c r="AW354" t="s">
        <v>1706</v>
      </c>
      <c r="AX354" t="s">
        <v>1706</v>
      </c>
      <c r="AY354" t="s">
        <v>1746</v>
      </c>
      <c r="AZ354" t="s">
        <v>1706</v>
      </c>
      <c r="BA354" t="s">
        <v>1702</v>
      </c>
      <c r="BB354" t="s">
        <v>1706</v>
      </c>
      <c r="BC354" t="s">
        <v>1746</v>
      </c>
      <c r="BD354" t="s">
        <v>1706</v>
      </c>
      <c r="BE354" t="s">
        <v>1706</v>
      </c>
      <c r="BF354" t="s">
        <v>1746</v>
      </c>
      <c r="BG354">
        <v>55</v>
      </c>
      <c r="BH354" s="12" t="s">
        <v>1729</v>
      </c>
      <c r="BI354" t="b">
        <v>0</v>
      </c>
      <c r="BJ354">
        <f t="shared" si="5"/>
        <v>0</v>
      </c>
    </row>
    <row r="355" spans="1:62" x14ac:dyDescent="0.2">
      <c r="A355" s="5" t="s">
        <v>873</v>
      </c>
      <c r="B355" s="6">
        <v>38484</v>
      </c>
      <c r="C355" s="7">
        <v>33.784005999999998</v>
      </c>
      <c r="D355" s="7">
        <v>-112.249989</v>
      </c>
      <c r="E355" s="17">
        <v>468</v>
      </c>
      <c r="F355" t="s">
        <v>1694</v>
      </c>
      <c r="G355" s="11" t="s">
        <v>1694</v>
      </c>
      <c r="H355" t="s">
        <v>1694</v>
      </c>
      <c r="I355">
        <v>0</v>
      </c>
      <c r="J355" s="8">
        <v>15.753783726227251</v>
      </c>
      <c r="K355" s="8">
        <v>56.988319988573423</v>
      </c>
      <c r="L355" s="8">
        <v>27.257896285199323</v>
      </c>
      <c r="M355" s="8">
        <v>1.8105856718951372</v>
      </c>
      <c r="N355" s="8">
        <v>1.2753649685149484</v>
      </c>
      <c r="O355" s="8">
        <v>3.017642786491896</v>
      </c>
      <c r="P355" s="8">
        <v>1.1903406372806187</v>
      </c>
      <c r="Q355" s="8">
        <v>14.168309352493104</v>
      </c>
      <c r="R355" s="8">
        <v>10.118829750195525</v>
      </c>
      <c r="S355" s="8">
        <v>1.196</v>
      </c>
      <c r="T355" s="8">
        <v>2.0910000000000002</v>
      </c>
      <c r="U355" s="8">
        <v>0.42499999999999999</v>
      </c>
      <c r="V355" s="8">
        <v>1.514</v>
      </c>
      <c r="W355" s="8">
        <v>0.77099999999999991</v>
      </c>
      <c r="X355" s="8">
        <v>0.57700000000000018</v>
      </c>
      <c r="Y355" s="8">
        <v>3.5763411279229684</v>
      </c>
      <c r="Z355" s="8">
        <v>3.0859049207672999</v>
      </c>
      <c r="AA355" s="8">
        <v>8.02</v>
      </c>
      <c r="AB355">
        <v>0.312</v>
      </c>
      <c r="AC355" s="8">
        <v>1.5130674002750955</v>
      </c>
      <c r="AD355" s="8">
        <v>4.1701417848206841</v>
      </c>
      <c r="AE355" s="8">
        <v>7.3999999999999996E-2</v>
      </c>
      <c r="AF355" s="8">
        <v>5.8999999999999997E-2</v>
      </c>
      <c r="AG355" s="8">
        <v>1.2542856541908276</v>
      </c>
      <c r="AH355" s="8">
        <v>16.162162162162161</v>
      </c>
      <c r="AI355" s="8">
        <v>28.256756756756761</v>
      </c>
      <c r="AJ355" t="s">
        <v>1694</v>
      </c>
      <c r="AK355" t="s">
        <v>1694</v>
      </c>
      <c r="AL355" t="s">
        <v>1694</v>
      </c>
      <c r="AM355" t="s">
        <v>1694</v>
      </c>
      <c r="AN355" t="s">
        <v>1694</v>
      </c>
      <c r="AO355" t="s">
        <v>1694</v>
      </c>
      <c r="AP355" t="s">
        <v>1695</v>
      </c>
      <c r="AQ355" t="s">
        <v>1694</v>
      </c>
      <c r="AR355" t="s">
        <v>1694</v>
      </c>
      <c r="AS355" t="s">
        <v>1694</v>
      </c>
      <c r="AT355" t="s">
        <v>1694</v>
      </c>
      <c r="AU355" t="s">
        <v>1695</v>
      </c>
      <c r="AV355" t="s">
        <v>1694</v>
      </c>
      <c r="AW355" t="s">
        <v>1694</v>
      </c>
      <c r="AX355" t="s">
        <v>1695</v>
      </c>
      <c r="AY355" t="s">
        <v>1694</v>
      </c>
      <c r="AZ355" t="s">
        <v>1694</v>
      </c>
      <c r="BA355" t="s">
        <v>1694</v>
      </c>
      <c r="BB355" t="s">
        <v>1695</v>
      </c>
      <c r="BC355" t="s">
        <v>1694</v>
      </c>
      <c r="BD355" t="s">
        <v>1694</v>
      </c>
      <c r="BE355" t="s">
        <v>1695</v>
      </c>
      <c r="BF355" t="s">
        <v>1694</v>
      </c>
      <c r="BG355" t="s">
        <v>1697</v>
      </c>
      <c r="BH355" t="s">
        <v>1698</v>
      </c>
      <c r="BI355" t="b">
        <v>0</v>
      </c>
      <c r="BJ355">
        <f t="shared" si="5"/>
        <v>0</v>
      </c>
    </row>
    <row r="356" spans="1:62" x14ac:dyDescent="0.2">
      <c r="A356" s="5" t="s">
        <v>873</v>
      </c>
      <c r="B356" s="6">
        <v>40254</v>
      </c>
      <c r="C356" s="7">
        <v>33.784005999999998</v>
      </c>
      <c r="D356" s="7">
        <v>-112.249989</v>
      </c>
      <c r="E356" s="17">
        <v>468</v>
      </c>
      <c r="F356" t="s">
        <v>1694</v>
      </c>
      <c r="G356" s="11" t="s">
        <v>1694</v>
      </c>
      <c r="H356" t="s">
        <v>1694</v>
      </c>
      <c r="I356">
        <v>0</v>
      </c>
      <c r="J356" s="8">
        <v>16.185433297826712</v>
      </c>
      <c r="K356" s="8">
        <v>45.661151920351195</v>
      </c>
      <c r="L356" s="8">
        <v>38.153414781822093</v>
      </c>
      <c r="M356" s="8">
        <v>5.0000000000000001E-3</v>
      </c>
      <c r="N356" s="8">
        <v>1.1899990931985813</v>
      </c>
      <c r="O356" s="8">
        <v>7.6478063543240911</v>
      </c>
      <c r="P356" s="8">
        <v>0.70789689646684828</v>
      </c>
      <c r="Q356" s="8">
        <v>14.633845696369029</v>
      </c>
      <c r="R356" s="8">
        <v>11.099346380801514</v>
      </c>
      <c r="S356" s="8">
        <v>1.4410000000000001</v>
      </c>
      <c r="T356" s="8">
        <v>5.0979999999999999</v>
      </c>
      <c r="U356" s="8">
        <v>0.86399999999999999</v>
      </c>
      <c r="V356" s="8">
        <v>3.56</v>
      </c>
      <c r="W356" s="8">
        <v>0.57700000000000007</v>
      </c>
      <c r="X356" s="8">
        <v>1.5379999999999998</v>
      </c>
      <c r="Y356" s="8">
        <v>3.734439834024915</v>
      </c>
      <c r="Z356" s="8">
        <v>4.1860465116279011</v>
      </c>
      <c r="AA356" s="8">
        <v>8.35</v>
      </c>
      <c r="AB356">
        <v>0.24</v>
      </c>
      <c r="AC356" s="8">
        <v>9.1286307053941922</v>
      </c>
      <c r="AD356" s="8">
        <v>11.782945736434106</v>
      </c>
      <c r="AE356" s="8">
        <v>5.7000000000000002E-2</v>
      </c>
      <c r="AF356" s="8">
        <v>5.5E-2</v>
      </c>
      <c r="AG356" s="8">
        <v>1.3566008497663449</v>
      </c>
      <c r="AH356" s="8">
        <v>25.280701754385966</v>
      </c>
      <c r="AI356" s="8">
        <v>89.438596491228068</v>
      </c>
      <c r="AJ356" t="s">
        <v>1694</v>
      </c>
      <c r="AK356" t="s">
        <v>1694</v>
      </c>
      <c r="AL356" t="s">
        <v>1694</v>
      </c>
      <c r="AM356" t="s">
        <v>1694</v>
      </c>
      <c r="AN356" t="s">
        <v>1694</v>
      </c>
      <c r="AO356" t="s">
        <v>1694</v>
      </c>
      <c r="AP356" t="s">
        <v>1695</v>
      </c>
      <c r="AQ356" t="s">
        <v>1694</v>
      </c>
      <c r="AR356" t="s">
        <v>1694</v>
      </c>
      <c r="AS356" t="s">
        <v>1694</v>
      </c>
      <c r="AT356" t="s">
        <v>1694</v>
      </c>
      <c r="AU356" t="s">
        <v>1695</v>
      </c>
      <c r="AV356" t="s">
        <v>1694</v>
      </c>
      <c r="AW356" t="s">
        <v>1694</v>
      </c>
      <c r="AX356" t="s">
        <v>1695</v>
      </c>
      <c r="AY356" t="s">
        <v>1694</v>
      </c>
      <c r="AZ356" t="s">
        <v>1694</v>
      </c>
      <c r="BA356" t="s">
        <v>1694</v>
      </c>
      <c r="BB356" t="s">
        <v>1695</v>
      </c>
      <c r="BC356" t="s">
        <v>1694</v>
      </c>
      <c r="BD356" t="s">
        <v>1694</v>
      </c>
      <c r="BE356" t="s">
        <v>1695</v>
      </c>
      <c r="BF356" t="s">
        <v>1694</v>
      </c>
      <c r="BG356" t="s">
        <v>1697</v>
      </c>
      <c r="BH356" t="s">
        <v>1698</v>
      </c>
      <c r="BI356" t="b">
        <v>0</v>
      </c>
      <c r="BJ356">
        <f t="shared" si="5"/>
        <v>0</v>
      </c>
    </row>
    <row r="357" spans="1:62" x14ac:dyDescent="0.2">
      <c r="A357" s="5" t="s">
        <v>873</v>
      </c>
      <c r="B357" s="6">
        <v>42065</v>
      </c>
      <c r="C357" s="7">
        <v>33.784005999999998</v>
      </c>
      <c r="D357" s="7">
        <v>-112.249989</v>
      </c>
      <c r="E357" s="17">
        <v>468</v>
      </c>
      <c r="F357" t="s">
        <v>1697</v>
      </c>
      <c r="G357" t="s">
        <v>1697</v>
      </c>
      <c r="H357" t="s">
        <v>1697</v>
      </c>
      <c r="I357" t="s">
        <v>1697</v>
      </c>
      <c r="J357">
        <v>6.2944808975188096</v>
      </c>
      <c r="K357">
        <v>58.673352560646101</v>
      </c>
      <c r="L357">
        <v>35.032166541835103</v>
      </c>
      <c r="M357" t="s">
        <v>1697</v>
      </c>
      <c r="N357" t="s">
        <v>1697</v>
      </c>
      <c r="O357" t="s">
        <v>1697</v>
      </c>
      <c r="P357" t="s">
        <v>1697</v>
      </c>
      <c r="Q357" t="s">
        <v>1697</v>
      </c>
      <c r="R357" t="s">
        <v>1697</v>
      </c>
      <c r="S357" t="s">
        <v>1697</v>
      </c>
      <c r="T357" t="s">
        <v>1697</v>
      </c>
      <c r="U357" t="s">
        <v>1697</v>
      </c>
      <c r="V357" t="s">
        <v>1697</v>
      </c>
      <c r="W357" t="s">
        <v>1697</v>
      </c>
      <c r="X357" t="s">
        <v>1697</v>
      </c>
      <c r="Y357" t="s">
        <v>1697</v>
      </c>
      <c r="Z357" t="s">
        <v>1697</v>
      </c>
      <c r="AA357">
        <v>8.2799999999999994</v>
      </c>
      <c r="AB357">
        <v>0.27100000000000002</v>
      </c>
      <c r="AC357" t="s">
        <v>1697</v>
      </c>
      <c r="AD357" t="s">
        <v>1697</v>
      </c>
      <c r="AE357" t="s">
        <v>1697</v>
      </c>
      <c r="AF357" t="s">
        <v>1697</v>
      </c>
      <c r="AG357">
        <v>1.4539712531965463</v>
      </c>
      <c r="AH357" t="s">
        <v>1697</v>
      </c>
      <c r="AI357" t="s">
        <v>1697</v>
      </c>
      <c r="AJ357" t="s">
        <v>1694</v>
      </c>
      <c r="AK357" t="s">
        <v>1694</v>
      </c>
      <c r="AL357" t="s">
        <v>1694</v>
      </c>
      <c r="AM357" t="s">
        <v>1694</v>
      </c>
      <c r="AN357" t="s">
        <v>1694</v>
      </c>
      <c r="AO357" t="s">
        <v>1694</v>
      </c>
      <c r="AP357" t="s">
        <v>1697</v>
      </c>
      <c r="AQ357" t="s">
        <v>1697</v>
      </c>
      <c r="AR357" t="s">
        <v>1694</v>
      </c>
      <c r="AS357" t="s">
        <v>1694</v>
      </c>
      <c r="AT357" t="s">
        <v>1694</v>
      </c>
      <c r="AU357" t="s">
        <v>1697</v>
      </c>
      <c r="AV357" t="s">
        <v>1697</v>
      </c>
      <c r="AW357" t="s">
        <v>1694</v>
      </c>
      <c r="AX357" t="s">
        <v>1695</v>
      </c>
      <c r="AY357" t="s">
        <v>1694</v>
      </c>
      <c r="AZ357" t="s">
        <v>1694</v>
      </c>
      <c r="BA357" t="s">
        <v>1694</v>
      </c>
      <c r="BB357" t="s">
        <v>1695</v>
      </c>
      <c r="BC357" t="s">
        <v>1694</v>
      </c>
      <c r="BD357" t="s">
        <v>1694</v>
      </c>
      <c r="BE357" t="s">
        <v>1695</v>
      </c>
      <c r="BF357" t="s">
        <v>1694</v>
      </c>
      <c r="BG357" t="s">
        <v>1697</v>
      </c>
      <c r="BH357" t="s">
        <v>1698</v>
      </c>
      <c r="BI357" t="b">
        <v>0</v>
      </c>
      <c r="BJ357">
        <f t="shared" si="5"/>
        <v>0</v>
      </c>
    </row>
    <row r="358" spans="1:62" x14ac:dyDescent="0.2">
      <c r="A358" s="5" t="s">
        <v>874</v>
      </c>
      <c r="B358" s="6">
        <v>36644</v>
      </c>
      <c r="C358" s="7">
        <v>33.723700000000001</v>
      </c>
      <c r="D358" s="7">
        <v>-112.26244199999999</v>
      </c>
      <c r="E358" s="17">
        <v>426</v>
      </c>
      <c r="F358" t="s">
        <v>1700</v>
      </c>
      <c r="G358" s="8" t="s">
        <v>1694</v>
      </c>
      <c r="H358" t="s">
        <v>1700</v>
      </c>
      <c r="I358">
        <v>1</v>
      </c>
      <c r="J358" s="8">
        <v>22.151048253005566</v>
      </c>
      <c r="K358" s="8">
        <v>53.951913290217163</v>
      </c>
      <c r="L358" s="8">
        <v>23.897038456777267</v>
      </c>
      <c r="M358" s="8">
        <v>2.7832966501066769</v>
      </c>
      <c r="N358" s="8">
        <v>1.8611374398097769</v>
      </c>
      <c r="O358" s="8">
        <v>6.1513209374897109</v>
      </c>
      <c r="P358" s="8">
        <v>2.6411194559507205</v>
      </c>
      <c r="Q358" s="8">
        <v>16.876677700696167</v>
      </c>
      <c r="R358" s="8">
        <v>17.636326275695406</v>
      </c>
      <c r="S358" s="8">
        <v>1.887</v>
      </c>
      <c r="T358" s="8">
        <v>1.5960000000000001</v>
      </c>
      <c r="U358" s="8">
        <v>1.014</v>
      </c>
      <c r="V358" s="8">
        <v>1.0089999999999999</v>
      </c>
      <c r="W358" s="8">
        <v>0.873</v>
      </c>
      <c r="X358" s="8">
        <v>0.58699999999999997</v>
      </c>
      <c r="Y358" s="8">
        <v>2.28478</v>
      </c>
      <c r="Z358" s="8">
        <v>1.5309200000000001</v>
      </c>
      <c r="AA358" s="9">
        <v>8.19</v>
      </c>
      <c r="AB358" s="10">
        <v>0.46700000000000003</v>
      </c>
      <c r="AC358" s="8">
        <v>1.3714999999999999</v>
      </c>
      <c r="AD358" s="8">
        <v>2.0857999999999999</v>
      </c>
      <c r="AE358" s="8">
        <v>6.8000000000000005E-2</v>
      </c>
      <c r="AF358" s="8">
        <v>4.8000000000000001E-2</v>
      </c>
      <c r="AG358" s="8">
        <v>1.5578572999900582</v>
      </c>
      <c r="AH358" s="8">
        <v>27.749999999999996</v>
      </c>
      <c r="AI358" s="8">
        <v>23.470588235294116</v>
      </c>
      <c r="AJ358" t="s">
        <v>1694</v>
      </c>
      <c r="AK358" t="s">
        <v>1694</v>
      </c>
      <c r="AL358" t="s">
        <v>1694</v>
      </c>
      <c r="AM358" t="s">
        <v>1694</v>
      </c>
      <c r="AN358" t="s">
        <v>1694</v>
      </c>
      <c r="AO358" t="s">
        <v>1694</v>
      </c>
      <c r="AP358" t="s">
        <v>1695</v>
      </c>
      <c r="AQ358" t="s">
        <v>1694</v>
      </c>
      <c r="AR358" t="s">
        <v>1694</v>
      </c>
      <c r="AS358" t="s">
        <v>1694</v>
      </c>
      <c r="AT358" t="s">
        <v>1694</v>
      </c>
      <c r="AU358" t="s">
        <v>1695</v>
      </c>
      <c r="AV358" t="s">
        <v>1694</v>
      </c>
      <c r="AW358" t="s">
        <v>1694</v>
      </c>
      <c r="AX358" t="s">
        <v>1706</v>
      </c>
      <c r="AY358" t="s">
        <v>1746</v>
      </c>
      <c r="AZ358" t="s">
        <v>1706</v>
      </c>
      <c r="BA358" t="s">
        <v>1702</v>
      </c>
      <c r="BB358" t="s">
        <v>1706</v>
      </c>
      <c r="BC358" t="s">
        <v>1746</v>
      </c>
      <c r="BD358" t="s">
        <v>1706</v>
      </c>
      <c r="BE358" t="s">
        <v>1706</v>
      </c>
      <c r="BF358" t="s">
        <v>1746</v>
      </c>
      <c r="BG358" s="8">
        <v>20</v>
      </c>
      <c r="BH358" s="14" t="s">
        <v>1708</v>
      </c>
      <c r="BI358" t="b">
        <v>0</v>
      </c>
      <c r="BJ358">
        <f t="shared" si="5"/>
        <v>0</v>
      </c>
    </row>
    <row r="359" spans="1:62" x14ac:dyDescent="0.2">
      <c r="A359" s="5" t="s">
        <v>874</v>
      </c>
      <c r="B359" s="6">
        <v>38469</v>
      </c>
      <c r="C359" s="7">
        <v>33.723700000000001</v>
      </c>
      <c r="D359" s="7">
        <v>-112.26244199999999</v>
      </c>
      <c r="E359" s="17">
        <v>426</v>
      </c>
      <c r="F359" t="s">
        <v>1700</v>
      </c>
      <c r="G359" s="8" t="s">
        <v>1694</v>
      </c>
      <c r="H359" t="s">
        <v>1700</v>
      </c>
      <c r="I359">
        <v>1</v>
      </c>
      <c r="J359" s="8">
        <v>20.400714287810757</v>
      </c>
      <c r="K359" s="8">
        <v>55.357053751224733</v>
      </c>
      <c r="L359" s="8">
        <v>24.242231960964517</v>
      </c>
      <c r="M359" s="8">
        <v>1.3032201332524362</v>
      </c>
      <c r="N359" s="8">
        <v>1.5813650921209403</v>
      </c>
      <c r="O359" s="8">
        <v>4.0986273190789104</v>
      </c>
      <c r="P359" s="8">
        <v>0.46123148520194102</v>
      </c>
      <c r="Q359" s="8">
        <v>5.8403749373570841</v>
      </c>
      <c r="R359" s="8">
        <v>1.8357472047838452</v>
      </c>
      <c r="S359" s="8">
        <v>1.538</v>
      </c>
      <c r="T359" s="8">
        <v>1.6020000000000001</v>
      </c>
      <c r="U359" s="8">
        <v>1.0149999999999999</v>
      </c>
      <c r="V359" s="8">
        <v>1.377</v>
      </c>
      <c r="W359" s="8">
        <v>0.52300000000000013</v>
      </c>
      <c r="X359" s="8">
        <v>0.22500000000000009</v>
      </c>
      <c r="Y359" s="8">
        <v>2.9646522234891655</v>
      </c>
      <c r="Z359" s="8">
        <v>2.7777777777777888</v>
      </c>
      <c r="AA359" s="8">
        <v>7.84</v>
      </c>
      <c r="AB359">
        <v>0.3</v>
      </c>
      <c r="AC359" s="8">
        <v>4.6750285062713814</v>
      </c>
      <c r="AD359" s="8">
        <v>5.9523809523809419</v>
      </c>
      <c r="AE359" s="8">
        <v>4.2999999999999997E-2</v>
      </c>
      <c r="AF359" s="8">
        <v>1.4E-2</v>
      </c>
      <c r="AG359" s="8">
        <v>1.2371698040058809</v>
      </c>
      <c r="AH359" s="8">
        <v>35.767441860465119</v>
      </c>
      <c r="AI359" s="8">
        <v>37.255813953488378</v>
      </c>
      <c r="AJ359" t="s">
        <v>1694</v>
      </c>
      <c r="AK359" t="s">
        <v>1694</v>
      </c>
      <c r="AL359" t="s">
        <v>1694</v>
      </c>
      <c r="AM359" t="s">
        <v>1694</v>
      </c>
      <c r="AN359" t="s">
        <v>1694</v>
      </c>
      <c r="AO359" t="s">
        <v>1694</v>
      </c>
      <c r="AP359" t="s">
        <v>1695</v>
      </c>
      <c r="AQ359" t="s">
        <v>1694</v>
      </c>
      <c r="AR359" t="s">
        <v>1694</v>
      </c>
      <c r="AS359" t="s">
        <v>1694</v>
      </c>
      <c r="AT359" t="s">
        <v>1694</v>
      </c>
      <c r="AU359" t="s">
        <v>1695</v>
      </c>
      <c r="AV359" t="s">
        <v>1694</v>
      </c>
      <c r="AW359" t="s">
        <v>1694</v>
      </c>
      <c r="AX359" t="s">
        <v>1706</v>
      </c>
      <c r="AY359" t="s">
        <v>1746</v>
      </c>
      <c r="AZ359" t="s">
        <v>1706</v>
      </c>
      <c r="BA359" t="s">
        <v>1702</v>
      </c>
      <c r="BB359" t="s">
        <v>1706</v>
      </c>
      <c r="BC359" t="s">
        <v>1746</v>
      </c>
      <c r="BD359" t="s">
        <v>1706</v>
      </c>
      <c r="BE359" t="s">
        <v>1706</v>
      </c>
      <c r="BF359" t="s">
        <v>1746</v>
      </c>
      <c r="BG359" s="8">
        <v>25</v>
      </c>
      <c r="BH359" s="14" t="s">
        <v>1709</v>
      </c>
      <c r="BI359" t="b">
        <v>1</v>
      </c>
      <c r="BJ359">
        <f t="shared" si="5"/>
        <v>1</v>
      </c>
    </row>
    <row r="360" spans="1:62" x14ac:dyDescent="0.2">
      <c r="A360" s="5" t="s">
        <v>76</v>
      </c>
      <c r="B360" s="6">
        <v>38450</v>
      </c>
      <c r="C360" s="7">
        <v>33.611868999999999</v>
      </c>
      <c r="D360" s="7">
        <v>-112.233678</v>
      </c>
      <c r="E360" s="17">
        <v>357</v>
      </c>
      <c r="F360" t="s">
        <v>1703</v>
      </c>
      <c r="G360" s="11" t="s">
        <v>1738</v>
      </c>
      <c r="H360" t="s">
        <v>1725</v>
      </c>
      <c r="I360">
        <v>0</v>
      </c>
      <c r="J360" s="8">
        <v>19.36997961982895</v>
      </c>
      <c r="K360" s="8">
        <v>57.619699525838435</v>
      </c>
      <c r="L360" s="8">
        <v>23.010320854332619</v>
      </c>
      <c r="M360" s="8">
        <v>1.3782782183348354</v>
      </c>
      <c r="N360" s="8">
        <v>2.3936197264458556</v>
      </c>
      <c r="O360" s="8">
        <v>10.855581776789608</v>
      </c>
      <c r="P360" s="8">
        <v>3.4810069736026876</v>
      </c>
      <c r="Q360" s="8">
        <v>4.6663949149105886</v>
      </c>
      <c r="R360" s="8">
        <v>2.4113204437506655</v>
      </c>
      <c r="S360" s="8">
        <v>0.88</v>
      </c>
      <c r="T360" s="8">
        <v>0.78900000000000003</v>
      </c>
      <c r="U360" s="8">
        <v>0.218</v>
      </c>
      <c r="V360" s="8">
        <v>0.33500000000000002</v>
      </c>
      <c r="W360" s="8">
        <v>0.66200000000000003</v>
      </c>
      <c r="X360" s="8">
        <v>0.45400000000000001</v>
      </c>
      <c r="Y360" s="8">
        <v>3.4666666666666637</v>
      </c>
      <c r="Z360" s="8">
        <v>2.8025477707006226</v>
      </c>
      <c r="AA360" s="8">
        <v>8.17</v>
      </c>
      <c r="AB360">
        <v>0.23899999999999999</v>
      </c>
      <c r="AC360" s="8">
        <v>8.5333333333333421</v>
      </c>
      <c r="AD360" s="8">
        <v>12.866242038216559</v>
      </c>
      <c r="AE360" s="8">
        <v>6.9000000000000006E-2</v>
      </c>
      <c r="AF360" s="8">
        <v>5.3999999999999999E-2</v>
      </c>
      <c r="AG360" s="8">
        <v>1.2013834904997918</v>
      </c>
      <c r="AH360" s="8">
        <v>12.753623188405797</v>
      </c>
      <c r="AI360" s="8">
        <v>11.434782608695652</v>
      </c>
      <c r="AJ360" t="s">
        <v>1694</v>
      </c>
      <c r="AK360" t="s">
        <v>1694</v>
      </c>
      <c r="AL360" t="s">
        <v>1702</v>
      </c>
      <c r="AM360" t="s">
        <v>1703</v>
      </c>
      <c r="AN360" t="s">
        <v>1702</v>
      </c>
      <c r="AO360" t="s">
        <v>1703</v>
      </c>
      <c r="AP360" t="s">
        <v>1702</v>
      </c>
      <c r="AQ360" t="s">
        <v>1705</v>
      </c>
      <c r="AR360" t="s">
        <v>1703</v>
      </c>
      <c r="AS360" t="s">
        <v>1702</v>
      </c>
      <c r="AT360" t="s">
        <v>1703</v>
      </c>
      <c r="AU360" t="s">
        <v>1704</v>
      </c>
      <c r="AV360" t="s">
        <v>1725</v>
      </c>
      <c r="AW360" t="s">
        <v>1703</v>
      </c>
      <c r="AX360" t="s">
        <v>1704</v>
      </c>
      <c r="AY360" t="s">
        <v>1725</v>
      </c>
      <c r="AZ360" t="s">
        <v>1703</v>
      </c>
      <c r="BA360" t="s">
        <v>1702</v>
      </c>
      <c r="BB360" t="s">
        <v>1704</v>
      </c>
      <c r="BC360" t="s">
        <v>1725</v>
      </c>
      <c r="BD360" t="s">
        <v>1703</v>
      </c>
      <c r="BE360" t="s">
        <v>1704</v>
      </c>
      <c r="BF360" t="s">
        <v>1725</v>
      </c>
      <c r="BG360">
        <v>93</v>
      </c>
      <c r="BH360" s="12" t="s">
        <v>1713</v>
      </c>
      <c r="BI360" t="b">
        <v>0</v>
      </c>
      <c r="BJ360">
        <f t="shared" si="5"/>
        <v>0</v>
      </c>
    </row>
    <row r="361" spans="1:62" x14ac:dyDescent="0.2">
      <c r="A361" s="5" t="s">
        <v>76</v>
      </c>
      <c r="B361" s="6">
        <v>40235</v>
      </c>
      <c r="C361" s="7">
        <v>33.611868999999999</v>
      </c>
      <c r="D361" s="7">
        <v>-112.233678</v>
      </c>
      <c r="E361" s="17">
        <v>357</v>
      </c>
      <c r="F361" s="11" t="s">
        <v>1703</v>
      </c>
      <c r="G361" t="s">
        <v>1730</v>
      </c>
      <c r="H361" t="s">
        <v>1705</v>
      </c>
      <c r="I361">
        <v>0</v>
      </c>
      <c r="J361" s="8">
        <v>25.362683954660021</v>
      </c>
      <c r="K361" s="8">
        <v>45.065318431800108</v>
      </c>
      <c r="L361" s="8">
        <v>29.571997613539878</v>
      </c>
      <c r="M361" s="8">
        <v>5.0000000000000001E-3</v>
      </c>
      <c r="N361" s="8">
        <v>5.0000000000000001E-3</v>
      </c>
      <c r="O361" s="8">
        <v>15.760489875073405</v>
      </c>
      <c r="P361" s="8">
        <v>82.165281700244634</v>
      </c>
      <c r="Q361" s="8">
        <v>16.822830727101273</v>
      </c>
      <c r="R361" s="8">
        <v>7.9813481476102428</v>
      </c>
      <c r="S361" s="8">
        <v>0.83699999999999997</v>
      </c>
      <c r="T361" s="8">
        <v>0.80100000000000005</v>
      </c>
      <c r="U361" s="8">
        <v>0.34799999999999998</v>
      </c>
      <c r="V361" s="8">
        <v>0.44900000000000001</v>
      </c>
      <c r="W361" s="8">
        <v>0.48899999999999999</v>
      </c>
      <c r="X361" s="8">
        <v>0.35200000000000004</v>
      </c>
      <c r="Y361" s="8">
        <v>3.4732272069464574</v>
      </c>
      <c r="Z361" s="8">
        <v>3.2894736842105337</v>
      </c>
      <c r="AA361" s="8">
        <v>8.2899999999999991</v>
      </c>
      <c r="AB361">
        <v>0.32400000000000001</v>
      </c>
      <c r="AC361" s="8">
        <v>8.2489146164978333</v>
      </c>
      <c r="AD361" s="8">
        <v>10.307017543859642</v>
      </c>
      <c r="AE361" s="8">
        <v>5.3999999999999999E-2</v>
      </c>
      <c r="AF361" s="8">
        <v>6.3E-2</v>
      </c>
      <c r="AG361" s="8">
        <v>1.4762415254257688</v>
      </c>
      <c r="AH361" s="8">
        <v>15.5</v>
      </c>
      <c r="AI361" s="8">
        <v>14.833333333333334</v>
      </c>
      <c r="AJ361" t="s">
        <v>1694</v>
      </c>
      <c r="AK361" t="s">
        <v>1694</v>
      </c>
      <c r="AL361" t="s">
        <v>1702</v>
      </c>
      <c r="AM361" t="s">
        <v>1703</v>
      </c>
      <c r="AN361" t="s">
        <v>1702</v>
      </c>
      <c r="AO361" t="s">
        <v>1703</v>
      </c>
      <c r="AP361" t="s">
        <v>1702</v>
      </c>
      <c r="AQ361" t="s">
        <v>1705</v>
      </c>
      <c r="AR361" t="s">
        <v>1703</v>
      </c>
      <c r="AS361" t="s">
        <v>1702</v>
      </c>
      <c r="AT361" t="s">
        <v>1703</v>
      </c>
      <c r="AU361" t="s">
        <v>1704</v>
      </c>
      <c r="AV361" t="s">
        <v>1725</v>
      </c>
      <c r="AW361" t="s">
        <v>1703</v>
      </c>
      <c r="AX361" t="s">
        <v>1704</v>
      </c>
      <c r="AY361" t="s">
        <v>1725</v>
      </c>
      <c r="AZ361" t="s">
        <v>1703</v>
      </c>
      <c r="BA361" t="s">
        <v>1702</v>
      </c>
      <c r="BB361" t="s">
        <v>1704</v>
      </c>
      <c r="BC361" t="s">
        <v>1725</v>
      </c>
      <c r="BD361" t="s">
        <v>1703</v>
      </c>
      <c r="BE361" t="s">
        <v>1704</v>
      </c>
      <c r="BF361" t="s">
        <v>1725</v>
      </c>
      <c r="BG361">
        <v>98</v>
      </c>
      <c r="BH361" s="12" t="s">
        <v>1713</v>
      </c>
      <c r="BI361" t="b">
        <v>1</v>
      </c>
      <c r="BJ361">
        <f t="shared" si="5"/>
        <v>1</v>
      </c>
    </row>
    <row r="362" spans="1:62" x14ac:dyDescent="0.2">
      <c r="A362" s="5" t="s">
        <v>76</v>
      </c>
      <c r="B362" s="6">
        <v>42181</v>
      </c>
      <c r="C362" s="7">
        <v>33.611868999999999</v>
      </c>
      <c r="D362" s="7">
        <v>-112.233678</v>
      </c>
      <c r="E362" s="17">
        <v>357</v>
      </c>
      <c r="F362" t="s">
        <v>1711</v>
      </c>
      <c r="G362" t="s">
        <v>1711</v>
      </c>
      <c r="H362" t="s">
        <v>1711</v>
      </c>
      <c r="I362">
        <v>1</v>
      </c>
      <c r="J362">
        <v>21.220458034553602</v>
      </c>
      <c r="K362">
        <v>61.263312169212497</v>
      </c>
      <c r="L362">
        <v>17.516229796233901</v>
      </c>
      <c r="M362">
        <v>6.9601994850870001</v>
      </c>
      <c r="N362">
        <v>24.858986749276099</v>
      </c>
      <c r="O362">
        <v>153.16263152622801</v>
      </c>
      <c r="P362">
        <v>538.28514614574101</v>
      </c>
      <c r="Q362">
        <v>19.783947633499999</v>
      </c>
      <c r="R362">
        <v>2.5632630991407899</v>
      </c>
      <c r="S362">
        <v>1.274</v>
      </c>
      <c r="T362">
        <v>0.81299999999999994</v>
      </c>
      <c r="U362">
        <v>0.75600000000000001</v>
      </c>
      <c r="V362">
        <v>0.25600000000000001</v>
      </c>
      <c r="W362">
        <v>0.51800000000000002</v>
      </c>
      <c r="X362">
        <v>0.55700000000000005</v>
      </c>
      <c r="Y362">
        <v>2.9411764705882302</v>
      </c>
      <c r="Z362">
        <v>3.14685314685314</v>
      </c>
      <c r="AA362">
        <v>7.84</v>
      </c>
      <c r="AB362">
        <v>0.82899999999999996</v>
      </c>
      <c r="AC362">
        <v>2.7595269382391701</v>
      </c>
      <c r="AD362">
        <v>3.3018867924528199</v>
      </c>
      <c r="AE362">
        <v>0.113</v>
      </c>
      <c r="AF362">
        <v>8.5999999999999993E-2</v>
      </c>
      <c r="AG362">
        <v>1.5753194015940837</v>
      </c>
      <c r="AH362">
        <v>11.2743362831858</v>
      </c>
      <c r="AI362">
        <v>9.4534883720930196</v>
      </c>
      <c r="AJ362" t="s">
        <v>1694</v>
      </c>
      <c r="AK362" t="s">
        <v>1694</v>
      </c>
      <c r="AL362" t="s">
        <v>1702</v>
      </c>
      <c r="AM362" t="s">
        <v>1703</v>
      </c>
      <c r="AN362" t="s">
        <v>1702</v>
      </c>
      <c r="AO362" t="s">
        <v>1703</v>
      </c>
      <c r="AP362" t="s">
        <v>1702</v>
      </c>
      <c r="AQ362" t="s">
        <v>1705</v>
      </c>
      <c r="AR362" t="s">
        <v>1703</v>
      </c>
      <c r="AS362" t="s">
        <v>1702</v>
      </c>
      <c r="AT362" t="s">
        <v>1703</v>
      </c>
      <c r="AU362" t="s">
        <v>1704</v>
      </c>
      <c r="AV362" t="s">
        <v>1725</v>
      </c>
      <c r="AW362" t="s">
        <v>1703</v>
      </c>
      <c r="AX362" t="s">
        <v>1704</v>
      </c>
      <c r="AY362" t="s">
        <v>1725</v>
      </c>
      <c r="AZ362" t="s">
        <v>1703</v>
      </c>
      <c r="BA362" t="s">
        <v>1702</v>
      </c>
      <c r="BB362" t="s">
        <v>1704</v>
      </c>
      <c r="BC362" t="s">
        <v>1725</v>
      </c>
      <c r="BD362" t="s">
        <v>1703</v>
      </c>
      <c r="BE362" t="s">
        <v>1704</v>
      </c>
      <c r="BF362" t="s">
        <v>1725</v>
      </c>
      <c r="BG362">
        <v>103</v>
      </c>
      <c r="BH362" t="s">
        <v>1731</v>
      </c>
      <c r="BI362" t="b">
        <v>1</v>
      </c>
      <c r="BJ362">
        <f t="shared" si="5"/>
        <v>1</v>
      </c>
    </row>
    <row r="363" spans="1:62" x14ac:dyDescent="0.2">
      <c r="A363" s="5" t="s">
        <v>77</v>
      </c>
      <c r="B363" s="6">
        <v>38450</v>
      </c>
      <c r="C363" s="7">
        <v>33.595531000000001</v>
      </c>
      <c r="D363" s="7">
        <v>-112.23776700000001</v>
      </c>
      <c r="E363" s="17">
        <v>351</v>
      </c>
      <c r="F363" t="s">
        <v>1714</v>
      </c>
      <c r="G363" t="s">
        <v>1714</v>
      </c>
      <c r="H363" t="s">
        <v>1740</v>
      </c>
      <c r="I363">
        <v>1</v>
      </c>
      <c r="J363" s="8" t="s">
        <v>1697</v>
      </c>
      <c r="K363" s="8" t="s">
        <v>1697</v>
      </c>
      <c r="L363" s="8" t="s">
        <v>1697</v>
      </c>
      <c r="M363" s="8">
        <v>1.132268876896559</v>
      </c>
      <c r="N363" s="8">
        <v>2.0179829562052398</v>
      </c>
      <c r="O363" s="8">
        <v>27.91608915988466</v>
      </c>
      <c r="P363" s="8">
        <v>31.058592225958829</v>
      </c>
      <c r="Q363" s="8">
        <v>4.2812156539372372</v>
      </c>
      <c r="R363" s="8">
        <v>6.4612375956256969</v>
      </c>
      <c r="S363" s="8">
        <v>1.07</v>
      </c>
      <c r="T363" s="8">
        <v>1.01</v>
      </c>
      <c r="U363" s="8">
        <v>0.69</v>
      </c>
      <c r="V363" s="8">
        <v>0.84599999999999997</v>
      </c>
      <c r="W363" s="8">
        <v>0.38000000000000012</v>
      </c>
      <c r="X363" s="8">
        <v>0.16400000000000003</v>
      </c>
      <c r="Y363" s="8">
        <v>2.4806201550387614</v>
      </c>
      <c r="Z363" s="8">
        <v>2.6587887740029501</v>
      </c>
      <c r="AA363" s="8">
        <v>8.1199999999999992</v>
      </c>
      <c r="AB363">
        <v>0.25700000000000001</v>
      </c>
      <c r="AC363" s="8">
        <v>2.0155038759689767</v>
      </c>
      <c r="AD363" s="8">
        <v>10.192023633677984</v>
      </c>
      <c r="AE363" s="8">
        <v>2.7E-2</v>
      </c>
      <c r="AF363" s="8">
        <v>3.1E-2</v>
      </c>
      <c r="AG363" s="8">
        <v>1.1025779397463882</v>
      </c>
      <c r="AH363" s="8">
        <v>39.629629629629633</v>
      </c>
      <c r="AI363" s="8">
        <v>37.407407407407405</v>
      </c>
      <c r="AJ363" t="s">
        <v>1702</v>
      </c>
      <c r="AK363" t="s">
        <v>1703</v>
      </c>
      <c r="AL363" t="s">
        <v>1702</v>
      </c>
      <c r="AM363" t="s">
        <v>1703</v>
      </c>
      <c r="AN363" t="s">
        <v>1702</v>
      </c>
      <c r="AO363" t="s">
        <v>1703</v>
      </c>
      <c r="AP363" t="s">
        <v>1706</v>
      </c>
      <c r="AQ363" t="s">
        <v>1707</v>
      </c>
      <c r="AR363" t="s">
        <v>1706</v>
      </c>
      <c r="AS363" t="s">
        <v>1702</v>
      </c>
      <c r="AT363" t="s">
        <v>1703</v>
      </c>
      <c r="AU363" t="s">
        <v>1706</v>
      </c>
      <c r="AV363" t="s">
        <v>1707</v>
      </c>
      <c r="AW363" t="s">
        <v>1706</v>
      </c>
      <c r="AX363" t="s">
        <v>1695</v>
      </c>
      <c r="AY363" t="s">
        <v>1711</v>
      </c>
      <c r="AZ363" t="s">
        <v>1711</v>
      </c>
      <c r="BA363" t="s">
        <v>1700</v>
      </c>
      <c r="BB363" t="s">
        <v>1695</v>
      </c>
      <c r="BC363" t="s">
        <v>1711</v>
      </c>
      <c r="BD363" t="s">
        <v>1700</v>
      </c>
      <c r="BE363" t="s">
        <v>1695</v>
      </c>
      <c r="BF363" t="s">
        <v>1711</v>
      </c>
      <c r="BG363">
        <v>30</v>
      </c>
      <c r="BH363" s="12" t="s">
        <v>1709</v>
      </c>
      <c r="BI363" t="b">
        <v>0</v>
      </c>
      <c r="BJ363">
        <f t="shared" si="5"/>
        <v>0</v>
      </c>
    </row>
    <row r="364" spans="1:62" x14ac:dyDescent="0.2">
      <c r="A364" s="5" t="s">
        <v>77</v>
      </c>
      <c r="B364" s="6">
        <v>42073</v>
      </c>
      <c r="C364" s="7">
        <v>33.595531000000001</v>
      </c>
      <c r="D364" s="7">
        <v>-112.23776700000001</v>
      </c>
      <c r="E364" s="17">
        <v>351</v>
      </c>
      <c r="F364" t="s">
        <v>1714</v>
      </c>
      <c r="G364" t="s">
        <v>1714</v>
      </c>
      <c r="H364" t="s">
        <v>1740</v>
      </c>
      <c r="I364">
        <v>1</v>
      </c>
      <c r="J364" t="s">
        <v>1697</v>
      </c>
      <c r="K364" t="s">
        <v>1697</v>
      </c>
      <c r="L364" t="s">
        <v>1697</v>
      </c>
      <c r="M364" t="s">
        <v>1697</v>
      </c>
      <c r="N364" t="s">
        <v>1697</v>
      </c>
      <c r="O364" t="s">
        <v>1697</v>
      </c>
      <c r="P364" t="s">
        <v>1697</v>
      </c>
      <c r="Q364" t="s">
        <v>1697</v>
      </c>
      <c r="R364" t="s">
        <v>1697</v>
      </c>
      <c r="S364" t="s">
        <v>1697</v>
      </c>
      <c r="T364" t="s">
        <v>1697</v>
      </c>
      <c r="U364" t="s">
        <v>1697</v>
      </c>
      <c r="V364" t="s">
        <v>1697</v>
      </c>
      <c r="W364" t="s">
        <v>1697</v>
      </c>
      <c r="X364" t="s">
        <v>1697</v>
      </c>
      <c r="Y364" t="s">
        <v>1697</v>
      </c>
      <c r="Z364" t="s">
        <v>1697</v>
      </c>
      <c r="AA364" t="s">
        <v>1697</v>
      </c>
      <c r="AB364" t="s">
        <v>1697</v>
      </c>
      <c r="AC364" t="s">
        <v>1697</v>
      </c>
      <c r="AD364" t="s">
        <v>1697</v>
      </c>
      <c r="AE364" t="s">
        <v>1697</v>
      </c>
      <c r="AF364" t="s">
        <v>1697</v>
      </c>
      <c r="AG364" t="s">
        <v>1697</v>
      </c>
      <c r="AH364" t="s">
        <v>1697</v>
      </c>
      <c r="AI364" t="s">
        <v>1697</v>
      </c>
      <c r="AJ364" t="s">
        <v>1702</v>
      </c>
      <c r="AK364" t="s">
        <v>1703</v>
      </c>
      <c r="AL364" t="s">
        <v>1702</v>
      </c>
      <c r="AM364" t="s">
        <v>1703</v>
      </c>
      <c r="AN364" t="s">
        <v>1702</v>
      </c>
      <c r="AO364" t="s">
        <v>1703</v>
      </c>
      <c r="AP364" t="s">
        <v>1706</v>
      </c>
      <c r="AQ364" t="s">
        <v>1707</v>
      </c>
      <c r="AR364" t="s">
        <v>1706</v>
      </c>
      <c r="AS364" t="s">
        <v>1702</v>
      </c>
      <c r="AT364" t="s">
        <v>1703</v>
      </c>
      <c r="AU364" t="s">
        <v>1706</v>
      </c>
      <c r="AV364" t="s">
        <v>1707</v>
      </c>
      <c r="AW364" t="s">
        <v>1706</v>
      </c>
      <c r="AX364" t="s">
        <v>1695</v>
      </c>
      <c r="AY364" t="s">
        <v>1711</v>
      </c>
      <c r="AZ364" t="s">
        <v>1711</v>
      </c>
      <c r="BA364" t="s">
        <v>1700</v>
      </c>
      <c r="BB364" t="s">
        <v>1695</v>
      </c>
      <c r="BC364" t="s">
        <v>1711</v>
      </c>
      <c r="BD364" t="s">
        <v>1700</v>
      </c>
      <c r="BE364" t="s">
        <v>1695</v>
      </c>
      <c r="BF364" t="s">
        <v>1711</v>
      </c>
      <c r="BG364">
        <v>40</v>
      </c>
      <c r="BH364" s="12" t="s">
        <v>1709</v>
      </c>
      <c r="BI364" t="b">
        <v>0</v>
      </c>
      <c r="BJ364">
        <f t="shared" si="5"/>
        <v>0</v>
      </c>
    </row>
    <row r="365" spans="1:62" x14ac:dyDescent="0.2">
      <c r="A365" s="5" t="s">
        <v>78</v>
      </c>
      <c r="B365" s="6">
        <v>36606</v>
      </c>
      <c r="C365" s="7">
        <v>33.553916999999998</v>
      </c>
      <c r="D365" s="7">
        <v>-112.262011</v>
      </c>
      <c r="E365" s="17">
        <v>332</v>
      </c>
      <c r="F365" t="s">
        <v>1703</v>
      </c>
      <c r="G365" t="s">
        <v>1738</v>
      </c>
      <c r="H365" t="s">
        <v>1725</v>
      </c>
      <c r="I365">
        <v>0</v>
      </c>
      <c r="J365" s="8">
        <v>26.181902826087185</v>
      </c>
      <c r="K365" s="8">
        <v>54.26093138807277</v>
      </c>
      <c r="L365" s="8">
        <v>19.557165785840041</v>
      </c>
      <c r="M365" s="8">
        <v>3.8236741827416809</v>
      </c>
      <c r="N365" s="8">
        <v>2.9412946772209185</v>
      </c>
      <c r="O365" s="8">
        <v>2.9201924279460028</v>
      </c>
      <c r="P365" s="8">
        <v>2.6574894441757042</v>
      </c>
      <c r="Q365" s="8">
        <v>2.6284979492126253</v>
      </c>
      <c r="R365" s="8">
        <v>1.9580751892198833</v>
      </c>
      <c r="S365" s="8">
        <v>0.59699999999999998</v>
      </c>
      <c r="T365" s="8">
        <v>0.42199999999999999</v>
      </c>
      <c r="U365" s="8">
        <v>6.6000000000000003E-2</v>
      </c>
      <c r="V365" s="8">
        <v>7.1999999999999995E-2</v>
      </c>
      <c r="W365" s="8">
        <v>0.53100000000000003</v>
      </c>
      <c r="X365" s="8">
        <v>0.35</v>
      </c>
      <c r="Y365" s="8">
        <v>2.6621199999999998</v>
      </c>
      <c r="Z365" s="8">
        <v>2.194</v>
      </c>
      <c r="AA365" s="9">
        <v>8.39</v>
      </c>
      <c r="AB365" s="10">
        <v>0.40200000000000002</v>
      </c>
      <c r="AC365" s="8">
        <v>7.5983000000000001</v>
      </c>
      <c r="AD365" s="8">
        <v>9.8419899999999991</v>
      </c>
      <c r="AE365" s="8">
        <v>7.8E-2</v>
      </c>
      <c r="AF365" s="8">
        <v>5.8999999999999997E-2</v>
      </c>
      <c r="AG365" s="8">
        <v>1.4647048996871459</v>
      </c>
      <c r="AH365" s="8">
        <v>7.6538461538461533</v>
      </c>
      <c r="AI365" s="8">
        <v>5.4102564102564097</v>
      </c>
      <c r="AJ365" t="s">
        <v>1694</v>
      </c>
      <c r="AK365" t="s">
        <v>1694</v>
      </c>
      <c r="AL365" t="s">
        <v>1702</v>
      </c>
      <c r="AM365" t="s">
        <v>1703</v>
      </c>
      <c r="AN365" t="s">
        <v>1702</v>
      </c>
      <c r="AO365" t="s">
        <v>1703</v>
      </c>
      <c r="AP365" t="s">
        <v>1702</v>
      </c>
      <c r="AQ365" t="s">
        <v>1725</v>
      </c>
      <c r="AR365" t="s">
        <v>1703</v>
      </c>
      <c r="AS365" t="s">
        <v>1702</v>
      </c>
      <c r="AT365" t="s">
        <v>1703</v>
      </c>
      <c r="AU365" t="s">
        <v>1704</v>
      </c>
      <c r="AV365" t="s">
        <v>1725</v>
      </c>
      <c r="AW365" t="s">
        <v>1703</v>
      </c>
      <c r="AX365" t="s">
        <v>1704</v>
      </c>
      <c r="AY365" t="s">
        <v>1725</v>
      </c>
      <c r="AZ365" t="s">
        <v>1703</v>
      </c>
      <c r="BA365" t="s">
        <v>1702</v>
      </c>
      <c r="BB365" t="s">
        <v>1704</v>
      </c>
      <c r="BC365" t="s">
        <v>1725</v>
      </c>
      <c r="BD365" t="s">
        <v>1703</v>
      </c>
      <c r="BE365" t="s">
        <v>1704</v>
      </c>
      <c r="BF365" t="s">
        <v>1725</v>
      </c>
      <c r="BG365">
        <v>88</v>
      </c>
      <c r="BH365" s="12" t="s">
        <v>1713</v>
      </c>
      <c r="BI365" t="b">
        <v>0</v>
      </c>
      <c r="BJ365">
        <f t="shared" si="5"/>
        <v>0</v>
      </c>
    </row>
    <row r="366" spans="1:62" x14ac:dyDescent="0.2">
      <c r="A366" s="5" t="s">
        <v>79</v>
      </c>
      <c r="B366" s="6">
        <v>38456</v>
      </c>
      <c r="C366" s="7">
        <v>33.506486000000002</v>
      </c>
      <c r="D366" s="7">
        <v>-112.25693099999999</v>
      </c>
      <c r="E366" s="17">
        <v>321</v>
      </c>
      <c r="F366" t="s">
        <v>1706</v>
      </c>
      <c r="G366" t="s">
        <v>1724</v>
      </c>
      <c r="H366" t="s">
        <v>1724</v>
      </c>
      <c r="I366">
        <v>1</v>
      </c>
      <c r="J366" s="8">
        <v>18.277202138513452</v>
      </c>
      <c r="K366" s="8">
        <v>67.954199227299512</v>
      </c>
      <c r="L366" s="8">
        <v>13.768598634187043</v>
      </c>
      <c r="M366" s="8">
        <v>0.93632943340344288</v>
      </c>
      <c r="N366" s="8">
        <v>0.98754692476059658</v>
      </c>
      <c r="O366" s="8">
        <v>4.3935458028930778</v>
      </c>
      <c r="P366" s="8">
        <v>14.539729338398319</v>
      </c>
      <c r="Q366" s="8">
        <v>8.471723505414559</v>
      </c>
      <c r="R366" s="8">
        <v>9.8122489632501644</v>
      </c>
      <c r="S366" s="8">
        <v>0.82599999999999996</v>
      </c>
      <c r="T366" s="8">
        <v>0.91800000000000004</v>
      </c>
      <c r="U366" s="8">
        <v>0.34200000000000003</v>
      </c>
      <c r="V366" s="8">
        <v>0.38100000000000001</v>
      </c>
      <c r="W366" s="8">
        <v>0.48399999999999993</v>
      </c>
      <c r="X366" s="8">
        <v>0.53700000000000003</v>
      </c>
      <c r="Y366" s="8">
        <v>3.3041788143828943</v>
      </c>
      <c r="Z366" s="8">
        <v>4.2338709677419342</v>
      </c>
      <c r="AA366" s="8">
        <v>8.75</v>
      </c>
      <c r="AB366">
        <v>0.13</v>
      </c>
      <c r="AC366" s="8">
        <v>11.856171039844497</v>
      </c>
      <c r="AD366" s="8">
        <v>18.447580645161292</v>
      </c>
      <c r="AE366" s="8">
        <v>4.5999999999999999E-2</v>
      </c>
      <c r="AF366" s="8">
        <v>5.3999999999999999E-2</v>
      </c>
      <c r="AG366" s="8">
        <v>1.2810525203953771</v>
      </c>
      <c r="AH366" s="8">
        <v>17.956521739130434</v>
      </c>
      <c r="AI366" s="8">
        <v>19.956521739130437</v>
      </c>
      <c r="AJ366" t="s">
        <v>1702</v>
      </c>
      <c r="AK366" t="s">
        <v>1703</v>
      </c>
      <c r="AL366" t="s">
        <v>1702</v>
      </c>
      <c r="AM366" t="s">
        <v>1703</v>
      </c>
      <c r="AN366" t="s">
        <v>1702</v>
      </c>
      <c r="AO366" t="s">
        <v>1703</v>
      </c>
      <c r="AP366" t="s">
        <v>1702</v>
      </c>
      <c r="AQ366" t="s">
        <v>1725</v>
      </c>
      <c r="AR366" t="s">
        <v>1703</v>
      </c>
      <c r="AS366" t="s">
        <v>1702</v>
      </c>
      <c r="AT366" t="s">
        <v>1703</v>
      </c>
      <c r="AU366" t="s">
        <v>1704</v>
      </c>
      <c r="AV366" t="s">
        <v>1725</v>
      </c>
      <c r="AW366" t="s">
        <v>1703</v>
      </c>
      <c r="AX366" t="s">
        <v>1704</v>
      </c>
      <c r="AY366" t="s">
        <v>1725</v>
      </c>
      <c r="AZ366" t="s">
        <v>1703</v>
      </c>
      <c r="BA366" t="s">
        <v>1702</v>
      </c>
      <c r="BB366" t="s">
        <v>1704</v>
      </c>
      <c r="BC366" t="s">
        <v>1725</v>
      </c>
      <c r="BD366" t="s">
        <v>1703</v>
      </c>
      <c r="BE366" t="s">
        <v>1734</v>
      </c>
      <c r="BF366" t="s">
        <v>1734</v>
      </c>
      <c r="BG366">
        <v>5</v>
      </c>
      <c r="BH366" s="12" t="s">
        <v>1708</v>
      </c>
      <c r="BI366" t="b">
        <v>0</v>
      </c>
      <c r="BJ366">
        <f t="shared" si="5"/>
        <v>0</v>
      </c>
    </row>
    <row r="367" spans="1:62" x14ac:dyDescent="0.2">
      <c r="A367" s="5" t="s">
        <v>79</v>
      </c>
      <c r="B367" s="6">
        <v>40332</v>
      </c>
      <c r="C367" s="7">
        <v>33.506486000000002</v>
      </c>
      <c r="D367" s="7">
        <v>-112.25693099999999</v>
      </c>
      <c r="E367" s="17">
        <v>321</v>
      </c>
      <c r="F367" t="s">
        <v>1697</v>
      </c>
      <c r="G367" t="s">
        <v>1697</v>
      </c>
      <c r="H367" t="s">
        <v>1697</v>
      </c>
      <c r="I367" t="s">
        <v>1697</v>
      </c>
      <c r="J367" t="s">
        <v>1697</v>
      </c>
      <c r="K367" t="s">
        <v>1697</v>
      </c>
      <c r="L367" t="s">
        <v>1697</v>
      </c>
      <c r="M367" t="s">
        <v>1697</v>
      </c>
      <c r="N367" t="s">
        <v>1697</v>
      </c>
      <c r="O367" t="s">
        <v>1697</v>
      </c>
      <c r="P367" t="s">
        <v>1697</v>
      </c>
      <c r="Q367" t="s">
        <v>1697</v>
      </c>
      <c r="R367" t="s">
        <v>1697</v>
      </c>
      <c r="S367" t="s">
        <v>1697</v>
      </c>
      <c r="T367" t="s">
        <v>1697</v>
      </c>
      <c r="U367" t="s">
        <v>1697</v>
      </c>
      <c r="V367" t="s">
        <v>1697</v>
      </c>
      <c r="W367" t="s">
        <v>1697</v>
      </c>
      <c r="X367" t="s">
        <v>1697</v>
      </c>
      <c r="Y367" t="s">
        <v>1697</v>
      </c>
      <c r="Z367" t="s">
        <v>1697</v>
      </c>
      <c r="AA367" t="s">
        <v>1697</v>
      </c>
      <c r="AB367" t="s">
        <v>1697</v>
      </c>
      <c r="AC367" t="s">
        <v>1697</v>
      </c>
      <c r="AD367" t="s">
        <v>1697</v>
      </c>
      <c r="AE367" t="s">
        <v>1697</v>
      </c>
      <c r="AF367" t="s">
        <v>1697</v>
      </c>
      <c r="AG367" t="s">
        <v>1697</v>
      </c>
      <c r="AH367" t="s">
        <v>1697</v>
      </c>
      <c r="AI367" t="s">
        <v>1697</v>
      </c>
      <c r="AJ367" t="s">
        <v>1702</v>
      </c>
      <c r="AK367" t="s">
        <v>1703</v>
      </c>
      <c r="AL367" t="s">
        <v>1702</v>
      </c>
      <c r="AM367" t="s">
        <v>1703</v>
      </c>
      <c r="AN367" t="s">
        <v>1702</v>
      </c>
      <c r="AO367" t="s">
        <v>1703</v>
      </c>
      <c r="AP367" t="s">
        <v>1702</v>
      </c>
      <c r="AQ367" t="s">
        <v>1725</v>
      </c>
      <c r="AR367" t="s">
        <v>1703</v>
      </c>
      <c r="AS367" t="s">
        <v>1702</v>
      </c>
      <c r="AT367" t="s">
        <v>1703</v>
      </c>
      <c r="AU367" t="s">
        <v>1704</v>
      </c>
      <c r="AV367" t="s">
        <v>1725</v>
      </c>
      <c r="AW367" t="s">
        <v>1703</v>
      </c>
      <c r="AX367" t="s">
        <v>1704</v>
      </c>
      <c r="AY367" t="s">
        <v>1725</v>
      </c>
      <c r="AZ367" t="s">
        <v>1703</v>
      </c>
      <c r="BA367" t="s">
        <v>1702</v>
      </c>
      <c r="BB367" t="s">
        <v>1704</v>
      </c>
      <c r="BC367" t="s">
        <v>1725</v>
      </c>
      <c r="BD367" t="s">
        <v>1703</v>
      </c>
      <c r="BE367" t="s">
        <v>1734</v>
      </c>
      <c r="BF367" t="s">
        <v>1734</v>
      </c>
      <c r="BG367" s="6" t="s">
        <v>1697</v>
      </c>
      <c r="BH367" s="6" t="s">
        <v>1697</v>
      </c>
      <c r="BI367" t="b">
        <v>0</v>
      </c>
      <c r="BJ367">
        <f t="shared" si="5"/>
        <v>0</v>
      </c>
    </row>
    <row r="368" spans="1:62" x14ac:dyDescent="0.2">
      <c r="A368" s="5" t="s">
        <v>80</v>
      </c>
      <c r="B368" s="6">
        <v>38474</v>
      </c>
      <c r="C368" s="7">
        <v>33.478749999999998</v>
      </c>
      <c r="D368" s="7">
        <v>-112.262522</v>
      </c>
      <c r="E368" s="17">
        <v>314</v>
      </c>
      <c r="F368" t="s">
        <v>1700</v>
      </c>
      <c r="G368" t="s">
        <v>1736</v>
      </c>
      <c r="H368" t="s">
        <v>1737</v>
      </c>
      <c r="I368">
        <v>1</v>
      </c>
      <c r="J368" s="8">
        <v>23.27566939540581</v>
      </c>
      <c r="K368" s="8">
        <v>43.3903333587104</v>
      </c>
      <c r="L368" s="8">
        <v>33.333997245883793</v>
      </c>
      <c r="M368" s="8">
        <v>0.95916739221145331</v>
      </c>
      <c r="N368" s="8">
        <v>1.3480378859947466</v>
      </c>
      <c r="O368" s="8">
        <v>16.953283657337433</v>
      </c>
      <c r="P368" s="8">
        <v>99.502046459987227</v>
      </c>
      <c r="Q368" s="8">
        <v>51.110523243126607</v>
      </c>
      <c r="R368" s="8">
        <v>9.8074640401356934</v>
      </c>
      <c r="S368" s="8">
        <v>0.71399999999999997</v>
      </c>
      <c r="T368" s="8">
        <v>1.014</v>
      </c>
      <c r="U368" s="8">
        <v>0.30599999999999999</v>
      </c>
      <c r="V368" s="8">
        <v>0.437</v>
      </c>
      <c r="W368" s="8">
        <v>0.40799999999999997</v>
      </c>
      <c r="X368" s="8">
        <v>0.57699999999999996</v>
      </c>
      <c r="Y368" s="8">
        <v>3.4578146611341629</v>
      </c>
      <c r="Z368" s="8">
        <v>4.9382716049382642</v>
      </c>
      <c r="AA368" s="8">
        <v>8.52</v>
      </c>
      <c r="AB368">
        <v>0.42199999999999999</v>
      </c>
      <c r="AC368" s="8">
        <v>8.5753803596127138</v>
      </c>
      <c r="AD368" s="8">
        <v>13.991769547325122</v>
      </c>
      <c r="AE368" s="8">
        <v>2.9000000000000001E-2</v>
      </c>
      <c r="AF368" s="8">
        <v>7.1999999999999995E-2</v>
      </c>
      <c r="AG368" s="8">
        <v>1.4724238627761876</v>
      </c>
      <c r="AH368" s="8">
        <v>24.620689655172413</v>
      </c>
      <c r="AI368" s="8">
        <v>34.96551724137931</v>
      </c>
      <c r="AJ368" t="s">
        <v>1702</v>
      </c>
      <c r="AK368" t="s">
        <v>1703</v>
      </c>
      <c r="AL368" t="s">
        <v>1702</v>
      </c>
      <c r="AM368" t="s">
        <v>1703</v>
      </c>
      <c r="AN368" t="s">
        <v>1702</v>
      </c>
      <c r="AO368" t="s">
        <v>1703</v>
      </c>
      <c r="AP368" t="s">
        <v>1702</v>
      </c>
      <c r="AQ368" t="s">
        <v>1725</v>
      </c>
      <c r="AR368" t="s">
        <v>1703</v>
      </c>
      <c r="AS368" t="s">
        <v>1702</v>
      </c>
      <c r="AT368" t="s">
        <v>1703</v>
      </c>
      <c r="AU368" t="s">
        <v>1704</v>
      </c>
      <c r="AV368" t="s">
        <v>1725</v>
      </c>
      <c r="AW368" t="s">
        <v>1703</v>
      </c>
      <c r="AX368" t="s">
        <v>1704</v>
      </c>
      <c r="AY368" t="s">
        <v>1725</v>
      </c>
      <c r="AZ368" t="s">
        <v>1703</v>
      </c>
      <c r="BA368" t="s">
        <v>1702</v>
      </c>
      <c r="BB368" t="s">
        <v>1704</v>
      </c>
      <c r="BC368" t="s">
        <v>1725</v>
      </c>
      <c r="BD368" t="s">
        <v>1703</v>
      </c>
      <c r="BE368" t="s">
        <v>1704</v>
      </c>
      <c r="BF368" t="s">
        <v>1725</v>
      </c>
      <c r="BG368">
        <v>5</v>
      </c>
      <c r="BH368" s="12" t="s">
        <v>1708</v>
      </c>
      <c r="BI368" t="b">
        <v>0</v>
      </c>
      <c r="BJ368">
        <f t="shared" si="5"/>
        <v>0</v>
      </c>
    </row>
    <row r="369" spans="1:62" x14ac:dyDescent="0.2">
      <c r="A369" s="5" t="s">
        <v>80</v>
      </c>
      <c r="B369" s="6">
        <v>40303</v>
      </c>
      <c r="C369" s="7">
        <v>33.478749999999998</v>
      </c>
      <c r="D369" s="7">
        <v>-112.262522</v>
      </c>
      <c r="E369" s="17">
        <v>314</v>
      </c>
      <c r="F369" t="s">
        <v>1700</v>
      </c>
      <c r="G369" t="s">
        <v>1736</v>
      </c>
      <c r="H369" t="s">
        <v>1737</v>
      </c>
      <c r="I369">
        <v>1</v>
      </c>
      <c r="J369" s="8">
        <v>23.705877656131531</v>
      </c>
      <c r="K369" s="8">
        <v>42.236312219398336</v>
      </c>
      <c r="L369" s="8">
        <v>34.057810124470137</v>
      </c>
      <c r="M369" s="8">
        <v>0.91116849357675367</v>
      </c>
      <c r="N369" s="8">
        <v>5.0000000000000001E-3</v>
      </c>
      <c r="O369" s="8">
        <v>25.377868628910612</v>
      </c>
      <c r="P369" s="8">
        <v>152.99354666053964</v>
      </c>
      <c r="Q369" s="8">
        <v>12.312461869977566</v>
      </c>
      <c r="R369" s="8">
        <v>18.046257208507264</v>
      </c>
      <c r="S369" s="8">
        <v>0.74399999999999999</v>
      </c>
      <c r="T369" s="8">
        <v>0.95099999999999996</v>
      </c>
      <c r="U369" s="8">
        <v>0.64400000000000002</v>
      </c>
      <c r="V369" s="8">
        <v>0.71099999999999997</v>
      </c>
      <c r="W369" s="8">
        <v>9.9999999999999978E-2</v>
      </c>
      <c r="X369" s="8">
        <v>0.24</v>
      </c>
      <c r="Y369" s="8">
        <v>2.8846153846153797</v>
      </c>
      <c r="Z369" s="8">
        <v>4.7814207650273177</v>
      </c>
      <c r="AA369" s="8">
        <v>8.1999999999999993</v>
      </c>
      <c r="AB369">
        <v>0.75</v>
      </c>
      <c r="AC369" s="8">
        <v>3.2051282051281937</v>
      </c>
      <c r="AD369" s="8">
        <v>10.928961748633888</v>
      </c>
      <c r="AE369" s="8">
        <v>2.7E-2</v>
      </c>
      <c r="AF369" s="8">
        <v>0.06</v>
      </c>
      <c r="AG369" s="8">
        <v>1.8144618846478671</v>
      </c>
      <c r="AH369" s="8">
        <v>27.555555555555557</v>
      </c>
      <c r="AI369" s="8">
        <v>35.222222222222221</v>
      </c>
      <c r="AJ369" t="s">
        <v>1702</v>
      </c>
      <c r="AK369" t="s">
        <v>1703</v>
      </c>
      <c r="AL369" t="s">
        <v>1702</v>
      </c>
      <c r="AM369" t="s">
        <v>1703</v>
      </c>
      <c r="AN369" t="s">
        <v>1702</v>
      </c>
      <c r="AO369" t="s">
        <v>1703</v>
      </c>
      <c r="AP369" t="s">
        <v>1702</v>
      </c>
      <c r="AQ369" t="s">
        <v>1725</v>
      </c>
      <c r="AR369" t="s">
        <v>1703</v>
      </c>
      <c r="AS369" t="s">
        <v>1702</v>
      </c>
      <c r="AT369" t="s">
        <v>1703</v>
      </c>
      <c r="AU369" t="s">
        <v>1704</v>
      </c>
      <c r="AV369" t="s">
        <v>1725</v>
      </c>
      <c r="AW369" t="s">
        <v>1703</v>
      </c>
      <c r="AX369" t="s">
        <v>1704</v>
      </c>
      <c r="AY369" t="s">
        <v>1725</v>
      </c>
      <c r="AZ369" t="s">
        <v>1703</v>
      </c>
      <c r="BA369" t="s">
        <v>1702</v>
      </c>
      <c r="BB369" t="s">
        <v>1704</v>
      </c>
      <c r="BC369" t="s">
        <v>1725</v>
      </c>
      <c r="BD369" t="s">
        <v>1703</v>
      </c>
      <c r="BE369" t="s">
        <v>1704</v>
      </c>
      <c r="BF369" t="s">
        <v>1725</v>
      </c>
      <c r="BG369">
        <v>10</v>
      </c>
      <c r="BH369" s="12" t="s">
        <v>1708</v>
      </c>
      <c r="BI369" t="b">
        <v>0</v>
      </c>
      <c r="BJ369">
        <f t="shared" si="5"/>
        <v>0</v>
      </c>
    </row>
    <row r="370" spans="1:62" x14ac:dyDescent="0.2">
      <c r="A370" s="5" t="s">
        <v>80</v>
      </c>
      <c r="B370" s="6">
        <v>42073</v>
      </c>
      <c r="C370" s="7">
        <v>33.478749999999998</v>
      </c>
      <c r="D370" s="7">
        <v>-112.262522</v>
      </c>
      <c r="E370" s="17">
        <v>314</v>
      </c>
      <c r="F370" t="s">
        <v>1700</v>
      </c>
      <c r="G370" t="s">
        <v>1736</v>
      </c>
      <c r="H370" t="s">
        <v>1737</v>
      </c>
      <c r="I370">
        <v>1</v>
      </c>
      <c r="J370" t="s">
        <v>1697</v>
      </c>
      <c r="K370" t="s">
        <v>1697</v>
      </c>
      <c r="L370" t="s">
        <v>1697</v>
      </c>
      <c r="M370" t="s">
        <v>1697</v>
      </c>
      <c r="N370" t="s">
        <v>1697</v>
      </c>
      <c r="O370" t="s">
        <v>1697</v>
      </c>
      <c r="P370" t="s">
        <v>1697</v>
      </c>
      <c r="Q370" t="s">
        <v>1697</v>
      </c>
      <c r="R370" t="s">
        <v>1697</v>
      </c>
      <c r="S370">
        <v>0.80100000000000005</v>
      </c>
      <c r="T370">
        <v>1.125</v>
      </c>
      <c r="U370">
        <v>0.36099999999999999</v>
      </c>
      <c r="V370">
        <v>1.095</v>
      </c>
      <c r="W370">
        <v>0.44</v>
      </c>
      <c r="X370">
        <v>0.03</v>
      </c>
      <c r="Y370">
        <v>2.0667726550079499</v>
      </c>
      <c r="Z370">
        <v>2.0900321543408298</v>
      </c>
      <c r="AA370" t="s">
        <v>1697</v>
      </c>
      <c r="AB370" t="s">
        <v>1697</v>
      </c>
      <c r="AC370">
        <v>3.7313432835820999</v>
      </c>
      <c r="AD370">
        <v>4.0302267002518901</v>
      </c>
      <c r="AE370">
        <v>4.8000000000000001E-2</v>
      </c>
      <c r="AF370">
        <v>3.6999999999999998E-2</v>
      </c>
      <c r="AG370" t="s">
        <v>1697</v>
      </c>
      <c r="AH370">
        <v>16.6875</v>
      </c>
      <c r="AI370">
        <v>30.4054054054054</v>
      </c>
      <c r="AJ370" t="s">
        <v>1702</v>
      </c>
      <c r="AK370" t="s">
        <v>1703</v>
      </c>
      <c r="AL370" t="s">
        <v>1702</v>
      </c>
      <c r="AM370" t="s">
        <v>1703</v>
      </c>
      <c r="AN370" t="s">
        <v>1702</v>
      </c>
      <c r="AO370" t="s">
        <v>1703</v>
      </c>
      <c r="AP370" t="s">
        <v>1702</v>
      </c>
      <c r="AQ370" t="s">
        <v>1725</v>
      </c>
      <c r="AR370" t="s">
        <v>1703</v>
      </c>
      <c r="AS370" t="s">
        <v>1702</v>
      </c>
      <c r="AT370" t="s">
        <v>1703</v>
      </c>
      <c r="AU370" t="s">
        <v>1704</v>
      </c>
      <c r="AV370" t="s">
        <v>1725</v>
      </c>
      <c r="AW370" t="s">
        <v>1703</v>
      </c>
      <c r="AX370" t="s">
        <v>1704</v>
      </c>
      <c r="AY370" t="s">
        <v>1725</v>
      </c>
      <c r="AZ370" t="s">
        <v>1703</v>
      </c>
      <c r="BA370" t="s">
        <v>1702</v>
      </c>
      <c r="BB370" t="s">
        <v>1704</v>
      </c>
      <c r="BC370" t="s">
        <v>1725</v>
      </c>
      <c r="BD370" t="s">
        <v>1703</v>
      </c>
      <c r="BE370" t="s">
        <v>1704</v>
      </c>
      <c r="BF370" t="s">
        <v>1725</v>
      </c>
      <c r="BG370">
        <v>15</v>
      </c>
      <c r="BH370" t="s">
        <v>1708</v>
      </c>
      <c r="BI370" t="b">
        <v>0</v>
      </c>
      <c r="BJ370">
        <f t="shared" si="5"/>
        <v>0</v>
      </c>
    </row>
    <row r="371" spans="1:62" x14ac:dyDescent="0.2">
      <c r="A371" s="5" t="s">
        <v>875</v>
      </c>
      <c r="B371" s="6">
        <v>38484</v>
      </c>
      <c r="C371" s="7">
        <v>33.802157999999999</v>
      </c>
      <c r="D371" s="7">
        <v>-112.228711</v>
      </c>
      <c r="E371" s="17">
        <v>478</v>
      </c>
      <c r="F371" t="s">
        <v>1694</v>
      </c>
      <c r="G371" t="s">
        <v>1694</v>
      </c>
      <c r="H371" t="s">
        <v>1694</v>
      </c>
      <c r="I371">
        <v>0</v>
      </c>
      <c r="J371" s="8">
        <v>17.715640231235753</v>
      </c>
      <c r="K371" s="8">
        <v>39.742399518485072</v>
      </c>
      <c r="L371" s="8">
        <v>42.541960250279175</v>
      </c>
      <c r="M371" s="8">
        <v>0.90200535231969947</v>
      </c>
      <c r="N371" s="8">
        <v>1.5361239647235174</v>
      </c>
      <c r="O371" s="8">
        <v>0.9200454593660935</v>
      </c>
      <c r="P371" s="8">
        <v>1.4685345102756828</v>
      </c>
      <c r="Q371" s="8">
        <v>9.9569845227585123</v>
      </c>
      <c r="R371" s="8">
        <v>5.0679109506596731</v>
      </c>
      <c r="S371" s="8">
        <v>0.71499999999999997</v>
      </c>
      <c r="T371" s="8">
        <v>0.69599999999999995</v>
      </c>
      <c r="U371" s="8">
        <v>7.3999999999999996E-2</v>
      </c>
      <c r="V371" s="8">
        <v>0.27900000000000003</v>
      </c>
      <c r="W371" s="8">
        <v>0.64100000000000001</v>
      </c>
      <c r="X371" s="8">
        <v>0.41699999999999993</v>
      </c>
      <c r="Y371" s="8">
        <v>3.6671368124118446</v>
      </c>
      <c r="Z371" s="8">
        <v>3.6231884057970891</v>
      </c>
      <c r="AA371" s="8">
        <v>8.15</v>
      </c>
      <c r="AB371">
        <v>0.48399999999999999</v>
      </c>
      <c r="AC371" s="8">
        <v>4.0902679830747664</v>
      </c>
      <c r="AD371" s="8">
        <v>8.3333333333333268</v>
      </c>
      <c r="AE371" s="8">
        <v>0.06</v>
      </c>
      <c r="AF371" s="8">
        <v>5.6000000000000001E-2</v>
      </c>
      <c r="AG371" s="8">
        <v>1.2357830541102488</v>
      </c>
      <c r="AH371" s="8">
        <v>11.916666666666666</v>
      </c>
      <c r="AI371" s="8">
        <v>11.6</v>
      </c>
      <c r="AJ371" t="s">
        <v>1694</v>
      </c>
      <c r="AK371" t="s">
        <v>1694</v>
      </c>
      <c r="AL371" t="s">
        <v>1694</v>
      </c>
      <c r="AM371" t="s">
        <v>1694</v>
      </c>
      <c r="AN371" t="s">
        <v>1694</v>
      </c>
      <c r="AO371" t="s">
        <v>1694</v>
      </c>
      <c r="AP371" t="s">
        <v>1695</v>
      </c>
      <c r="AQ371" t="s">
        <v>1694</v>
      </c>
      <c r="AR371" t="s">
        <v>1694</v>
      </c>
      <c r="AS371" t="s">
        <v>1694</v>
      </c>
      <c r="AT371" t="s">
        <v>1694</v>
      </c>
      <c r="AU371" t="s">
        <v>1695</v>
      </c>
      <c r="AV371" t="s">
        <v>1694</v>
      </c>
      <c r="AW371" t="s">
        <v>1694</v>
      </c>
      <c r="AX371" t="s">
        <v>1695</v>
      </c>
      <c r="AY371" t="s">
        <v>1694</v>
      </c>
      <c r="AZ371" t="s">
        <v>1694</v>
      </c>
      <c r="BA371" t="s">
        <v>1694</v>
      </c>
      <c r="BB371" t="s">
        <v>1695</v>
      </c>
      <c r="BC371" t="s">
        <v>1694</v>
      </c>
      <c r="BD371" t="s">
        <v>1694</v>
      </c>
      <c r="BE371" t="s">
        <v>1695</v>
      </c>
      <c r="BF371" t="s">
        <v>1694</v>
      </c>
      <c r="BG371" t="s">
        <v>1697</v>
      </c>
      <c r="BH371" t="s">
        <v>1698</v>
      </c>
      <c r="BI371" t="b">
        <v>1</v>
      </c>
      <c r="BJ371">
        <f t="shared" si="5"/>
        <v>1</v>
      </c>
    </row>
    <row r="372" spans="1:62" x14ac:dyDescent="0.2">
      <c r="A372" s="5" t="s">
        <v>875</v>
      </c>
      <c r="B372" s="6">
        <v>40234</v>
      </c>
      <c r="C372" s="7">
        <v>33.802157999999999</v>
      </c>
      <c r="D372" s="7">
        <v>-112.228711</v>
      </c>
      <c r="E372" s="17">
        <v>478</v>
      </c>
      <c r="F372" t="s">
        <v>1694</v>
      </c>
      <c r="G372" t="s">
        <v>1694</v>
      </c>
      <c r="H372" t="s">
        <v>1694</v>
      </c>
      <c r="I372">
        <v>1</v>
      </c>
      <c r="J372" s="8">
        <v>34.598904052351386</v>
      </c>
      <c r="K372" s="8">
        <v>25.23245700585619</v>
      </c>
      <c r="L372" s="8">
        <v>40.168638941792423</v>
      </c>
      <c r="M372" s="8">
        <v>5.0000000000000001E-3</v>
      </c>
      <c r="N372" s="8">
        <v>1.3280791899149544</v>
      </c>
      <c r="O372" s="8">
        <v>3.7339337009839677</v>
      </c>
      <c r="P372" s="8">
        <v>7.614320688845738</v>
      </c>
      <c r="Q372" s="8">
        <v>12.174987209658672</v>
      </c>
      <c r="R372" s="8">
        <v>7.110463269934364</v>
      </c>
      <c r="S372" s="8">
        <v>0.59299999999999997</v>
      </c>
      <c r="T372" s="8">
        <v>0.72899999999999998</v>
      </c>
      <c r="U372" s="8">
        <v>0.20399999999999999</v>
      </c>
      <c r="V372" s="8">
        <v>0.35099999999999998</v>
      </c>
      <c r="W372" s="8">
        <v>0.38900000000000001</v>
      </c>
      <c r="X372" s="8">
        <v>0.378</v>
      </c>
      <c r="Y372" s="8">
        <v>3.475513428120073</v>
      </c>
      <c r="Z372" s="8">
        <v>3.6096256684492158</v>
      </c>
      <c r="AA372" s="8">
        <v>8.23</v>
      </c>
      <c r="AB372">
        <v>0.49399999999999999</v>
      </c>
      <c r="AC372" s="8">
        <v>10.584518167456554</v>
      </c>
      <c r="AD372" s="8">
        <v>8.6898395721924935</v>
      </c>
      <c r="AE372" s="8">
        <v>2.4E-2</v>
      </c>
      <c r="AF372" s="8">
        <v>0.05</v>
      </c>
      <c r="AG372" s="8">
        <v>1.1002824465587668</v>
      </c>
      <c r="AH372" s="8">
        <v>24.708333333333332</v>
      </c>
      <c r="AI372" s="8">
        <v>30.375</v>
      </c>
      <c r="AJ372" t="s">
        <v>1694</v>
      </c>
      <c r="AK372" t="s">
        <v>1694</v>
      </c>
      <c r="AL372" t="s">
        <v>1694</v>
      </c>
      <c r="AM372" t="s">
        <v>1694</v>
      </c>
      <c r="AN372" t="s">
        <v>1694</v>
      </c>
      <c r="AO372" t="s">
        <v>1694</v>
      </c>
      <c r="AP372" t="s">
        <v>1695</v>
      </c>
      <c r="AQ372" t="s">
        <v>1694</v>
      </c>
      <c r="AR372" t="s">
        <v>1694</v>
      </c>
      <c r="AS372" t="s">
        <v>1694</v>
      </c>
      <c r="AT372" t="s">
        <v>1694</v>
      </c>
      <c r="AU372" t="s">
        <v>1695</v>
      </c>
      <c r="AV372" t="s">
        <v>1694</v>
      </c>
      <c r="AW372" t="s">
        <v>1694</v>
      </c>
      <c r="AX372" t="s">
        <v>1695</v>
      </c>
      <c r="AY372" t="s">
        <v>1694</v>
      </c>
      <c r="AZ372" t="s">
        <v>1694</v>
      </c>
      <c r="BA372" t="s">
        <v>1694</v>
      </c>
      <c r="BB372" t="s">
        <v>1695</v>
      </c>
      <c r="BC372" t="s">
        <v>1694</v>
      </c>
      <c r="BD372" t="s">
        <v>1694</v>
      </c>
      <c r="BE372" t="s">
        <v>1695</v>
      </c>
      <c r="BF372" t="s">
        <v>1694</v>
      </c>
      <c r="BG372" t="s">
        <v>1697</v>
      </c>
      <c r="BH372" t="s">
        <v>1698</v>
      </c>
      <c r="BI372" t="b">
        <v>0</v>
      </c>
      <c r="BJ372">
        <f t="shared" si="5"/>
        <v>0</v>
      </c>
    </row>
    <row r="373" spans="1:62" x14ac:dyDescent="0.2">
      <c r="A373" s="5" t="s">
        <v>875</v>
      </c>
      <c r="B373" s="6">
        <v>42124</v>
      </c>
      <c r="C373" s="7">
        <v>33.802157999999999</v>
      </c>
      <c r="D373" s="7">
        <v>-112.228711</v>
      </c>
      <c r="E373" s="17">
        <v>478</v>
      </c>
      <c r="F373" t="s">
        <v>1694</v>
      </c>
      <c r="G373" t="s">
        <v>1694</v>
      </c>
      <c r="H373" t="s">
        <v>1694</v>
      </c>
      <c r="I373">
        <v>0</v>
      </c>
      <c r="J373" t="s">
        <v>1697</v>
      </c>
      <c r="K373" t="s">
        <v>1697</v>
      </c>
      <c r="L373" t="s">
        <v>1697</v>
      </c>
      <c r="M373" t="s">
        <v>1697</v>
      </c>
      <c r="N373" t="s">
        <v>1697</v>
      </c>
      <c r="O373" t="s">
        <v>1697</v>
      </c>
      <c r="P373" t="s">
        <v>1697</v>
      </c>
      <c r="Q373" t="s">
        <v>1697</v>
      </c>
      <c r="R373" t="s">
        <v>1697</v>
      </c>
      <c r="S373">
        <v>0.70499999999999996</v>
      </c>
      <c r="T373">
        <v>0.69599999999999995</v>
      </c>
      <c r="U373">
        <v>0.23899999999999999</v>
      </c>
      <c r="V373">
        <v>0.35799999999999998</v>
      </c>
      <c r="W373">
        <v>0.46600000000000003</v>
      </c>
      <c r="X373">
        <v>0.33800000000000002</v>
      </c>
      <c r="Y373">
        <v>3.31632653061224</v>
      </c>
      <c r="Z373">
        <v>3.67393800229621</v>
      </c>
      <c r="AA373" t="s">
        <v>1697</v>
      </c>
      <c r="AB373" t="s">
        <v>1697</v>
      </c>
      <c r="AC373">
        <v>4.2704626334519604</v>
      </c>
      <c r="AD373">
        <v>5.3929121725731797</v>
      </c>
      <c r="AE373">
        <v>0.09</v>
      </c>
      <c r="AF373">
        <v>8.4000000000000005E-2</v>
      </c>
      <c r="AG373" t="s">
        <v>1697</v>
      </c>
      <c r="AH373">
        <v>7.8333333333333304</v>
      </c>
      <c r="AI373">
        <v>8.2857142857142794</v>
      </c>
      <c r="AJ373" t="s">
        <v>1694</v>
      </c>
      <c r="AK373" t="s">
        <v>1694</v>
      </c>
      <c r="AL373" t="s">
        <v>1694</v>
      </c>
      <c r="AM373" t="s">
        <v>1694</v>
      </c>
      <c r="AN373" t="s">
        <v>1694</v>
      </c>
      <c r="AO373" t="s">
        <v>1694</v>
      </c>
      <c r="AP373" t="s">
        <v>1697</v>
      </c>
      <c r="AQ373" t="s">
        <v>1697</v>
      </c>
      <c r="AR373" t="s">
        <v>1694</v>
      </c>
      <c r="AS373" t="s">
        <v>1694</v>
      </c>
      <c r="AT373" t="s">
        <v>1694</v>
      </c>
      <c r="AU373" t="s">
        <v>1695</v>
      </c>
      <c r="AV373" t="s">
        <v>1694</v>
      </c>
      <c r="AW373" t="s">
        <v>1694</v>
      </c>
      <c r="AX373" t="s">
        <v>1695</v>
      </c>
      <c r="AY373" t="s">
        <v>1694</v>
      </c>
      <c r="AZ373" t="s">
        <v>1694</v>
      </c>
      <c r="BA373" t="s">
        <v>1694</v>
      </c>
      <c r="BB373" t="s">
        <v>1695</v>
      </c>
      <c r="BC373" t="s">
        <v>1694</v>
      </c>
      <c r="BD373" t="s">
        <v>1694</v>
      </c>
      <c r="BE373" t="s">
        <v>1695</v>
      </c>
      <c r="BF373" t="s">
        <v>1694</v>
      </c>
      <c r="BG373" t="s">
        <v>1697</v>
      </c>
      <c r="BH373" t="s">
        <v>1698</v>
      </c>
      <c r="BI373" t="b">
        <v>0</v>
      </c>
      <c r="BJ373">
        <f t="shared" si="5"/>
        <v>0</v>
      </c>
    </row>
    <row r="374" spans="1:62" x14ac:dyDescent="0.2">
      <c r="A374" s="5" t="s">
        <v>81</v>
      </c>
      <c r="B374" s="6">
        <v>36627</v>
      </c>
      <c r="C374" s="7">
        <v>33.685014000000002</v>
      </c>
      <c r="D374" s="7">
        <v>-112.199478</v>
      </c>
      <c r="E374" s="17">
        <v>399</v>
      </c>
      <c r="F374" t="s">
        <v>1706</v>
      </c>
      <c r="G374" t="s">
        <v>1724</v>
      </c>
      <c r="H374" t="s">
        <v>1724</v>
      </c>
      <c r="I374">
        <v>1</v>
      </c>
      <c r="J374" s="8">
        <v>21.696134932346929</v>
      </c>
      <c r="K374" s="8">
        <v>34.572795886129271</v>
      </c>
      <c r="L374" s="8">
        <v>43.7310691815238</v>
      </c>
      <c r="M374" s="8">
        <v>5.6438415813519862</v>
      </c>
      <c r="N374" s="8">
        <v>4.3815870434181452</v>
      </c>
      <c r="O374" s="8">
        <v>0.72800349022120514</v>
      </c>
      <c r="P374" s="8">
        <v>0.25292598509189745</v>
      </c>
      <c r="Q374" s="8">
        <v>4.3734051530520288</v>
      </c>
      <c r="R374" s="8">
        <v>9.1784182195140342</v>
      </c>
      <c r="S374" s="8">
        <v>0.98599999999999999</v>
      </c>
      <c r="T374" s="8">
        <v>0.97299999999999998</v>
      </c>
      <c r="U374" s="8">
        <v>0.77</v>
      </c>
      <c r="V374" s="8">
        <v>0.79</v>
      </c>
      <c r="W374" s="8">
        <v>0.216</v>
      </c>
      <c r="X374" s="8">
        <v>0.183</v>
      </c>
      <c r="Y374" s="8">
        <v>2.2172900000000002</v>
      </c>
      <c r="Z374" s="8">
        <v>2.0087299999999999</v>
      </c>
      <c r="AA374" s="9">
        <v>8.6</v>
      </c>
      <c r="AB374" s="10">
        <v>0.38250000000000001</v>
      </c>
      <c r="AC374" s="8">
        <v>8.8028200000000005</v>
      </c>
      <c r="AD374" s="8">
        <v>10.14851</v>
      </c>
      <c r="AE374" s="8">
        <v>3.1E-2</v>
      </c>
      <c r="AF374" s="8">
        <v>3.4000000000000002E-2</v>
      </c>
      <c r="AG374" s="8">
        <v>1.2962973378846787</v>
      </c>
      <c r="AH374" s="8">
        <v>31.806451612903224</v>
      </c>
      <c r="AI374" s="8">
        <v>31.387096774193548</v>
      </c>
      <c r="AJ374" t="s">
        <v>1694</v>
      </c>
      <c r="AK374" t="s">
        <v>1694</v>
      </c>
      <c r="AL374" t="s">
        <v>1694</v>
      </c>
      <c r="AM374" t="s">
        <v>1694</v>
      </c>
      <c r="AN374" t="s">
        <v>1694</v>
      </c>
      <c r="AO374" t="s">
        <v>1694</v>
      </c>
      <c r="AP374" t="s">
        <v>1695</v>
      </c>
      <c r="AQ374" t="s">
        <v>1694</v>
      </c>
      <c r="AR374" t="s">
        <v>1694</v>
      </c>
      <c r="AS374" t="s">
        <v>1694</v>
      </c>
      <c r="AT374" t="s">
        <v>1694</v>
      </c>
      <c r="AU374" t="s">
        <v>1695</v>
      </c>
      <c r="AV374" t="s">
        <v>1694</v>
      </c>
      <c r="AW374" t="s">
        <v>1694</v>
      </c>
      <c r="AX374" t="s">
        <v>1695</v>
      </c>
      <c r="AY374" t="s">
        <v>1694</v>
      </c>
      <c r="AZ374" t="s">
        <v>1694</v>
      </c>
      <c r="BA374" t="s">
        <v>1700</v>
      </c>
      <c r="BB374" t="s">
        <v>1734</v>
      </c>
      <c r="BC374" t="s">
        <v>1734</v>
      </c>
      <c r="BD374" t="s">
        <v>1706</v>
      </c>
      <c r="BE374" t="s">
        <v>1706</v>
      </c>
      <c r="BF374" t="s">
        <v>1723</v>
      </c>
      <c r="BG374">
        <v>10</v>
      </c>
      <c r="BH374" s="12" t="s">
        <v>1708</v>
      </c>
      <c r="BI374" t="b">
        <v>0</v>
      </c>
      <c r="BJ374">
        <f t="shared" si="5"/>
        <v>0</v>
      </c>
    </row>
    <row r="375" spans="1:62" x14ac:dyDescent="0.2">
      <c r="A375" s="5" t="s">
        <v>81</v>
      </c>
      <c r="B375" s="6">
        <v>38469</v>
      </c>
      <c r="C375" s="7">
        <v>33.685014000000002</v>
      </c>
      <c r="D375" s="7">
        <v>-112.199478</v>
      </c>
      <c r="E375" s="17">
        <v>399</v>
      </c>
      <c r="F375" t="s">
        <v>1706</v>
      </c>
      <c r="G375" t="s">
        <v>1724</v>
      </c>
      <c r="H375" t="s">
        <v>1724</v>
      </c>
      <c r="I375">
        <v>1</v>
      </c>
      <c r="J375" s="8">
        <v>9.5039335833012828</v>
      </c>
      <c r="K375" s="8">
        <v>75.17575681741279</v>
      </c>
      <c r="L375" s="8">
        <v>15.320309599285935</v>
      </c>
      <c r="M375" s="8">
        <v>2.313841418503833</v>
      </c>
      <c r="N375" s="8">
        <v>1.8729123774904031</v>
      </c>
      <c r="O375" s="8">
        <v>14.960181585154094</v>
      </c>
      <c r="P375" s="8">
        <v>2.0683467125328798</v>
      </c>
      <c r="Q375" s="8">
        <v>7.731768745969033</v>
      </c>
      <c r="R375" s="8">
        <v>7.0254172727687747</v>
      </c>
      <c r="S375" s="8">
        <v>1.0309999999999999</v>
      </c>
      <c r="T375" s="8">
        <v>1.216</v>
      </c>
      <c r="U375" s="8">
        <v>0.70599999999999996</v>
      </c>
      <c r="V375" s="8">
        <v>0.81</v>
      </c>
      <c r="W375" s="8">
        <v>0.32499999999999996</v>
      </c>
      <c r="X375" s="8">
        <v>0.40599999999999992</v>
      </c>
      <c r="Y375" s="8">
        <v>3.2531824611032594</v>
      </c>
      <c r="Z375" s="8">
        <v>2.76679841897232</v>
      </c>
      <c r="AA375" s="8">
        <v>8.26</v>
      </c>
      <c r="AB375">
        <v>0.17799999999999999</v>
      </c>
      <c r="AC375" s="8">
        <v>9.0523338048090594</v>
      </c>
      <c r="AD375" s="8">
        <v>11.857707509881427</v>
      </c>
      <c r="AE375" s="8">
        <v>0.05</v>
      </c>
      <c r="AF375" s="8">
        <v>0.02</v>
      </c>
      <c r="AG375" s="8">
        <v>1.4498862600074149</v>
      </c>
      <c r="AH375" s="8">
        <v>20.619999999999997</v>
      </c>
      <c r="AI375" s="8">
        <v>24.319999999999997</v>
      </c>
      <c r="AJ375" t="s">
        <v>1694</v>
      </c>
      <c r="AK375" t="s">
        <v>1694</v>
      </c>
      <c r="AL375" t="s">
        <v>1694</v>
      </c>
      <c r="AM375" t="s">
        <v>1694</v>
      </c>
      <c r="AN375" t="s">
        <v>1694</v>
      </c>
      <c r="AO375" t="s">
        <v>1694</v>
      </c>
      <c r="AP375" t="s">
        <v>1695</v>
      </c>
      <c r="AQ375" t="s">
        <v>1694</v>
      </c>
      <c r="AR375" t="s">
        <v>1694</v>
      </c>
      <c r="AS375" t="s">
        <v>1694</v>
      </c>
      <c r="AT375" t="s">
        <v>1694</v>
      </c>
      <c r="AU375" t="s">
        <v>1695</v>
      </c>
      <c r="AV375" t="s">
        <v>1694</v>
      </c>
      <c r="AW375" t="s">
        <v>1694</v>
      </c>
      <c r="AX375" t="s">
        <v>1695</v>
      </c>
      <c r="AY375" t="s">
        <v>1694</v>
      </c>
      <c r="AZ375" t="s">
        <v>1694</v>
      </c>
      <c r="BA375" t="s">
        <v>1700</v>
      </c>
      <c r="BB375" t="s">
        <v>1734</v>
      </c>
      <c r="BC375" t="s">
        <v>1734</v>
      </c>
      <c r="BD375" t="s">
        <v>1706</v>
      </c>
      <c r="BE375" t="s">
        <v>1706</v>
      </c>
      <c r="BF375" t="s">
        <v>1723</v>
      </c>
      <c r="BG375">
        <v>15</v>
      </c>
      <c r="BH375" s="12" t="s">
        <v>1708</v>
      </c>
      <c r="BI375" t="b">
        <v>0</v>
      </c>
      <c r="BJ375">
        <f t="shared" si="5"/>
        <v>0</v>
      </c>
    </row>
    <row r="376" spans="1:62" x14ac:dyDescent="0.2">
      <c r="A376" s="5" t="s">
        <v>81</v>
      </c>
      <c r="B376" s="6">
        <v>40254</v>
      </c>
      <c r="C376" s="7">
        <v>33.685014000000002</v>
      </c>
      <c r="D376" s="7">
        <v>-112.199478</v>
      </c>
      <c r="E376" s="17">
        <v>399</v>
      </c>
      <c r="F376" t="s">
        <v>1706</v>
      </c>
      <c r="G376" t="s">
        <v>1724</v>
      </c>
      <c r="H376" t="s">
        <v>1724</v>
      </c>
      <c r="I376">
        <v>1</v>
      </c>
      <c r="J376" s="8">
        <v>14.542890381015752</v>
      </c>
      <c r="K376" s="8">
        <v>45.322211476514738</v>
      </c>
      <c r="L376" s="8">
        <v>40.13489814246951</v>
      </c>
      <c r="M376" s="8">
        <v>0.83367205083826545</v>
      </c>
      <c r="N376" s="8">
        <v>0.88248487904919437</v>
      </c>
      <c r="O376" s="8">
        <v>7.9611925575546065</v>
      </c>
      <c r="P376" s="8">
        <v>4.1107201630924015</v>
      </c>
      <c r="Q376" s="8">
        <v>22.151142059510427</v>
      </c>
      <c r="R376" s="8">
        <v>7.5529499489416754</v>
      </c>
      <c r="S376" s="8">
        <v>0.748</v>
      </c>
      <c r="T376" s="8">
        <v>1.04</v>
      </c>
      <c r="U376" s="8">
        <v>0.45400000000000001</v>
      </c>
      <c r="V376" s="8">
        <v>0.99399999999999999</v>
      </c>
      <c r="W376" s="8">
        <v>0.29399999999999998</v>
      </c>
      <c r="X376" s="8">
        <v>4.6000000000000041E-2</v>
      </c>
      <c r="Y376" s="8">
        <v>3.0741410488245915</v>
      </c>
      <c r="Z376" s="8">
        <v>3.1007751937984525</v>
      </c>
      <c r="AA376" s="8">
        <v>8.3699999999999992</v>
      </c>
      <c r="AB376">
        <v>0.28399999999999997</v>
      </c>
      <c r="AC376" s="8">
        <v>5.2441229656419539</v>
      </c>
      <c r="AD376" s="8">
        <v>6.0077519379844881</v>
      </c>
      <c r="AE376" s="8">
        <v>4.4999999999999998E-2</v>
      </c>
      <c r="AF376" s="8">
        <v>2.5000000000000001E-2</v>
      </c>
      <c r="AG376" s="8">
        <v>1.4132419269513536</v>
      </c>
      <c r="AH376" s="8">
        <v>16.622222222222224</v>
      </c>
      <c r="AI376" s="8">
        <v>23.111111111111114</v>
      </c>
      <c r="AJ376" t="s">
        <v>1694</v>
      </c>
      <c r="AK376" t="s">
        <v>1694</v>
      </c>
      <c r="AL376" t="s">
        <v>1694</v>
      </c>
      <c r="AM376" t="s">
        <v>1694</v>
      </c>
      <c r="AN376" t="s">
        <v>1694</v>
      </c>
      <c r="AO376" t="s">
        <v>1694</v>
      </c>
      <c r="AP376" t="s">
        <v>1695</v>
      </c>
      <c r="AQ376" t="s">
        <v>1694</v>
      </c>
      <c r="AR376" t="s">
        <v>1694</v>
      </c>
      <c r="AS376" t="s">
        <v>1694</v>
      </c>
      <c r="AT376" t="s">
        <v>1694</v>
      </c>
      <c r="AU376" t="s">
        <v>1695</v>
      </c>
      <c r="AV376" t="s">
        <v>1694</v>
      </c>
      <c r="AW376" t="s">
        <v>1694</v>
      </c>
      <c r="AX376" t="s">
        <v>1695</v>
      </c>
      <c r="AY376" t="s">
        <v>1694</v>
      </c>
      <c r="AZ376" t="s">
        <v>1694</v>
      </c>
      <c r="BA376" t="s">
        <v>1700</v>
      </c>
      <c r="BB376" t="s">
        <v>1734</v>
      </c>
      <c r="BC376" t="s">
        <v>1734</v>
      </c>
      <c r="BD376" t="s">
        <v>1706</v>
      </c>
      <c r="BE376" t="s">
        <v>1706</v>
      </c>
      <c r="BF376" t="s">
        <v>1723</v>
      </c>
      <c r="BG376">
        <v>20</v>
      </c>
      <c r="BH376" s="12" t="s">
        <v>1708</v>
      </c>
      <c r="BI376" t="b">
        <v>1</v>
      </c>
      <c r="BJ376">
        <f t="shared" si="5"/>
        <v>1</v>
      </c>
    </row>
    <row r="377" spans="1:62" x14ac:dyDescent="0.2">
      <c r="A377" s="5" t="s">
        <v>81</v>
      </c>
      <c r="B377" s="6">
        <v>42172</v>
      </c>
      <c r="C377" s="7">
        <v>33.685014000000002</v>
      </c>
      <c r="D377" s="7">
        <v>-112.199478</v>
      </c>
      <c r="E377" s="17">
        <v>399</v>
      </c>
      <c r="F377" t="s">
        <v>1706</v>
      </c>
      <c r="G377" t="s">
        <v>1724</v>
      </c>
      <c r="H377" t="s">
        <v>1724</v>
      </c>
      <c r="I377">
        <v>1</v>
      </c>
      <c r="J377" t="s">
        <v>1697</v>
      </c>
      <c r="K377" t="s">
        <v>1697</v>
      </c>
      <c r="L377" t="s">
        <v>1697</v>
      </c>
      <c r="M377">
        <v>11.697771687426901</v>
      </c>
      <c r="N377" t="s">
        <v>1697</v>
      </c>
      <c r="O377">
        <v>6.0340304315720301</v>
      </c>
      <c r="P377" t="s">
        <v>1697</v>
      </c>
      <c r="Q377">
        <v>4.6446119232131098</v>
      </c>
      <c r="R377" t="s">
        <v>1697</v>
      </c>
      <c r="S377">
        <v>1.492</v>
      </c>
      <c r="T377" t="s">
        <v>1697</v>
      </c>
      <c r="U377">
        <v>1.05</v>
      </c>
      <c r="V377" t="s">
        <v>1697</v>
      </c>
      <c r="W377">
        <v>0.442</v>
      </c>
      <c r="X377" t="s">
        <v>1697</v>
      </c>
      <c r="Y377">
        <v>2.1768707482993102</v>
      </c>
      <c r="Z377" t="s">
        <v>1697</v>
      </c>
      <c r="AA377">
        <v>8.36</v>
      </c>
      <c r="AB377">
        <v>1.163</v>
      </c>
      <c r="AC377">
        <v>4.1015625000000204</v>
      </c>
      <c r="AD377" t="s">
        <v>1697</v>
      </c>
      <c r="AE377">
        <v>6.6000000000000003E-2</v>
      </c>
      <c r="AF377" t="s">
        <v>1697</v>
      </c>
      <c r="AG377">
        <v>0.71377562061870437</v>
      </c>
      <c r="AH377">
        <v>22.606060606060598</v>
      </c>
      <c r="AI377" t="s">
        <v>1697</v>
      </c>
      <c r="AJ377" t="s">
        <v>1694</v>
      </c>
      <c r="AK377" t="s">
        <v>1694</v>
      </c>
      <c r="AL377" t="s">
        <v>1694</v>
      </c>
      <c r="AM377" t="s">
        <v>1694</v>
      </c>
      <c r="AN377" t="s">
        <v>1694</v>
      </c>
      <c r="AO377" t="s">
        <v>1694</v>
      </c>
      <c r="AP377" t="s">
        <v>1697</v>
      </c>
      <c r="AQ377" t="s">
        <v>1697</v>
      </c>
      <c r="AR377" t="s">
        <v>1694</v>
      </c>
      <c r="AS377" t="s">
        <v>1694</v>
      </c>
      <c r="AT377" t="s">
        <v>1694</v>
      </c>
      <c r="AU377" t="s">
        <v>1695</v>
      </c>
      <c r="AV377" t="s">
        <v>1694</v>
      </c>
      <c r="AW377" t="s">
        <v>1694</v>
      </c>
      <c r="AX377" t="s">
        <v>1695</v>
      </c>
      <c r="AY377" t="s">
        <v>1694</v>
      </c>
      <c r="AZ377" t="s">
        <v>1694</v>
      </c>
      <c r="BA377" t="s">
        <v>1700</v>
      </c>
      <c r="BB377" t="s">
        <v>1734</v>
      </c>
      <c r="BC377" t="s">
        <v>1734</v>
      </c>
      <c r="BD377" t="s">
        <v>1706</v>
      </c>
      <c r="BE377" t="s">
        <v>1706</v>
      </c>
      <c r="BF377" t="s">
        <v>1723</v>
      </c>
      <c r="BG377">
        <v>25</v>
      </c>
      <c r="BH377" t="s">
        <v>1709</v>
      </c>
      <c r="BI377" t="b">
        <v>0</v>
      </c>
      <c r="BJ377">
        <f t="shared" si="5"/>
        <v>0</v>
      </c>
    </row>
    <row r="378" spans="1:62" x14ac:dyDescent="0.2">
      <c r="A378" s="5" t="s">
        <v>82</v>
      </c>
      <c r="B378" s="6">
        <v>38432</v>
      </c>
      <c r="C378" s="7">
        <v>33.651014000000004</v>
      </c>
      <c r="D378" s="7">
        <v>-112.220733</v>
      </c>
      <c r="E378" s="17">
        <v>374</v>
      </c>
      <c r="F378" t="s">
        <v>1706</v>
      </c>
      <c r="G378" t="s">
        <v>1724</v>
      </c>
      <c r="H378" t="s">
        <v>1724</v>
      </c>
      <c r="I378">
        <v>1</v>
      </c>
      <c r="J378" s="8">
        <v>18.516484267996368</v>
      </c>
      <c r="K378" s="8">
        <v>55.947834367614</v>
      </c>
      <c r="L378" s="8">
        <v>25.535681364389632</v>
      </c>
      <c r="M378" s="8">
        <v>3.3224077472701032</v>
      </c>
      <c r="N378" s="8">
        <v>5.2753439861968427</v>
      </c>
      <c r="O378" s="8">
        <v>0.88043805302657729</v>
      </c>
      <c r="P378" s="8">
        <v>4.2370223127231785</v>
      </c>
      <c r="Q378" s="8">
        <v>6.3125747198131972</v>
      </c>
      <c r="R378" s="8">
        <v>0.99005055203134029</v>
      </c>
      <c r="S378" s="8">
        <v>2.0449999999999999</v>
      </c>
      <c r="T378" s="8">
        <v>1.7110000000000001</v>
      </c>
      <c r="U378" s="8">
        <v>1.458</v>
      </c>
      <c r="V378" s="8">
        <v>1.6759999999999999</v>
      </c>
      <c r="W378" s="8">
        <v>0.58699999999999997</v>
      </c>
      <c r="X378" s="8">
        <v>3.5000000000000142E-2</v>
      </c>
      <c r="Y378" s="8">
        <v>3.7288135593220297</v>
      </c>
      <c r="Z378" s="8">
        <v>2.9310344827586046</v>
      </c>
      <c r="AA378" s="8">
        <v>8.6300000000000008</v>
      </c>
      <c r="AB378">
        <v>0.20200000000000001</v>
      </c>
      <c r="AC378" s="8">
        <v>13.559322033898319</v>
      </c>
      <c r="AD378" s="8">
        <v>14.482758620689657</v>
      </c>
      <c r="AE378" s="8">
        <v>7.0999999999999994E-2</v>
      </c>
      <c r="AF378" s="8">
        <v>2.1000000000000001E-2</v>
      </c>
      <c r="AG378" s="8">
        <v>1.4642798614017407</v>
      </c>
      <c r="AH378" s="8">
        <v>28.802816901408452</v>
      </c>
      <c r="AI378" s="8">
        <v>24.098591549295779</v>
      </c>
      <c r="AJ378" t="s">
        <v>1694</v>
      </c>
      <c r="AK378" t="s">
        <v>1694</v>
      </c>
      <c r="AL378" t="s">
        <v>1702</v>
      </c>
      <c r="AM378" t="s">
        <v>1703</v>
      </c>
      <c r="AN378" t="s">
        <v>1702</v>
      </c>
      <c r="AO378" t="s">
        <v>1703</v>
      </c>
      <c r="AP378" t="s">
        <v>1697</v>
      </c>
      <c r="AQ378" t="s">
        <v>1697</v>
      </c>
      <c r="AR378" t="s">
        <v>1697</v>
      </c>
      <c r="AS378" t="s">
        <v>1694</v>
      </c>
      <c r="AT378" t="s">
        <v>1694</v>
      </c>
      <c r="AU378" t="s">
        <v>1706</v>
      </c>
      <c r="AV378" t="s">
        <v>1735</v>
      </c>
      <c r="AW378" t="s">
        <v>1706</v>
      </c>
      <c r="AX378" t="s">
        <v>1706</v>
      </c>
      <c r="AY378" t="s">
        <v>1735</v>
      </c>
      <c r="AZ378" t="s">
        <v>1706</v>
      </c>
      <c r="BA378" t="s">
        <v>1700</v>
      </c>
      <c r="BB378" t="s">
        <v>1706</v>
      </c>
      <c r="BC378" t="s">
        <v>1735</v>
      </c>
      <c r="BD378" t="s">
        <v>1706</v>
      </c>
      <c r="BE378" t="s">
        <v>1706</v>
      </c>
      <c r="BF378" t="s">
        <v>1735</v>
      </c>
      <c r="BG378">
        <v>30</v>
      </c>
      <c r="BH378" s="12" t="s">
        <v>1709</v>
      </c>
      <c r="BI378" t="b">
        <v>0</v>
      </c>
      <c r="BJ378">
        <f t="shared" si="5"/>
        <v>0</v>
      </c>
    </row>
    <row r="379" spans="1:62" x14ac:dyDescent="0.2">
      <c r="A379" s="5" t="s">
        <v>82</v>
      </c>
      <c r="B379" s="6">
        <v>40254</v>
      </c>
      <c r="C379" s="7">
        <v>33.651014000000004</v>
      </c>
      <c r="D379" s="7">
        <v>-112.220733</v>
      </c>
      <c r="E379" s="17">
        <v>374</v>
      </c>
      <c r="F379" t="s">
        <v>1706</v>
      </c>
      <c r="G379" t="s">
        <v>1724</v>
      </c>
      <c r="H379" t="s">
        <v>1724</v>
      </c>
      <c r="I379">
        <v>1</v>
      </c>
      <c r="J379" s="8">
        <v>20.181475220253802</v>
      </c>
      <c r="K379" s="8">
        <v>50.817339596856179</v>
      </c>
      <c r="L379" s="8">
        <v>29.001185182890026</v>
      </c>
      <c r="M379" s="8">
        <v>2.0560126285497402</v>
      </c>
      <c r="N379" s="8">
        <v>1.3166794843372176</v>
      </c>
      <c r="O379" s="8">
        <v>0.81499599690259972</v>
      </c>
      <c r="P379" s="8">
        <v>0.68668930044381205</v>
      </c>
      <c r="Q379" s="8">
        <v>35.466555954097878</v>
      </c>
      <c r="R379" s="8">
        <v>2.5000000000000001E-3</v>
      </c>
      <c r="S379" s="8">
        <v>2.375</v>
      </c>
      <c r="T379" s="8">
        <v>1.9450000000000001</v>
      </c>
      <c r="U379" s="8">
        <v>1.282</v>
      </c>
      <c r="V379" s="8">
        <v>1.0129999999999999</v>
      </c>
      <c r="W379" s="8">
        <v>1.093</v>
      </c>
      <c r="X379" s="8">
        <v>0.93200000000000016</v>
      </c>
      <c r="Y379" s="8">
        <v>5.9523809523809534</v>
      </c>
      <c r="Z379" s="8">
        <v>4.8780487804878101</v>
      </c>
      <c r="AA379" s="8">
        <v>8.11</v>
      </c>
      <c r="AB379">
        <v>0.315</v>
      </c>
      <c r="AC379" s="8">
        <v>4.5238095238095344</v>
      </c>
      <c r="AD379" s="8">
        <v>7.0731707317073189</v>
      </c>
      <c r="AE379" s="8">
        <v>0.12</v>
      </c>
      <c r="AF379" s="8">
        <v>3.5999999999999997E-2</v>
      </c>
      <c r="AG379" s="8">
        <v>1.1718766022729541</v>
      </c>
      <c r="AH379" s="8">
        <v>19.791666666666668</v>
      </c>
      <c r="AI379" s="8">
        <v>16.208333333333336</v>
      </c>
      <c r="AJ379" t="s">
        <v>1694</v>
      </c>
      <c r="AK379" t="s">
        <v>1694</v>
      </c>
      <c r="AL379" t="s">
        <v>1702</v>
      </c>
      <c r="AM379" t="s">
        <v>1703</v>
      </c>
      <c r="AN379" t="s">
        <v>1702</v>
      </c>
      <c r="AO379" t="s">
        <v>1703</v>
      </c>
      <c r="AP379" t="s">
        <v>1697</v>
      </c>
      <c r="AQ379" t="s">
        <v>1697</v>
      </c>
      <c r="AR379" t="s">
        <v>1697</v>
      </c>
      <c r="AS379" t="s">
        <v>1694</v>
      </c>
      <c r="AT379" t="s">
        <v>1694</v>
      </c>
      <c r="AU379" t="s">
        <v>1706</v>
      </c>
      <c r="AV379" t="s">
        <v>1735</v>
      </c>
      <c r="AW379" t="s">
        <v>1706</v>
      </c>
      <c r="AX379" t="s">
        <v>1706</v>
      </c>
      <c r="AY379" t="s">
        <v>1735</v>
      </c>
      <c r="AZ379" t="s">
        <v>1706</v>
      </c>
      <c r="BA379" t="s">
        <v>1700</v>
      </c>
      <c r="BB379" t="s">
        <v>1706</v>
      </c>
      <c r="BC379" t="s">
        <v>1735</v>
      </c>
      <c r="BD379" t="s">
        <v>1706</v>
      </c>
      <c r="BE379" t="s">
        <v>1706</v>
      </c>
      <c r="BF379" t="s">
        <v>1735</v>
      </c>
      <c r="BG379">
        <v>35</v>
      </c>
      <c r="BH379" s="12" t="s">
        <v>1709</v>
      </c>
      <c r="BI379" t="b">
        <v>0</v>
      </c>
      <c r="BJ379">
        <f t="shared" si="5"/>
        <v>0</v>
      </c>
    </row>
    <row r="380" spans="1:62" x14ac:dyDescent="0.2">
      <c r="A380" s="5" t="s">
        <v>83</v>
      </c>
      <c r="B380" s="6">
        <v>36600</v>
      </c>
      <c r="C380" s="7">
        <v>33.606580999999998</v>
      </c>
      <c r="D380" s="7">
        <v>-112.193658</v>
      </c>
      <c r="E380" s="17">
        <v>367</v>
      </c>
      <c r="F380" t="s">
        <v>1706</v>
      </c>
      <c r="G380" t="s">
        <v>1720</v>
      </c>
      <c r="H380" t="s">
        <v>1703</v>
      </c>
      <c r="I380">
        <v>1</v>
      </c>
      <c r="J380" s="8">
        <v>22.151048253005566</v>
      </c>
      <c r="K380" s="8">
        <v>47.828731416767084</v>
      </c>
      <c r="L380" s="8">
        <v>30.020220330227346</v>
      </c>
      <c r="M380" s="8">
        <v>5.0096595671954471</v>
      </c>
      <c r="N380" s="8">
        <v>3.4407904801265947</v>
      </c>
      <c r="O380" s="8">
        <v>4.9943877293702297</v>
      </c>
      <c r="P380" s="8">
        <v>28.262608096608474</v>
      </c>
      <c r="Q380" s="8">
        <v>14.476950020941343</v>
      </c>
      <c r="R380" s="8">
        <v>5.1921835768908924</v>
      </c>
      <c r="S380" s="8">
        <v>2.58</v>
      </c>
      <c r="T380" s="8">
        <v>3.09</v>
      </c>
      <c r="U380" s="8">
        <v>1.956</v>
      </c>
      <c r="V380" s="8">
        <v>2.919</v>
      </c>
      <c r="W380" s="8">
        <v>0.624</v>
      </c>
      <c r="X380" s="8">
        <v>0.17100000000000001</v>
      </c>
      <c r="Y380" s="8">
        <v>4.1231400000000002</v>
      </c>
      <c r="Z380" s="8">
        <v>2.7541000000000002</v>
      </c>
      <c r="AA380" s="9">
        <v>8.23</v>
      </c>
      <c r="AB380" s="10">
        <v>0.42799999999999999</v>
      </c>
      <c r="AC380" s="8">
        <v>12.77609</v>
      </c>
      <c r="AD380" s="8">
        <v>16.23762</v>
      </c>
      <c r="AE380" s="8">
        <v>8.3000000000000004E-2</v>
      </c>
      <c r="AF380" s="8">
        <v>4.2999999999999997E-2</v>
      </c>
      <c r="AG380" s="8">
        <v>1.4121858193199293</v>
      </c>
      <c r="AH380" s="8">
        <v>31.08433734939759</v>
      </c>
      <c r="AI380" s="8">
        <v>37.2289156626506</v>
      </c>
      <c r="AJ380" t="s">
        <v>1694</v>
      </c>
      <c r="AK380" t="s">
        <v>1694</v>
      </c>
      <c r="AL380" t="s">
        <v>1702</v>
      </c>
      <c r="AM380" t="s">
        <v>1703</v>
      </c>
      <c r="AN380" t="s">
        <v>1702</v>
      </c>
      <c r="AO380" t="s">
        <v>1703</v>
      </c>
      <c r="AP380" t="s">
        <v>1702</v>
      </c>
      <c r="AQ380" t="s">
        <v>1697</v>
      </c>
      <c r="AR380" t="s">
        <v>1703</v>
      </c>
      <c r="AS380" t="s">
        <v>1702</v>
      </c>
      <c r="AT380" t="s">
        <v>1703</v>
      </c>
      <c r="AU380" t="s">
        <v>1704</v>
      </c>
      <c r="AV380" t="s">
        <v>1705</v>
      </c>
      <c r="AW380" t="s">
        <v>1703</v>
      </c>
      <c r="AX380" t="s">
        <v>1706</v>
      </c>
      <c r="AY380" t="s">
        <v>1723</v>
      </c>
      <c r="AZ380" t="s">
        <v>1706</v>
      </c>
      <c r="BA380" t="s">
        <v>1700</v>
      </c>
      <c r="BB380" t="s">
        <v>1706</v>
      </c>
      <c r="BC380" t="s">
        <v>1723</v>
      </c>
      <c r="BD380" t="s">
        <v>1706</v>
      </c>
      <c r="BE380" t="s">
        <v>1706</v>
      </c>
      <c r="BF380" t="s">
        <v>1723</v>
      </c>
      <c r="BG380">
        <v>20</v>
      </c>
      <c r="BH380" s="12" t="s">
        <v>1708</v>
      </c>
      <c r="BI380" t="b">
        <v>0</v>
      </c>
      <c r="BJ380">
        <f t="shared" si="5"/>
        <v>0</v>
      </c>
    </row>
    <row r="381" spans="1:62" x14ac:dyDescent="0.2">
      <c r="A381" s="5" t="s">
        <v>83</v>
      </c>
      <c r="B381" s="6">
        <v>38450</v>
      </c>
      <c r="C381" s="7">
        <v>33.606580999999998</v>
      </c>
      <c r="D381" s="7">
        <v>-112.193658</v>
      </c>
      <c r="E381" s="17">
        <v>367</v>
      </c>
      <c r="F381" t="s">
        <v>1706</v>
      </c>
      <c r="G381" t="s">
        <v>1720</v>
      </c>
      <c r="H381" t="s">
        <v>1703</v>
      </c>
      <c r="I381">
        <v>1</v>
      </c>
      <c r="J381" s="8" t="s">
        <v>1697</v>
      </c>
      <c r="K381" s="8" t="s">
        <v>1697</v>
      </c>
      <c r="L381" s="8" t="s">
        <v>1697</v>
      </c>
      <c r="M381" s="8">
        <v>1.7269408837660705</v>
      </c>
      <c r="N381" s="8">
        <v>0.84944680259509497</v>
      </c>
      <c r="O381" s="8">
        <v>4.2551823375995967</v>
      </c>
      <c r="P381" s="8">
        <v>3.150031892956811</v>
      </c>
      <c r="Q381" s="8">
        <v>24.138488896928624</v>
      </c>
      <c r="R381" s="8">
        <v>11.836553806652965</v>
      </c>
      <c r="S381" s="8">
        <v>2.3439999999999999</v>
      </c>
      <c r="T381" s="8">
        <v>2.9809999999999999</v>
      </c>
      <c r="U381" s="8">
        <v>1.4379999999999999</v>
      </c>
      <c r="V381" s="8">
        <v>2.0019999999999998</v>
      </c>
      <c r="W381" s="8">
        <v>0.90599999999999992</v>
      </c>
      <c r="X381" s="8">
        <v>0.97900000000000009</v>
      </c>
      <c r="Y381" s="8">
        <v>3.8284839203675336</v>
      </c>
      <c r="Z381" s="8">
        <v>3.4954407294832892</v>
      </c>
      <c r="AA381" s="8">
        <v>8.1</v>
      </c>
      <c r="AB381">
        <v>0.308</v>
      </c>
      <c r="AC381" s="8">
        <v>6.7381316998468517</v>
      </c>
      <c r="AD381" s="8">
        <v>9.2705167173252452</v>
      </c>
      <c r="AE381" s="8">
        <v>8.3000000000000004E-2</v>
      </c>
      <c r="AF381" s="8">
        <v>5.2999999999999999E-2</v>
      </c>
      <c r="AG381" s="8">
        <v>1.2842075595153128</v>
      </c>
      <c r="AH381" s="8">
        <v>28.240963855421683</v>
      </c>
      <c r="AI381" s="8">
        <v>35.915662650602407</v>
      </c>
      <c r="AJ381" t="s">
        <v>1694</v>
      </c>
      <c r="AK381" t="s">
        <v>1694</v>
      </c>
      <c r="AL381" t="s">
        <v>1702</v>
      </c>
      <c r="AM381" t="s">
        <v>1703</v>
      </c>
      <c r="AN381" t="s">
        <v>1702</v>
      </c>
      <c r="AO381" t="s">
        <v>1703</v>
      </c>
      <c r="AP381" t="s">
        <v>1702</v>
      </c>
      <c r="AQ381" t="s">
        <v>1697</v>
      </c>
      <c r="AR381" t="s">
        <v>1703</v>
      </c>
      <c r="AS381" t="s">
        <v>1702</v>
      </c>
      <c r="AT381" t="s">
        <v>1703</v>
      </c>
      <c r="AU381" t="s">
        <v>1704</v>
      </c>
      <c r="AV381" t="s">
        <v>1705</v>
      </c>
      <c r="AW381" t="s">
        <v>1703</v>
      </c>
      <c r="AX381" t="s">
        <v>1706</v>
      </c>
      <c r="AY381" t="s">
        <v>1723</v>
      </c>
      <c r="AZ381" t="s">
        <v>1706</v>
      </c>
      <c r="BA381" t="s">
        <v>1700</v>
      </c>
      <c r="BB381" t="s">
        <v>1706</v>
      </c>
      <c r="BC381" t="s">
        <v>1723</v>
      </c>
      <c r="BD381" t="s">
        <v>1706</v>
      </c>
      <c r="BE381" t="s">
        <v>1706</v>
      </c>
      <c r="BF381" t="s">
        <v>1723</v>
      </c>
      <c r="BG381">
        <v>25</v>
      </c>
      <c r="BH381" s="12" t="s">
        <v>1709</v>
      </c>
      <c r="BI381" t="b">
        <v>0</v>
      </c>
      <c r="BJ381">
        <f t="shared" si="5"/>
        <v>0</v>
      </c>
    </row>
    <row r="382" spans="1:62" x14ac:dyDescent="0.2">
      <c r="A382" s="5" t="s">
        <v>83</v>
      </c>
      <c r="B382" s="6">
        <v>40333</v>
      </c>
      <c r="C382" s="7">
        <v>33.606580999999998</v>
      </c>
      <c r="D382" s="7">
        <v>-112.193658</v>
      </c>
      <c r="E382" s="17">
        <v>367</v>
      </c>
      <c r="F382" t="s">
        <v>1706</v>
      </c>
      <c r="G382" t="s">
        <v>1720</v>
      </c>
      <c r="H382" t="s">
        <v>1703</v>
      </c>
      <c r="I382">
        <v>1</v>
      </c>
      <c r="J382" s="8">
        <v>12.930925569504588</v>
      </c>
      <c r="K382" s="8">
        <v>40.63152155093816</v>
      </c>
      <c r="L382" s="8">
        <v>46.437552879557252</v>
      </c>
      <c r="M382" s="8">
        <v>5.0000000000000001E-3</v>
      </c>
      <c r="N382" s="8">
        <v>9.9081277403581358E-2</v>
      </c>
      <c r="O382" s="8">
        <v>16.865024811000481</v>
      </c>
      <c r="P382" s="8">
        <v>11.023612320398456</v>
      </c>
      <c r="Q382" s="8">
        <v>34.772604094880521</v>
      </c>
      <c r="R382" s="8">
        <v>15.528615607784593</v>
      </c>
      <c r="S382" s="8">
        <v>1.8049999999999999</v>
      </c>
      <c r="T382" s="8">
        <v>2.105</v>
      </c>
      <c r="U382" s="8">
        <v>1.006</v>
      </c>
      <c r="V382" s="8">
        <v>1.78</v>
      </c>
      <c r="W382" s="8">
        <v>0.79899999999999993</v>
      </c>
      <c r="X382" s="8">
        <v>0.32499999999999996</v>
      </c>
      <c r="Y382" s="8">
        <v>3.9087947882736187</v>
      </c>
      <c r="Z382" s="8">
        <v>3.5836177474402575</v>
      </c>
      <c r="AA382" s="8">
        <v>7.99</v>
      </c>
      <c r="AB382">
        <v>0.46500000000000002</v>
      </c>
      <c r="AC382" s="8">
        <v>5.5374592833876193</v>
      </c>
      <c r="AD382" s="8">
        <v>9.8976109215017072</v>
      </c>
      <c r="AE382" s="8">
        <v>6.4000000000000001E-2</v>
      </c>
      <c r="AF382" s="8">
        <v>3.6999999999999998E-2</v>
      </c>
      <c r="AG382" s="8">
        <v>1.1818753467261542</v>
      </c>
      <c r="AH382" s="8">
        <v>28.203125</v>
      </c>
      <c r="AI382" s="8">
        <v>32.890625</v>
      </c>
      <c r="AJ382" t="s">
        <v>1694</v>
      </c>
      <c r="AK382" t="s">
        <v>1694</v>
      </c>
      <c r="AL382" t="s">
        <v>1702</v>
      </c>
      <c r="AM382" t="s">
        <v>1703</v>
      </c>
      <c r="AN382" t="s">
        <v>1702</v>
      </c>
      <c r="AO382" t="s">
        <v>1703</v>
      </c>
      <c r="AP382" t="s">
        <v>1702</v>
      </c>
      <c r="AQ382" t="s">
        <v>1697</v>
      </c>
      <c r="AR382" t="s">
        <v>1703</v>
      </c>
      <c r="AS382" t="s">
        <v>1702</v>
      </c>
      <c r="AT382" t="s">
        <v>1703</v>
      </c>
      <c r="AU382" t="s">
        <v>1704</v>
      </c>
      <c r="AV382" t="s">
        <v>1705</v>
      </c>
      <c r="AW382" t="s">
        <v>1703</v>
      </c>
      <c r="AX382" t="s">
        <v>1706</v>
      </c>
      <c r="AY382" t="s">
        <v>1723</v>
      </c>
      <c r="AZ382" t="s">
        <v>1706</v>
      </c>
      <c r="BA382" t="s">
        <v>1700</v>
      </c>
      <c r="BB382" t="s">
        <v>1706</v>
      </c>
      <c r="BC382" t="s">
        <v>1723</v>
      </c>
      <c r="BD382" t="s">
        <v>1706</v>
      </c>
      <c r="BE382" t="s">
        <v>1706</v>
      </c>
      <c r="BF382" t="s">
        <v>1723</v>
      </c>
      <c r="BG382">
        <v>30</v>
      </c>
      <c r="BH382" s="12" t="s">
        <v>1709</v>
      </c>
      <c r="BI382" t="b">
        <v>1</v>
      </c>
      <c r="BJ382">
        <f t="shared" si="5"/>
        <v>1</v>
      </c>
    </row>
    <row r="383" spans="1:62" x14ac:dyDescent="0.2">
      <c r="A383" s="5" t="s">
        <v>83</v>
      </c>
      <c r="B383" s="6">
        <v>42170</v>
      </c>
      <c r="C383" s="7">
        <v>33.606580999999998</v>
      </c>
      <c r="D383" s="7">
        <v>-112.193658</v>
      </c>
      <c r="E383" s="17">
        <v>367</v>
      </c>
      <c r="F383" t="s">
        <v>1706</v>
      </c>
      <c r="G383" t="s">
        <v>1720</v>
      </c>
      <c r="H383" t="s">
        <v>1744</v>
      </c>
      <c r="I383">
        <v>0</v>
      </c>
      <c r="J383">
        <v>16.671365402998902</v>
      </c>
      <c r="K383">
        <v>53.600927530547899</v>
      </c>
      <c r="L383">
        <v>29.7277070664531</v>
      </c>
      <c r="M383">
        <v>40.735757978121697</v>
      </c>
      <c r="N383">
        <v>4.92382948405072</v>
      </c>
      <c r="O383">
        <v>405.89226474603299</v>
      </c>
      <c r="P383">
        <v>119.016825102646</v>
      </c>
      <c r="Q383">
        <v>5.7833797401355804</v>
      </c>
      <c r="R383">
        <v>2.8379288753003298</v>
      </c>
      <c r="S383">
        <v>1.95</v>
      </c>
      <c r="T383">
        <v>1.8169999999999999</v>
      </c>
      <c r="U383">
        <v>0.96399999999999997</v>
      </c>
      <c r="V383">
        <v>1.468</v>
      </c>
      <c r="W383">
        <v>0.98599999999999999</v>
      </c>
      <c r="X383">
        <v>0.34899999999999998</v>
      </c>
      <c r="Y383">
        <v>2.7881040892193201</v>
      </c>
      <c r="Z383">
        <v>1.4159292035398201</v>
      </c>
      <c r="AA383">
        <v>7.95</v>
      </c>
      <c r="AB383">
        <v>0.52300000000000002</v>
      </c>
      <c r="AC383">
        <v>14.147909967845701</v>
      </c>
      <c r="AD383">
        <v>11.9883040935672</v>
      </c>
      <c r="AE383">
        <v>0.115</v>
      </c>
      <c r="AF383">
        <v>4.4999999999999998E-2</v>
      </c>
      <c r="AG383">
        <v>1.080922529362786</v>
      </c>
      <c r="AH383">
        <v>16.956521739130402</v>
      </c>
      <c r="AI383">
        <v>40.377777777777801</v>
      </c>
      <c r="AJ383" t="s">
        <v>1694</v>
      </c>
      <c r="AK383" t="s">
        <v>1694</v>
      </c>
      <c r="AL383" t="s">
        <v>1702</v>
      </c>
      <c r="AM383" t="s">
        <v>1703</v>
      </c>
      <c r="AN383" t="s">
        <v>1702</v>
      </c>
      <c r="AO383" t="s">
        <v>1703</v>
      </c>
      <c r="AP383" t="s">
        <v>1697</v>
      </c>
      <c r="AQ383" t="s">
        <v>1697</v>
      </c>
      <c r="AR383" t="s">
        <v>1703</v>
      </c>
      <c r="AS383" t="s">
        <v>1702</v>
      </c>
      <c r="AT383" t="s">
        <v>1703</v>
      </c>
      <c r="AU383" t="s">
        <v>1704</v>
      </c>
      <c r="AV383" t="s">
        <v>1705</v>
      </c>
      <c r="AW383" t="s">
        <v>1703</v>
      </c>
      <c r="AX383" t="s">
        <v>1706</v>
      </c>
      <c r="AY383" t="s">
        <v>1723</v>
      </c>
      <c r="AZ383" t="s">
        <v>1706</v>
      </c>
      <c r="BA383" t="s">
        <v>1700</v>
      </c>
      <c r="BB383" t="s">
        <v>1706</v>
      </c>
      <c r="BC383" t="s">
        <v>1723</v>
      </c>
      <c r="BD383" t="s">
        <v>1706</v>
      </c>
      <c r="BE383" t="s">
        <v>1706</v>
      </c>
      <c r="BF383" t="s">
        <v>1723</v>
      </c>
      <c r="BG383">
        <v>35</v>
      </c>
      <c r="BH383" s="12" t="s">
        <v>1709</v>
      </c>
      <c r="BI383" t="b">
        <v>0</v>
      </c>
      <c r="BJ383">
        <f t="shared" si="5"/>
        <v>0</v>
      </c>
    </row>
    <row r="384" spans="1:62" x14ac:dyDescent="0.2">
      <c r="A384" s="5" t="s">
        <v>84</v>
      </c>
      <c r="B384" s="6">
        <v>38450</v>
      </c>
      <c r="C384" s="7">
        <v>33.591794</v>
      </c>
      <c r="D384" s="7">
        <v>-112.225514</v>
      </c>
      <c r="E384" s="17">
        <v>353</v>
      </c>
      <c r="F384" t="s">
        <v>1706</v>
      </c>
      <c r="G384" t="s">
        <v>1724</v>
      </c>
      <c r="H384" t="s">
        <v>1724</v>
      </c>
      <c r="I384">
        <v>1</v>
      </c>
      <c r="J384" s="8">
        <v>18.851524813331388</v>
      </c>
      <c r="K384" s="8">
        <v>63.977755263665671</v>
      </c>
      <c r="L384" s="8">
        <v>17.170719923002935</v>
      </c>
      <c r="M384" s="8">
        <v>1.4650681653165534</v>
      </c>
      <c r="N384" s="8">
        <v>1.4001408729031972</v>
      </c>
      <c r="O384" s="8">
        <v>1.2253297382647534</v>
      </c>
      <c r="P384" s="8">
        <v>1.1831190376032015</v>
      </c>
      <c r="Q384" s="8">
        <v>7.692567519548577</v>
      </c>
      <c r="R384" s="8">
        <v>1.8795383890034496</v>
      </c>
      <c r="S384" s="8">
        <v>0.36099999999999999</v>
      </c>
      <c r="T384" s="8">
        <v>0.14599999999999999</v>
      </c>
      <c r="U384" s="8">
        <v>0.14599999999999999</v>
      </c>
      <c r="V384" s="8">
        <v>6.2E-2</v>
      </c>
      <c r="W384" s="8">
        <v>0.215</v>
      </c>
      <c r="X384" s="8">
        <v>8.3999999999999991E-2</v>
      </c>
      <c r="Y384" s="8">
        <v>1.9973368841544654</v>
      </c>
      <c r="Z384" s="8">
        <v>2.6957637997432489</v>
      </c>
      <c r="AA384" s="8">
        <v>8.34</v>
      </c>
      <c r="AB384">
        <v>0.215</v>
      </c>
      <c r="AC384" s="8">
        <v>4.527296937416776</v>
      </c>
      <c r="AD384" s="8">
        <v>9.8844672657253074</v>
      </c>
      <c r="AE384" s="8">
        <v>2.1999999999999999E-2</v>
      </c>
      <c r="AF384" s="8">
        <v>1.2999999999999999E-2</v>
      </c>
      <c r="AG384" s="8">
        <v>1.2694467267129741</v>
      </c>
      <c r="AH384" s="8">
        <v>16.40909090909091</v>
      </c>
      <c r="AI384" s="8">
        <v>6.6363636363636367</v>
      </c>
      <c r="AJ384" t="s">
        <v>1694</v>
      </c>
      <c r="AK384" t="s">
        <v>1694</v>
      </c>
      <c r="AL384" t="s">
        <v>1702</v>
      </c>
      <c r="AM384" t="s">
        <v>1703</v>
      </c>
      <c r="AN384" t="s">
        <v>1702</v>
      </c>
      <c r="AO384" t="s">
        <v>1703</v>
      </c>
      <c r="AP384" t="s">
        <v>1702</v>
      </c>
      <c r="AQ384" t="s">
        <v>1725</v>
      </c>
      <c r="AR384" t="s">
        <v>1703</v>
      </c>
      <c r="AS384" t="s">
        <v>1702</v>
      </c>
      <c r="AT384" t="s">
        <v>1703</v>
      </c>
      <c r="AU384" t="s">
        <v>1704</v>
      </c>
      <c r="AV384" t="s">
        <v>1725</v>
      </c>
      <c r="AW384" t="s">
        <v>1703</v>
      </c>
      <c r="AX384" t="s">
        <v>1706</v>
      </c>
      <c r="AY384" t="s">
        <v>1723</v>
      </c>
      <c r="AZ384" t="s">
        <v>1706</v>
      </c>
      <c r="BA384" t="s">
        <v>1700</v>
      </c>
      <c r="BB384" t="s">
        <v>1706</v>
      </c>
      <c r="BC384" t="s">
        <v>1707</v>
      </c>
      <c r="BD384" t="s">
        <v>1706</v>
      </c>
      <c r="BE384" t="s">
        <v>1706</v>
      </c>
      <c r="BF384" t="s">
        <v>1707</v>
      </c>
      <c r="BG384">
        <v>25</v>
      </c>
      <c r="BH384" s="12" t="s">
        <v>1709</v>
      </c>
      <c r="BI384" t="b">
        <v>1</v>
      </c>
      <c r="BJ384">
        <f t="shared" si="5"/>
        <v>1</v>
      </c>
    </row>
    <row r="385" spans="1:62" x14ac:dyDescent="0.2">
      <c r="A385" s="5" t="s">
        <v>84</v>
      </c>
      <c r="B385" s="6">
        <v>40325</v>
      </c>
      <c r="C385" s="7">
        <v>33.591794</v>
      </c>
      <c r="D385" s="7">
        <v>-112.225514</v>
      </c>
      <c r="E385" s="17">
        <v>353</v>
      </c>
      <c r="F385" t="s">
        <v>1697</v>
      </c>
      <c r="G385" t="s">
        <v>1697</v>
      </c>
      <c r="H385" t="s">
        <v>1697</v>
      </c>
      <c r="I385" t="s">
        <v>1697</v>
      </c>
      <c r="J385" t="s">
        <v>1697</v>
      </c>
      <c r="K385" t="s">
        <v>1697</v>
      </c>
      <c r="L385" t="s">
        <v>1697</v>
      </c>
      <c r="M385" t="s">
        <v>1697</v>
      </c>
      <c r="N385" t="s">
        <v>1697</v>
      </c>
      <c r="O385" t="s">
        <v>1697</v>
      </c>
      <c r="P385" t="s">
        <v>1697</v>
      </c>
      <c r="Q385" t="s">
        <v>1697</v>
      </c>
      <c r="R385" t="s">
        <v>1697</v>
      </c>
      <c r="S385" t="s">
        <v>1697</v>
      </c>
      <c r="T385" t="s">
        <v>1697</v>
      </c>
      <c r="U385" t="s">
        <v>1697</v>
      </c>
      <c r="V385" t="s">
        <v>1697</v>
      </c>
      <c r="W385" t="s">
        <v>1697</v>
      </c>
      <c r="X385" t="s">
        <v>1697</v>
      </c>
      <c r="Y385" t="s">
        <v>1697</v>
      </c>
      <c r="Z385" t="s">
        <v>1697</v>
      </c>
      <c r="AA385" t="s">
        <v>1697</v>
      </c>
      <c r="AB385" t="s">
        <v>1697</v>
      </c>
      <c r="AC385" t="s">
        <v>1697</v>
      </c>
      <c r="AD385" t="s">
        <v>1697</v>
      </c>
      <c r="AE385" t="s">
        <v>1697</v>
      </c>
      <c r="AF385" t="s">
        <v>1697</v>
      </c>
      <c r="AG385" t="s">
        <v>1697</v>
      </c>
      <c r="AH385" t="s">
        <v>1697</v>
      </c>
      <c r="AI385" t="s">
        <v>1697</v>
      </c>
      <c r="AJ385" t="s">
        <v>1694</v>
      </c>
      <c r="AK385" t="s">
        <v>1694</v>
      </c>
      <c r="AL385" t="s">
        <v>1702</v>
      </c>
      <c r="AM385" t="s">
        <v>1703</v>
      </c>
      <c r="AN385" t="s">
        <v>1702</v>
      </c>
      <c r="AO385" t="s">
        <v>1703</v>
      </c>
      <c r="AP385" t="s">
        <v>1702</v>
      </c>
      <c r="AQ385" t="s">
        <v>1725</v>
      </c>
      <c r="AR385" t="s">
        <v>1703</v>
      </c>
      <c r="AS385" t="s">
        <v>1702</v>
      </c>
      <c r="AT385" t="s">
        <v>1703</v>
      </c>
      <c r="AU385" t="s">
        <v>1704</v>
      </c>
      <c r="AV385" t="s">
        <v>1725</v>
      </c>
      <c r="AW385" t="s">
        <v>1703</v>
      </c>
      <c r="AX385" t="s">
        <v>1706</v>
      </c>
      <c r="AY385" t="s">
        <v>1723</v>
      </c>
      <c r="AZ385" t="s">
        <v>1706</v>
      </c>
      <c r="BA385" t="s">
        <v>1700</v>
      </c>
      <c r="BB385" t="s">
        <v>1706</v>
      </c>
      <c r="BC385" t="s">
        <v>1707</v>
      </c>
      <c r="BD385" t="s">
        <v>1706</v>
      </c>
      <c r="BE385" t="s">
        <v>1706</v>
      </c>
      <c r="BF385" t="s">
        <v>1707</v>
      </c>
      <c r="BG385" s="6" t="s">
        <v>1697</v>
      </c>
      <c r="BH385" s="6" t="s">
        <v>1697</v>
      </c>
      <c r="BI385" t="b">
        <v>1</v>
      </c>
      <c r="BJ385">
        <f t="shared" si="5"/>
        <v>1</v>
      </c>
    </row>
    <row r="386" spans="1:62" x14ac:dyDescent="0.2">
      <c r="A386" s="5" t="s">
        <v>85</v>
      </c>
      <c r="B386" s="6">
        <v>36297</v>
      </c>
      <c r="C386" s="7">
        <v>33.546335999999997</v>
      </c>
      <c r="D386" s="7">
        <v>-112.201939</v>
      </c>
      <c r="E386" s="17">
        <v>346</v>
      </c>
      <c r="F386" t="s">
        <v>1697</v>
      </c>
      <c r="G386" t="s">
        <v>1697</v>
      </c>
      <c r="H386" t="s">
        <v>1697</v>
      </c>
      <c r="I386" t="s">
        <v>1697</v>
      </c>
      <c r="J386" t="s">
        <v>1697</v>
      </c>
      <c r="K386" t="s">
        <v>1697</v>
      </c>
      <c r="L386" t="s">
        <v>1697</v>
      </c>
      <c r="M386" t="s">
        <v>1697</v>
      </c>
      <c r="N386" t="s">
        <v>1697</v>
      </c>
      <c r="O386" t="s">
        <v>1697</v>
      </c>
      <c r="P386" t="s">
        <v>1697</v>
      </c>
      <c r="Q386" t="s">
        <v>1697</v>
      </c>
      <c r="R386" t="s">
        <v>1697</v>
      </c>
      <c r="S386" t="s">
        <v>1697</v>
      </c>
      <c r="T386" t="s">
        <v>1697</v>
      </c>
      <c r="U386" t="s">
        <v>1697</v>
      </c>
      <c r="V386" t="s">
        <v>1697</v>
      </c>
      <c r="W386" t="s">
        <v>1697</v>
      </c>
      <c r="X386" t="s">
        <v>1697</v>
      </c>
      <c r="Y386" t="s">
        <v>1697</v>
      </c>
      <c r="Z386" t="s">
        <v>1697</v>
      </c>
      <c r="AA386" t="s">
        <v>1697</v>
      </c>
      <c r="AB386" t="s">
        <v>1697</v>
      </c>
      <c r="AC386" t="s">
        <v>1697</v>
      </c>
      <c r="AD386" t="s">
        <v>1697</v>
      </c>
      <c r="AE386" t="s">
        <v>1697</v>
      </c>
      <c r="AF386" t="s">
        <v>1697</v>
      </c>
      <c r="AG386" t="s">
        <v>1697</v>
      </c>
      <c r="AH386" t="s">
        <v>1697</v>
      </c>
      <c r="AI386" t="s">
        <v>1697</v>
      </c>
      <c r="AJ386" t="s">
        <v>1702</v>
      </c>
      <c r="AK386" t="s">
        <v>1703</v>
      </c>
      <c r="AL386" t="s">
        <v>1702</v>
      </c>
      <c r="AM386" t="s">
        <v>1703</v>
      </c>
      <c r="AN386" t="s">
        <v>1702</v>
      </c>
      <c r="AO386" t="s">
        <v>1703</v>
      </c>
      <c r="AP386" t="s">
        <v>1702</v>
      </c>
      <c r="AQ386" t="s">
        <v>1725</v>
      </c>
      <c r="AR386" t="s">
        <v>1703</v>
      </c>
      <c r="AS386" t="s">
        <v>1702</v>
      </c>
      <c r="AT386" t="s">
        <v>1703</v>
      </c>
      <c r="AU386" t="s">
        <v>1704</v>
      </c>
      <c r="AV386" t="s">
        <v>1725</v>
      </c>
      <c r="AW386" t="s">
        <v>1703</v>
      </c>
      <c r="AX386" t="s">
        <v>1704</v>
      </c>
      <c r="AY386" t="s">
        <v>1725</v>
      </c>
      <c r="AZ386" t="s">
        <v>1703</v>
      </c>
      <c r="BA386" t="s">
        <v>1702</v>
      </c>
      <c r="BB386" t="s">
        <v>1704</v>
      </c>
      <c r="BC386" t="s">
        <v>1725</v>
      </c>
      <c r="BD386" t="s">
        <v>1703</v>
      </c>
      <c r="BE386" t="s">
        <v>1704</v>
      </c>
      <c r="BF386" t="s">
        <v>1725</v>
      </c>
      <c r="BG386" s="6" t="s">
        <v>1697</v>
      </c>
      <c r="BH386" s="6" t="s">
        <v>1697</v>
      </c>
      <c r="BI386" t="b">
        <v>0</v>
      </c>
      <c r="BJ386">
        <f t="shared" ref="BJ386:BJ449" si="6">COUNTIF(BI386:BI386,TRUE)</f>
        <v>0</v>
      </c>
    </row>
    <row r="387" spans="1:62" x14ac:dyDescent="0.2">
      <c r="A387" s="5" t="s">
        <v>85</v>
      </c>
      <c r="B387" s="6">
        <v>36601</v>
      </c>
      <c r="C387" s="7">
        <v>33.546335999999997</v>
      </c>
      <c r="D387" s="7">
        <v>-112.201939</v>
      </c>
      <c r="E387" s="17">
        <v>346</v>
      </c>
      <c r="F387" t="s">
        <v>1703</v>
      </c>
      <c r="G387" s="11" t="s">
        <v>1738</v>
      </c>
      <c r="H387" t="s">
        <v>1725</v>
      </c>
      <c r="I387">
        <v>0</v>
      </c>
      <c r="J387" s="8">
        <v>26.849904420826096</v>
      </c>
      <c r="K387" s="8">
        <v>34.485136451131268</v>
      </c>
      <c r="L387" s="8">
        <v>38.664959128042639</v>
      </c>
      <c r="M387" s="8">
        <v>1.655479912071588</v>
      </c>
      <c r="N387" s="8">
        <v>1.7825324905549906</v>
      </c>
      <c r="O387" s="8">
        <v>4.1467284457737046</v>
      </c>
      <c r="P387" s="8">
        <v>29.495658231237194</v>
      </c>
      <c r="Q387" s="8">
        <v>8.2338535404859723</v>
      </c>
      <c r="R387" s="8">
        <v>8.2403917707864114</v>
      </c>
      <c r="S387" s="8">
        <v>0.83099999999999996</v>
      </c>
      <c r="T387" s="8">
        <v>0.79700000000000004</v>
      </c>
      <c r="U387" s="8">
        <v>0.22700000000000001</v>
      </c>
      <c r="V387" s="8">
        <v>0.27800000000000002</v>
      </c>
      <c r="W387" s="8">
        <v>0.60399999999999998</v>
      </c>
      <c r="X387" s="8">
        <v>0.51900000000000002</v>
      </c>
      <c r="Y387" s="8">
        <v>3.1128399999999998</v>
      </c>
      <c r="Z387" s="8">
        <v>3.1410300000000002</v>
      </c>
      <c r="AA387" s="9">
        <v>8.39</v>
      </c>
      <c r="AB387" s="10">
        <v>0.53300000000000003</v>
      </c>
      <c r="AC387" s="8">
        <v>15.33742</v>
      </c>
      <c r="AD387" s="8">
        <v>18.701170000000001</v>
      </c>
      <c r="AE387" s="8">
        <v>0.08</v>
      </c>
      <c r="AF387" s="8">
        <v>8.3000000000000004E-2</v>
      </c>
      <c r="AG387" s="8">
        <v>1.3698307441743072</v>
      </c>
      <c r="AH387" s="8">
        <v>10.387499999999999</v>
      </c>
      <c r="AI387" s="8">
        <v>9.9625000000000004</v>
      </c>
      <c r="AJ387" t="s">
        <v>1702</v>
      </c>
      <c r="AK387" t="s">
        <v>1703</v>
      </c>
      <c r="AL387" t="s">
        <v>1702</v>
      </c>
      <c r="AM387" t="s">
        <v>1703</v>
      </c>
      <c r="AN387" t="s">
        <v>1702</v>
      </c>
      <c r="AO387" t="s">
        <v>1703</v>
      </c>
      <c r="AP387" t="s">
        <v>1702</v>
      </c>
      <c r="AQ387" t="s">
        <v>1725</v>
      </c>
      <c r="AR387" t="s">
        <v>1703</v>
      </c>
      <c r="AS387" t="s">
        <v>1702</v>
      </c>
      <c r="AT387" t="s">
        <v>1703</v>
      </c>
      <c r="AU387" t="s">
        <v>1704</v>
      </c>
      <c r="AV387" t="s">
        <v>1725</v>
      </c>
      <c r="AW387" t="s">
        <v>1703</v>
      </c>
      <c r="AX387" t="s">
        <v>1704</v>
      </c>
      <c r="AY387" t="s">
        <v>1725</v>
      </c>
      <c r="AZ387" t="s">
        <v>1703</v>
      </c>
      <c r="BA387" t="s">
        <v>1702</v>
      </c>
      <c r="BB387" t="s">
        <v>1704</v>
      </c>
      <c r="BC387" t="s">
        <v>1725</v>
      </c>
      <c r="BD387" t="s">
        <v>1703</v>
      </c>
      <c r="BE387" t="s">
        <v>1704</v>
      </c>
      <c r="BF387" t="s">
        <v>1725</v>
      </c>
      <c r="BG387" t="s">
        <v>1697</v>
      </c>
      <c r="BH387" t="s">
        <v>1727</v>
      </c>
      <c r="BI387" t="b">
        <v>0</v>
      </c>
      <c r="BJ387">
        <f t="shared" si="6"/>
        <v>0</v>
      </c>
    </row>
    <row r="388" spans="1:62" x14ac:dyDescent="0.2">
      <c r="A388" s="5" t="s">
        <v>85</v>
      </c>
      <c r="B388" s="6">
        <v>38456</v>
      </c>
      <c r="C388" s="7">
        <v>33.546335999999997</v>
      </c>
      <c r="D388" s="7">
        <v>-112.201939</v>
      </c>
      <c r="E388" s="17">
        <v>346</v>
      </c>
      <c r="F388" s="11" t="s">
        <v>1703</v>
      </c>
      <c r="G388" t="s">
        <v>1730</v>
      </c>
      <c r="H388" t="s">
        <v>1705</v>
      </c>
      <c r="I388">
        <v>0</v>
      </c>
      <c r="J388" s="8">
        <v>17.827287053399559</v>
      </c>
      <c r="K388" s="8">
        <v>50.760946523428665</v>
      </c>
      <c r="L388" s="8">
        <v>31.41176642317177</v>
      </c>
      <c r="M388" s="8">
        <v>3.1935270414347472</v>
      </c>
      <c r="N388" s="8">
        <v>1.7003200674500512</v>
      </c>
      <c r="O388" s="8">
        <v>3.5270731990957089</v>
      </c>
      <c r="P388" s="8">
        <v>16.241752992120706</v>
      </c>
      <c r="Q388" s="8">
        <v>4.5283471998480369</v>
      </c>
      <c r="R388" s="8">
        <v>4.3317592047105018</v>
      </c>
      <c r="S388" s="8">
        <v>0.92600000000000005</v>
      </c>
      <c r="T388" s="8">
        <v>0.96799999999999997</v>
      </c>
      <c r="U388" s="8">
        <v>0.14799999999999999</v>
      </c>
      <c r="V388" s="8">
        <v>0.61799999999999999</v>
      </c>
      <c r="W388" s="8">
        <v>0.77800000000000002</v>
      </c>
      <c r="X388" s="8">
        <v>0.35</v>
      </c>
      <c r="Y388" s="8">
        <v>4.0094339622641497</v>
      </c>
      <c r="Z388" s="8">
        <v>4.6753246753246902</v>
      </c>
      <c r="AA388" s="8">
        <v>8.6</v>
      </c>
      <c r="AB388">
        <v>0.39100000000000001</v>
      </c>
      <c r="AC388" s="8">
        <v>4.9528301886792443</v>
      </c>
      <c r="AD388" s="8">
        <v>9.2207792207792068</v>
      </c>
      <c r="AE388" s="8">
        <v>4.7E-2</v>
      </c>
      <c r="AF388" s="8">
        <v>0.12</v>
      </c>
      <c r="AG388" s="8">
        <v>1.3489760941854314</v>
      </c>
      <c r="AH388" s="8">
        <v>19.702127659574469</v>
      </c>
      <c r="AI388" s="8">
        <v>20.595744680851062</v>
      </c>
      <c r="AJ388" t="s">
        <v>1702</v>
      </c>
      <c r="AK388" t="s">
        <v>1703</v>
      </c>
      <c r="AL388" t="s">
        <v>1702</v>
      </c>
      <c r="AM388" t="s">
        <v>1703</v>
      </c>
      <c r="AN388" t="s">
        <v>1702</v>
      </c>
      <c r="AO388" t="s">
        <v>1703</v>
      </c>
      <c r="AP388" t="s">
        <v>1702</v>
      </c>
      <c r="AQ388" t="s">
        <v>1725</v>
      </c>
      <c r="AR388" t="s">
        <v>1703</v>
      </c>
      <c r="AS388" t="s">
        <v>1702</v>
      </c>
      <c r="AT388" t="s">
        <v>1703</v>
      </c>
      <c r="AU388" t="s">
        <v>1704</v>
      </c>
      <c r="AV388" t="s">
        <v>1725</v>
      </c>
      <c r="AW388" t="s">
        <v>1703</v>
      </c>
      <c r="AX388" t="s">
        <v>1704</v>
      </c>
      <c r="AY388" t="s">
        <v>1725</v>
      </c>
      <c r="AZ388" t="s">
        <v>1703</v>
      </c>
      <c r="BA388" t="s">
        <v>1702</v>
      </c>
      <c r="BB388" t="s">
        <v>1704</v>
      </c>
      <c r="BC388" t="s">
        <v>1725</v>
      </c>
      <c r="BD388" t="s">
        <v>1703</v>
      </c>
      <c r="BE388" t="s">
        <v>1704</v>
      </c>
      <c r="BF388" t="s">
        <v>1725</v>
      </c>
      <c r="BG388" t="s">
        <v>1697</v>
      </c>
      <c r="BH388" t="s">
        <v>1727</v>
      </c>
      <c r="BI388" t="b">
        <v>0</v>
      </c>
      <c r="BJ388">
        <f t="shared" si="6"/>
        <v>0</v>
      </c>
    </row>
    <row r="389" spans="1:62" x14ac:dyDescent="0.2">
      <c r="A389" s="5" t="s">
        <v>85</v>
      </c>
      <c r="B389" s="6">
        <v>40294</v>
      </c>
      <c r="C389" s="7">
        <v>33.546335999999997</v>
      </c>
      <c r="D389" s="7">
        <v>-112.201939</v>
      </c>
      <c r="E389" s="17">
        <v>346</v>
      </c>
      <c r="F389" t="s">
        <v>1700</v>
      </c>
      <c r="G389" t="s">
        <v>1699</v>
      </c>
      <c r="H389" t="s">
        <v>1732</v>
      </c>
      <c r="I389">
        <v>1</v>
      </c>
      <c r="J389" s="8">
        <v>27.545879966097569</v>
      </c>
      <c r="K389" s="8">
        <v>24.700617231520255</v>
      </c>
      <c r="L389" s="8">
        <v>47.753502802382172</v>
      </c>
      <c r="M389" s="8">
        <v>1.5963343618168631</v>
      </c>
      <c r="N389" s="8">
        <v>1.2592009392664993</v>
      </c>
      <c r="O389" s="8">
        <v>17.552454747579084</v>
      </c>
      <c r="P389" s="8">
        <v>141.37041219985849</v>
      </c>
      <c r="Q389" s="8">
        <v>12.938702708571419</v>
      </c>
      <c r="R389" s="8">
        <v>12.262643261999672</v>
      </c>
      <c r="S389" s="8">
        <v>0.98099999999999998</v>
      </c>
      <c r="T389" s="8">
        <v>0.80600000000000005</v>
      </c>
      <c r="U389" s="8">
        <v>0.53800000000000003</v>
      </c>
      <c r="V389" s="8">
        <v>0.37</v>
      </c>
      <c r="W389" s="8">
        <v>0.44299999999999995</v>
      </c>
      <c r="X389" s="8">
        <v>0.43600000000000005</v>
      </c>
      <c r="Y389" s="8">
        <v>3.3259423503325829</v>
      </c>
      <c r="Z389" s="8">
        <v>4.1071428571428497</v>
      </c>
      <c r="AA389" s="8">
        <v>8.5</v>
      </c>
      <c r="AB389">
        <v>0.50800000000000001</v>
      </c>
      <c r="AC389" s="8">
        <v>3.7694013303769585</v>
      </c>
      <c r="AD389" s="8">
        <v>9.4642857142857348</v>
      </c>
      <c r="AE389" s="8">
        <v>4.9000000000000002E-2</v>
      </c>
      <c r="AF389" s="8">
        <v>6.3E-2</v>
      </c>
      <c r="AG389" s="8">
        <v>1.3841578630736029</v>
      </c>
      <c r="AH389" s="8">
        <v>20.020408163265305</v>
      </c>
      <c r="AI389" s="8">
        <v>16.448979591836736</v>
      </c>
      <c r="AJ389" t="s">
        <v>1702</v>
      </c>
      <c r="AK389" t="s">
        <v>1703</v>
      </c>
      <c r="AL389" t="s">
        <v>1702</v>
      </c>
      <c r="AM389" t="s">
        <v>1703</v>
      </c>
      <c r="AN389" t="s">
        <v>1702</v>
      </c>
      <c r="AO389" t="s">
        <v>1703</v>
      </c>
      <c r="AP389" t="s">
        <v>1702</v>
      </c>
      <c r="AQ389" t="s">
        <v>1725</v>
      </c>
      <c r="AR389" t="s">
        <v>1703</v>
      </c>
      <c r="AS389" t="s">
        <v>1702</v>
      </c>
      <c r="AT389" t="s">
        <v>1703</v>
      </c>
      <c r="AU389" t="s">
        <v>1704</v>
      </c>
      <c r="AV389" t="s">
        <v>1725</v>
      </c>
      <c r="AW389" t="s">
        <v>1703</v>
      </c>
      <c r="AX389" t="s">
        <v>1704</v>
      </c>
      <c r="AY389" t="s">
        <v>1725</v>
      </c>
      <c r="AZ389" t="s">
        <v>1703</v>
      </c>
      <c r="BA389" t="s">
        <v>1702</v>
      </c>
      <c r="BB389" t="s">
        <v>1704</v>
      </c>
      <c r="BC389" t="s">
        <v>1725</v>
      </c>
      <c r="BD389" t="s">
        <v>1703</v>
      </c>
      <c r="BE389" t="s">
        <v>1704</v>
      </c>
      <c r="BF389" t="s">
        <v>1725</v>
      </c>
      <c r="BG389">
        <v>5</v>
      </c>
      <c r="BH389" t="s">
        <v>1708</v>
      </c>
      <c r="BI389" t="b">
        <v>1</v>
      </c>
      <c r="BJ389">
        <f t="shared" si="6"/>
        <v>1</v>
      </c>
    </row>
    <row r="390" spans="1:62" x14ac:dyDescent="0.2">
      <c r="A390" s="5" t="s">
        <v>85</v>
      </c>
      <c r="B390" s="6">
        <v>42177</v>
      </c>
      <c r="C390" s="7">
        <v>33.546335999999997</v>
      </c>
      <c r="D390" s="7">
        <v>-112.201939</v>
      </c>
      <c r="E390" s="17">
        <v>346</v>
      </c>
      <c r="F390" t="s">
        <v>1700</v>
      </c>
      <c r="G390" t="s">
        <v>1699</v>
      </c>
      <c r="H390" t="s">
        <v>1701</v>
      </c>
      <c r="I390">
        <v>1</v>
      </c>
      <c r="J390">
        <v>13.9547380467958</v>
      </c>
      <c r="K390">
        <v>50.242774566473997</v>
      </c>
      <c r="L390">
        <v>35.802487386730199</v>
      </c>
      <c r="M390">
        <v>1.76283146174483</v>
      </c>
      <c r="N390" t="s">
        <v>1697</v>
      </c>
      <c r="O390">
        <v>15.816515615099499</v>
      </c>
      <c r="P390" t="s">
        <v>1697</v>
      </c>
      <c r="Q390">
        <v>0.78810836418442898</v>
      </c>
      <c r="R390" t="s">
        <v>1697</v>
      </c>
      <c r="S390">
        <v>1.04</v>
      </c>
      <c r="T390" t="s">
        <v>1697</v>
      </c>
      <c r="U390">
        <v>0.624</v>
      </c>
      <c r="V390" t="s">
        <v>1697</v>
      </c>
      <c r="W390">
        <v>0.41599999999999998</v>
      </c>
      <c r="X390" t="s">
        <v>1697</v>
      </c>
      <c r="Y390">
        <v>2.0325203252032402</v>
      </c>
      <c r="Z390" t="s">
        <v>1697</v>
      </c>
      <c r="AA390">
        <v>8.43</v>
      </c>
      <c r="AB390">
        <v>0.34899999999999998</v>
      </c>
      <c r="AC390">
        <v>5.2529182879377503</v>
      </c>
      <c r="AD390" t="s">
        <v>1697</v>
      </c>
      <c r="AE390">
        <v>8.1000000000000003E-2</v>
      </c>
      <c r="AF390" t="s">
        <v>1697</v>
      </c>
      <c r="AG390">
        <v>1.2867547313782461</v>
      </c>
      <c r="AH390">
        <v>12.839506172839499</v>
      </c>
      <c r="AI390" t="s">
        <v>1697</v>
      </c>
      <c r="AJ390" t="s">
        <v>1702</v>
      </c>
      <c r="AK390" t="s">
        <v>1703</v>
      </c>
      <c r="AL390" t="s">
        <v>1702</v>
      </c>
      <c r="AM390" t="s">
        <v>1703</v>
      </c>
      <c r="AN390" t="s">
        <v>1702</v>
      </c>
      <c r="AO390" t="s">
        <v>1703</v>
      </c>
      <c r="AP390" t="s">
        <v>1702</v>
      </c>
      <c r="AQ390" t="s">
        <v>1725</v>
      </c>
      <c r="AR390" t="s">
        <v>1703</v>
      </c>
      <c r="AS390" t="s">
        <v>1702</v>
      </c>
      <c r="AT390" t="s">
        <v>1703</v>
      </c>
      <c r="AU390" t="s">
        <v>1704</v>
      </c>
      <c r="AV390" t="s">
        <v>1725</v>
      </c>
      <c r="AW390" t="s">
        <v>1703</v>
      </c>
      <c r="AX390" t="s">
        <v>1704</v>
      </c>
      <c r="AY390" t="s">
        <v>1725</v>
      </c>
      <c r="AZ390" t="s">
        <v>1703</v>
      </c>
      <c r="BA390" t="s">
        <v>1702</v>
      </c>
      <c r="BB390" t="s">
        <v>1704</v>
      </c>
      <c r="BC390" t="s">
        <v>1725</v>
      </c>
      <c r="BD390" t="s">
        <v>1703</v>
      </c>
      <c r="BE390" t="s">
        <v>1704</v>
      </c>
      <c r="BF390" t="s">
        <v>1725</v>
      </c>
      <c r="BG390">
        <v>10</v>
      </c>
      <c r="BH390" t="s">
        <v>1708</v>
      </c>
      <c r="BI390" t="b">
        <v>0</v>
      </c>
      <c r="BJ390">
        <f t="shared" si="6"/>
        <v>0</v>
      </c>
    </row>
    <row r="391" spans="1:62" x14ac:dyDescent="0.2">
      <c r="A391" s="5" t="s">
        <v>85</v>
      </c>
      <c r="B391" s="6">
        <v>45091</v>
      </c>
      <c r="C391" s="7">
        <v>33.546335999999997</v>
      </c>
      <c r="D391" s="7">
        <v>-112.201939</v>
      </c>
      <c r="E391" s="17">
        <v>346</v>
      </c>
      <c r="F391" t="s">
        <v>1700</v>
      </c>
      <c r="G391" t="s">
        <v>1699</v>
      </c>
      <c r="H391" t="s">
        <v>1732</v>
      </c>
      <c r="I391">
        <v>1</v>
      </c>
      <c r="J391" t="s">
        <v>1697</v>
      </c>
      <c r="K391" t="s">
        <v>1697</v>
      </c>
      <c r="L391" t="s">
        <v>1697</v>
      </c>
      <c r="M391" t="s">
        <v>1697</v>
      </c>
      <c r="N391" t="s">
        <v>1697</v>
      </c>
      <c r="O391" t="s">
        <v>1697</v>
      </c>
      <c r="P391" t="s">
        <v>1697</v>
      </c>
      <c r="Q391" t="s">
        <v>1697</v>
      </c>
      <c r="R391" t="s">
        <v>1697</v>
      </c>
      <c r="S391" t="s">
        <v>1697</v>
      </c>
      <c r="T391" t="s">
        <v>1697</v>
      </c>
      <c r="U391" t="s">
        <v>1697</v>
      </c>
      <c r="V391" t="s">
        <v>1697</v>
      </c>
      <c r="W391" t="s">
        <v>1697</v>
      </c>
      <c r="X391" t="s">
        <v>1697</v>
      </c>
      <c r="Y391" t="s">
        <v>1697</v>
      </c>
      <c r="Z391" t="s">
        <v>1697</v>
      </c>
      <c r="AA391" t="s">
        <v>1697</v>
      </c>
      <c r="AB391" t="s">
        <v>1697</v>
      </c>
      <c r="AC391" t="s">
        <v>1697</v>
      </c>
      <c r="AD391" t="s">
        <v>1697</v>
      </c>
      <c r="AE391" t="s">
        <v>1697</v>
      </c>
      <c r="AF391" t="s">
        <v>1697</v>
      </c>
      <c r="AG391" t="s">
        <v>1697</v>
      </c>
      <c r="AH391" t="s">
        <v>1697</v>
      </c>
      <c r="AI391" t="s">
        <v>1697</v>
      </c>
      <c r="AJ391" t="s">
        <v>1702</v>
      </c>
      <c r="AK391" t="s">
        <v>1703</v>
      </c>
      <c r="AL391" t="s">
        <v>1702</v>
      </c>
      <c r="AM391" t="s">
        <v>1703</v>
      </c>
      <c r="AN391" t="s">
        <v>1702</v>
      </c>
      <c r="AO391" t="s">
        <v>1703</v>
      </c>
      <c r="AP391" t="s">
        <v>1702</v>
      </c>
      <c r="AQ391" t="s">
        <v>1725</v>
      </c>
      <c r="AR391" t="s">
        <v>1703</v>
      </c>
      <c r="AS391" t="s">
        <v>1702</v>
      </c>
      <c r="AT391" t="s">
        <v>1703</v>
      </c>
      <c r="AU391" t="s">
        <v>1704</v>
      </c>
      <c r="AV391" t="s">
        <v>1725</v>
      </c>
      <c r="AW391" t="s">
        <v>1703</v>
      </c>
      <c r="AX391" t="s">
        <v>1704</v>
      </c>
      <c r="AY391" t="s">
        <v>1725</v>
      </c>
      <c r="AZ391" t="s">
        <v>1703</v>
      </c>
      <c r="BA391" t="s">
        <v>1702</v>
      </c>
      <c r="BB391" t="s">
        <v>1704</v>
      </c>
      <c r="BC391" t="s">
        <v>1725</v>
      </c>
      <c r="BD391" t="s">
        <v>1703</v>
      </c>
      <c r="BE391" t="s">
        <v>1704</v>
      </c>
      <c r="BF391" t="s">
        <v>1725</v>
      </c>
      <c r="BG391" s="6" t="s">
        <v>1697</v>
      </c>
      <c r="BH391" s="6" t="s">
        <v>1697</v>
      </c>
      <c r="BI391" t="b">
        <v>1</v>
      </c>
      <c r="BJ391">
        <f t="shared" si="6"/>
        <v>1</v>
      </c>
    </row>
    <row r="392" spans="1:62" x14ac:dyDescent="0.2">
      <c r="A392" s="5" t="s">
        <v>86</v>
      </c>
      <c r="B392" s="6">
        <v>40333</v>
      </c>
      <c r="C392" s="7">
        <v>33.518405999999999</v>
      </c>
      <c r="D392" s="7">
        <v>-112.203675</v>
      </c>
      <c r="E392" s="17">
        <v>340</v>
      </c>
      <c r="F392" t="s">
        <v>1697</v>
      </c>
      <c r="G392" t="s">
        <v>1697</v>
      </c>
      <c r="H392" t="s">
        <v>1697</v>
      </c>
      <c r="I392" t="s">
        <v>1697</v>
      </c>
      <c r="J392" t="s">
        <v>1697</v>
      </c>
      <c r="K392" t="s">
        <v>1697</v>
      </c>
      <c r="L392" t="s">
        <v>1697</v>
      </c>
      <c r="M392" t="s">
        <v>1697</v>
      </c>
      <c r="N392" t="s">
        <v>1697</v>
      </c>
      <c r="O392" t="s">
        <v>1697</v>
      </c>
      <c r="P392" t="s">
        <v>1697</v>
      </c>
      <c r="Q392" t="s">
        <v>1697</v>
      </c>
      <c r="R392" t="s">
        <v>1697</v>
      </c>
      <c r="S392" t="s">
        <v>1697</v>
      </c>
      <c r="T392" t="s">
        <v>1697</v>
      </c>
      <c r="U392" t="s">
        <v>1697</v>
      </c>
      <c r="V392" t="s">
        <v>1697</v>
      </c>
      <c r="W392" t="s">
        <v>1697</v>
      </c>
      <c r="X392" t="s">
        <v>1697</v>
      </c>
      <c r="Y392" t="s">
        <v>1697</v>
      </c>
      <c r="Z392" t="s">
        <v>1697</v>
      </c>
      <c r="AA392" t="s">
        <v>1697</v>
      </c>
      <c r="AB392" t="s">
        <v>1697</v>
      </c>
      <c r="AC392" t="s">
        <v>1697</v>
      </c>
      <c r="AD392" t="s">
        <v>1697</v>
      </c>
      <c r="AE392" t="s">
        <v>1697</v>
      </c>
      <c r="AF392" t="s">
        <v>1697</v>
      </c>
      <c r="AG392" t="s">
        <v>1697</v>
      </c>
      <c r="AH392" t="s">
        <v>1697</v>
      </c>
      <c r="AI392" t="s">
        <v>1697</v>
      </c>
      <c r="AJ392" t="s">
        <v>1702</v>
      </c>
      <c r="AK392" t="s">
        <v>1703</v>
      </c>
      <c r="AL392" t="s">
        <v>1702</v>
      </c>
      <c r="AM392" t="s">
        <v>1703</v>
      </c>
      <c r="AN392" t="s">
        <v>1702</v>
      </c>
      <c r="AO392" t="s">
        <v>1703</v>
      </c>
      <c r="AP392" t="s">
        <v>1702</v>
      </c>
      <c r="AQ392" t="s">
        <v>1725</v>
      </c>
      <c r="AR392" t="s">
        <v>1703</v>
      </c>
      <c r="AS392" t="s">
        <v>1700</v>
      </c>
      <c r="AT392" t="s">
        <v>1700</v>
      </c>
      <c r="AU392" t="s">
        <v>1706</v>
      </c>
      <c r="AV392" t="s">
        <v>1723</v>
      </c>
      <c r="AW392" t="s">
        <v>1706</v>
      </c>
      <c r="AX392" t="s">
        <v>1706</v>
      </c>
      <c r="AY392" t="s">
        <v>1723</v>
      </c>
      <c r="AZ392" t="s">
        <v>1706</v>
      </c>
      <c r="BA392" t="s">
        <v>1700</v>
      </c>
      <c r="BB392" t="s">
        <v>1706</v>
      </c>
      <c r="BC392" t="s">
        <v>1723</v>
      </c>
      <c r="BD392" t="s">
        <v>1706</v>
      </c>
      <c r="BE392" t="s">
        <v>1706</v>
      </c>
      <c r="BF392" t="s">
        <v>1723</v>
      </c>
      <c r="BG392" s="6" t="s">
        <v>1697</v>
      </c>
      <c r="BH392" s="6" t="s">
        <v>1697</v>
      </c>
      <c r="BI392" t="b">
        <v>0</v>
      </c>
      <c r="BJ392">
        <f t="shared" si="6"/>
        <v>0</v>
      </c>
    </row>
    <row r="393" spans="1:62" x14ac:dyDescent="0.2">
      <c r="A393" s="5" t="s">
        <v>86</v>
      </c>
      <c r="B393" s="6">
        <v>42170</v>
      </c>
      <c r="C393" s="7">
        <v>33.518405999999999</v>
      </c>
      <c r="D393" s="7">
        <v>-112.203675</v>
      </c>
      <c r="E393" s="17">
        <v>340</v>
      </c>
      <c r="F393" t="s">
        <v>1706</v>
      </c>
      <c r="G393" t="s">
        <v>1728</v>
      </c>
      <c r="H393" t="s">
        <v>1728</v>
      </c>
      <c r="I393">
        <v>1</v>
      </c>
      <c r="J393">
        <v>7.6454048248871302</v>
      </c>
      <c r="K393">
        <v>75.159750001629007</v>
      </c>
      <c r="L393">
        <v>17.194845173483898</v>
      </c>
      <c r="M393">
        <v>8.5281064459120302</v>
      </c>
      <c r="N393">
        <v>2.5869493187413899</v>
      </c>
      <c r="O393">
        <v>212.82262075359799</v>
      </c>
      <c r="P393">
        <v>34.441632941823201</v>
      </c>
      <c r="Q393">
        <v>13.631635774869</v>
      </c>
      <c r="R393">
        <v>24.0737173796789</v>
      </c>
      <c r="S393">
        <v>2.0019999999999998</v>
      </c>
      <c r="T393">
        <v>0.61499999999999999</v>
      </c>
      <c r="U393">
        <v>0.13</v>
      </c>
      <c r="V393">
        <v>0.23699999999999999</v>
      </c>
      <c r="W393">
        <v>1.8720000000000001</v>
      </c>
      <c r="X393">
        <v>0.378</v>
      </c>
      <c r="Y393">
        <v>3.8199181446111901</v>
      </c>
      <c r="Z393">
        <v>1.7432646592709899</v>
      </c>
      <c r="AA393">
        <v>7.36</v>
      </c>
      <c r="AB393">
        <v>1.125</v>
      </c>
      <c r="AC393">
        <v>2.1868787276342001</v>
      </c>
      <c r="AD393">
        <v>3.0612244897959102</v>
      </c>
      <c r="AE393">
        <v>0.20599999999999999</v>
      </c>
      <c r="AF393">
        <v>5.8999999999999997E-2</v>
      </c>
      <c r="AG393">
        <v>1.2510469905371855</v>
      </c>
      <c r="AH393">
        <v>9.7184466019417499</v>
      </c>
      <c r="AI393">
        <v>10.4237288135593</v>
      </c>
      <c r="AJ393" t="s">
        <v>1702</v>
      </c>
      <c r="AK393" t="s">
        <v>1703</v>
      </c>
      <c r="AL393" t="s">
        <v>1702</v>
      </c>
      <c r="AM393" t="s">
        <v>1703</v>
      </c>
      <c r="AN393" t="s">
        <v>1702</v>
      </c>
      <c r="AO393" t="s">
        <v>1703</v>
      </c>
      <c r="AP393" t="s">
        <v>1702</v>
      </c>
      <c r="AQ393" t="s">
        <v>1725</v>
      </c>
      <c r="AR393" t="s">
        <v>1703</v>
      </c>
      <c r="AS393" t="s">
        <v>1700</v>
      </c>
      <c r="AT393" t="s">
        <v>1700</v>
      </c>
      <c r="AU393" t="s">
        <v>1706</v>
      </c>
      <c r="AV393" t="s">
        <v>1723</v>
      </c>
      <c r="AW393" t="s">
        <v>1706</v>
      </c>
      <c r="AX393" t="s">
        <v>1706</v>
      </c>
      <c r="AY393" t="s">
        <v>1723</v>
      </c>
      <c r="AZ393" t="s">
        <v>1706</v>
      </c>
      <c r="BA393" t="s">
        <v>1700</v>
      </c>
      <c r="BB393" t="s">
        <v>1706</v>
      </c>
      <c r="BC393" t="s">
        <v>1723</v>
      </c>
      <c r="BD393" t="s">
        <v>1706</v>
      </c>
      <c r="BE393" t="s">
        <v>1706</v>
      </c>
      <c r="BF393" t="s">
        <v>1723</v>
      </c>
      <c r="BG393">
        <v>45</v>
      </c>
      <c r="BH393" t="s">
        <v>1729</v>
      </c>
      <c r="BI393" t="b">
        <v>0</v>
      </c>
      <c r="BJ393">
        <f t="shared" si="6"/>
        <v>0</v>
      </c>
    </row>
    <row r="394" spans="1:62" x14ac:dyDescent="0.2">
      <c r="A394" s="5" t="s">
        <v>87</v>
      </c>
      <c r="B394" s="6">
        <v>38474</v>
      </c>
      <c r="C394" s="7">
        <v>33.473610999999998</v>
      </c>
      <c r="D394" s="7">
        <v>-112.223567</v>
      </c>
      <c r="E394" s="17">
        <v>321</v>
      </c>
      <c r="F394" t="s">
        <v>1700</v>
      </c>
      <c r="G394" t="s">
        <v>1755</v>
      </c>
      <c r="H394" t="s">
        <v>1755</v>
      </c>
      <c r="I394">
        <v>1</v>
      </c>
      <c r="J394" s="8">
        <v>18.954274642950992</v>
      </c>
      <c r="K394" s="8">
        <v>32.020740365594236</v>
      </c>
      <c r="L394" s="8">
        <v>49.024984991454772</v>
      </c>
      <c r="M394" s="8">
        <v>1.1984852720567405</v>
      </c>
      <c r="N394" s="8">
        <v>3.3981480620587958</v>
      </c>
      <c r="O394" s="8">
        <v>2.5231268885405069</v>
      </c>
      <c r="P394" s="8">
        <v>55.836236784417082</v>
      </c>
      <c r="Q394" s="8">
        <v>6.269256225507533</v>
      </c>
      <c r="R394" s="8">
        <v>4.4314453961688214</v>
      </c>
      <c r="S394" s="8">
        <v>0.67500000000000004</v>
      </c>
      <c r="T394" s="8">
        <v>0.89600000000000002</v>
      </c>
      <c r="U394" s="8">
        <v>0.27900000000000003</v>
      </c>
      <c r="V394" s="8">
        <v>0.54800000000000004</v>
      </c>
      <c r="W394" s="8">
        <v>0.39600000000000002</v>
      </c>
      <c r="X394" s="8">
        <v>0.34799999999999998</v>
      </c>
      <c r="Y394" s="8">
        <v>3.4946236559139763</v>
      </c>
      <c r="Z394" s="8">
        <v>4.4198895027624348</v>
      </c>
      <c r="AA394" s="8">
        <v>8.5</v>
      </c>
      <c r="AB394">
        <v>0.39100000000000001</v>
      </c>
      <c r="AC394" s="8">
        <v>5.7795698924731385</v>
      </c>
      <c r="AD394" s="8">
        <v>9.5303867403314833</v>
      </c>
      <c r="AE394" s="8">
        <v>3.7999999999999999E-2</v>
      </c>
      <c r="AF394" s="8">
        <v>4.5999999999999999E-2</v>
      </c>
      <c r="AG394" s="8">
        <v>1.1960468410388558</v>
      </c>
      <c r="AH394" s="8">
        <v>17.763157894736842</v>
      </c>
      <c r="AI394" s="8">
        <v>23.578947368421055</v>
      </c>
      <c r="AJ394" t="s">
        <v>1702</v>
      </c>
      <c r="AK394" t="s">
        <v>1703</v>
      </c>
      <c r="AL394" t="s">
        <v>1702</v>
      </c>
      <c r="AM394" t="s">
        <v>1703</v>
      </c>
      <c r="AN394" t="s">
        <v>1702</v>
      </c>
      <c r="AO394" t="s">
        <v>1703</v>
      </c>
      <c r="AP394" t="s">
        <v>1702</v>
      </c>
      <c r="AQ394" t="s">
        <v>1725</v>
      </c>
      <c r="AR394" t="s">
        <v>1703</v>
      </c>
      <c r="AS394" t="s">
        <v>1702</v>
      </c>
      <c r="AT394" t="s">
        <v>1703</v>
      </c>
      <c r="AU394" t="s">
        <v>1695</v>
      </c>
      <c r="AV394" t="s">
        <v>1711</v>
      </c>
      <c r="AW394" t="s">
        <v>1711</v>
      </c>
      <c r="AX394" t="s">
        <v>1695</v>
      </c>
      <c r="AY394" t="s">
        <v>1711</v>
      </c>
      <c r="AZ394" t="s">
        <v>1711</v>
      </c>
      <c r="BA394" t="s">
        <v>1700</v>
      </c>
      <c r="BB394" t="s">
        <v>1695</v>
      </c>
      <c r="BC394" t="s">
        <v>1711</v>
      </c>
      <c r="BD394" t="s">
        <v>1711</v>
      </c>
      <c r="BE394" t="s">
        <v>1695</v>
      </c>
      <c r="BF394" t="s">
        <v>1711</v>
      </c>
      <c r="BG394">
        <v>30</v>
      </c>
      <c r="BH394" s="12" t="s">
        <v>1709</v>
      </c>
      <c r="BI394" t="b">
        <v>0</v>
      </c>
      <c r="BJ394">
        <f t="shared" si="6"/>
        <v>0</v>
      </c>
    </row>
    <row r="395" spans="1:62" x14ac:dyDescent="0.2">
      <c r="A395" s="5" t="s">
        <v>87</v>
      </c>
      <c r="B395" s="6">
        <v>40252</v>
      </c>
      <c r="C395" s="7">
        <v>33.473610999999998</v>
      </c>
      <c r="D395" s="7">
        <v>-112.223567</v>
      </c>
      <c r="E395" s="17">
        <v>321</v>
      </c>
      <c r="F395" t="s">
        <v>1700</v>
      </c>
      <c r="G395" t="s">
        <v>1755</v>
      </c>
      <c r="H395" t="s">
        <v>1755</v>
      </c>
      <c r="I395">
        <v>1</v>
      </c>
      <c r="J395" s="8">
        <v>14.994469433814885</v>
      </c>
      <c r="K395" s="8">
        <v>37.543482795198635</v>
      </c>
      <c r="L395" s="8">
        <v>47.46204777098648</v>
      </c>
      <c r="M395" s="8">
        <v>0.67408832539842867</v>
      </c>
      <c r="N395" s="8">
        <v>4.7231381742410212</v>
      </c>
      <c r="O395" s="8">
        <v>9.8115281863922235</v>
      </c>
      <c r="P395" s="8">
        <v>148.7602574564101</v>
      </c>
      <c r="Q395" s="8">
        <v>15.104908207939632</v>
      </c>
      <c r="R395" s="8">
        <v>16.474291438556833</v>
      </c>
      <c r="S395" s="8">
        <v>0.72899999999999998</v>
      </c>
      <c r="T395" s="8">
        <v>0.67</v>
      </c>
      <c r="U395" s="8">
        <v>0.30299999999999999</v>
      </c>
      <c r="V395" s="8">
        <v>0.27600000000000002</v>
      </c>
      <c r="W395" s="8">
        <v>0.42599999999999999</v>
      </c>
      <c r="X395" s="8">
        <v>0.39400000000000002</v>
      </c>
      <c r="Y395" s="8">
        <v>3.8860103626942868</v>
      </c>
      <c r="Z395" s="8">
        <v>4.5652173913043468</v>
      </c>
      <c r="AA395" s="8">
        <v>8.19</v>
      </c>
      <c r="AB395">
        <v>0.95299999999999996</v>
      </c>
      <c r="AC395" s="8">
        <v>8.5492227979274631</v>
      </c>
      <c r="AD395" s="8">
        <v>10.434782608695643</v>
      </c>
      <c r="AE395" s="8">
        <v>4.2000000000000003E-2</v>
      </c>
      <c r="AF395" s="8">
        <v>5.8999999999999997E-2</v>
      </c>
      <c r="AG395" s="8">
        <v>1.6598802827225589</v>
      </c>
      <c r="AH395" s="8">
        <v>17.357142857142854</v>
      </c>
      <c r="AI395" s="8">
        <v>15.952380952380953</v>
      </c>
      <c r="AJ395" t="s">
        <v>1702</v>
      </c>
      <c r="AK395" t="s">
        <v>1703</v>
      </c>
      <c r="AL395" t="s">
        <v>1702</v>
      </c>
      <c r="AM395" t="s">
        <v>1703</v>
      </c>
      <c r="AN395" t="s">
        <v>1702</v>
      </c>
      <c r="AO395" t="s">
        <v>1703</v>
      </c>
      <c r="AP395" t="s">
        <v>1702</v>
      </c>
      <c r="AQ395" t="s">
        <v>1725</v>
      </c>
      <c r="AR395" t="s">
        <v>1703</v>
      </c>
      <c r="AS395" t="s">
        <v>1702</v>
      </c>
      <c r="AT395" t="s">
        <v>1703</v>
      </c>
      <c r="AU395" t="s">
        <v>1695</v>
      </c>
      <c r="AV395" t="s">
        <v>1711</v>
      </c>
      <c r="AW395" t="s">
        <v>1711</v>
      </c>
      <c r="AX395" t="s">
        <v>1695</v>
      </c>
      <c r="AY395" t="s">
        <v>1711</v>
      </c>
      <c r="AZ395" t="s">
        <v>1711</v>
      </c>
      <c r="BA395" t="s">
        <v>1700</v>
      </c>
      <c r="BB395" t="s">
        <v>1695</v>
      </c>
      <c r="BC395" t="s">
        <v>1711</v>
      </c>
      <c r="BD395" t="s">
        <v>1711</v>
      </c>
      <c r="BE395" t="s">
        <v>1695</v>
      </c>
      <c r="BF395" t="s">
        <v>1711</v>
      </c>
      <c r="BG395">
        <v>35</v>
      </c>
      <c r="BH395" s="12" t="s">
        <v>1709</v>
      </c>
      <c r="BI395" t="b">
        <v>0</v>
      </c>
      <c r="BJ395">
        <f t="shared" si="6"/>
        <v>0</v>
      </c>
    </row>
    <row r="396" spans="1:62" x14ac:dyDescent="0.2">
      <c r="A396" s="5" t="s">
        <v>87</v>
      </c>
      <c r="B396" s="6">
        <v>42093</v>
      </c>
      <c r="C396" s="7">
        <v>33.473610999999998</v>
      </c>
      <c r="D396" s="7">
        <v>-112.223567</v>
      </c>
      <c r="E396" s="17">
        <v>321</v>
      </c>
      <c r="F396" t="s">
        <v>1700</v>
      </c>
      <c r="G396" t="s">
        <v>1755</v>
      </c>
      <c r="H396" t="s">
        <v>1755</v>
      </c>
      <c r="I396" t="s">
        <v>1697</v>
      </c>
      <c r="J396">
        <v>15.4015713039385</v>
      </c>
      <c r="K396">
        <v>50.202705750482203</v>
      </c>
      <c r="L396">
        <v>34.395722945579301</v>
      </c>
      <c r="M396">
        <v>7.7941187908815399</v>
      </c>
      <c r="N396">
        <v>13.025926675269501</v>
      </c>
      <c r="O396">
        <v>88.622635502314793</v>
      </c>
      <c r="P396">
        <v>139.632762375097</v>
      </c>
      <c r="Q396">
        <v>8.5327513864501796</v>
      </c>
      <c r="R396">
        <v>8.6192553542771293</v>
      </c>
      <c r="S396">
        <v>0.66300000000000003</v>
      </c>
      <c r="T396">
        <v>0.61</v>
      </c>
      <c r="U396">
        <v>0.39700000000000002</v>
      </c>
      <c r="V396">
        <v>0.33200000000000002</v>
      </c>
      <c r="W396">
        <v>0.26600000000000001</v>
      </c>
      <c r="X396">
        <v>0.27800000000000002</v>
      </c>
      <c r="Y396">
        <v>2.59615384615384</v>
      </c>
      <c r="Z396">
        <v>2.7874564459930302</v>
      </c>
      <c r="AA396">
        <v>8.31</v>
      </c>
      <c r="AB396">
        <v>5.73</v>
      </c>
      <c r="AC396">
        <v>3.03766707168894</v>
      </c>
      <c r="AD396">
        <v>5.1643192488262901</v>
      </c>
      <c r="AE396">
        <v>4.8000000000000001E-2</v>
      </c>
      <c r="AF396">
        <v>4.8000000000000001E-2</v>
      </c>
      <c r="AG396">
        <v>1.3584433665108964</v>
      </c>
      <c r="AH396">
        <v>13.8125</v>
      </c>
      <c r="AI396">
        <v>12.7083333333333</v>
      </c>
      <c r="AJ396" t="s">
        <v>1702</v>
      </c>
      <c r="AK396" t="s">
        <v>1703</v>
      </c>
      <c r="AL396" t="s">
        <v>1702</v>
      </c>
      <c r="AM396" t="s">
        <v>1703</v>
      </c>
      <c r="AN396" t="s">
        <v>1702</v>
      </c>
      <c r="AO396" t="s">
        <v>1703</v>
      </c>
      <c r="AP396" t="s">
        <v>1702</v>
      </c>
      <c r="AQ396" t="s">
        <v>1725</v>
      </c>
      <c r="AR396" t="s">
        <v>1703</v>
      </c>
      <c r="AS396" t="s">
        <v>1702</v>
      </c>
      <c r="AT396" t="s">
        <v>1703</v>
      </c>
      <c r="AU396" t="s">
        <v>1695</v>
      </c>
      <c r="AV396" t="s">
        <v>1711</v>
      </c>
      <c r="AW396" t="s">
        <v>1711</v>
      </c>
      <c r="AX396" t="s">
        <v>1695</v>
      </c>
      <c r="AY396" t="s">
        <v>1711</v>
      </c>
      <c r="AZ396" t="s">
        <v>1711</v>
      </c>
      <c r="BA396" t="s">
        <v>1700</v>
      </c>
      <c r="BB396" t="s">
        <v>1695</v>
      </c>
      <c r="BC396" t="s">
        <v>1711</v>
      </c>
      <c r="BD396" t="s">
        <v>1711</v>
      </c>
      <c r="BE396" t="s">
        <v>1695</v>
      </c>
      <c r="BF396" t="s">
        <v>1711</v>
      </c>
      <c r="BG396">
        <v>40</v>
      </c>
      <c r="BH396" s="12" t="s">
        <v>1709</v>
      </c>
      <c r="BI396" t="b">
        <v>0</v>
      </c>
      <c r="BJ396">
        <f t="shared" si="6"/>
        <v>0</v>
      </c>
    </row>
    <row r="397" spans="1:62" x14ac:dyDescent="0.2">
      <c r="A397" s="5" t="s">
        <v>87</v>
      </c>
      <c r="B397" s="6">
        <v>45061</v>
      </c>
      <c r="C397" s="7">
        <v>33.473610999999998</v>
      </c>
      <c r="D397" s="7">
        <v>-112.223567</v>
      </c>
      <c r="E397" s="17">
        <v>321</v>
      </c>
      <c r="F397" t="s">
        <v>1700</v>
      </c>
      <c r="G397" t="s">
        <v>1755</v>
      </c>
      <c r="H397" t="s">
        <v>1755</v>
      </c>
      <c r="I397">
        <v>1</v>
      </c>
      <c r="J397" t="s">
        <v>1697</v>
      </c>
      <c r="K397" t="s">
        <v>1697</v>
      </c>
      <c r="L397" t="s">
        <v>1697</v>
      </c>
      <c r="M397" t="s">
        <v>1697</v>
      </c>
      <c r="N397" t="s">
        <v>1697</v>
      </c>
      <c r="O397" t="s">
        <v>1697</v>
      </c>
      <c r="P397" t="s">
        <v>1697</v>
      </c>
      <c r="Q397" t="s">
        <v>1697</v>
      </c>
      <c r="R397" t="s">
        <v>1697</v>
      </c>
      <c r="S397" t="s">
        <v>1697</v>
      </c>
      <c r="T397" t="s">
        <v>1697</v>
      </c>
      <c r="U397" t="s">
        <v>1697</v>
      </c>
      <c r="V397" t="s">
        <v>1697</v>
      </c>
      <c r="W397" t="s">
        <v>1697</v>
      </c>
      <c r="X397" t="s">
        <v>1697</v>
      </c>
      <c r="Y397" t="s">
        <v>1697</v>
      </c>
      <c r="Z397" t="s">
        <v>1697</v>
      </c>
      <c r="AA397" t="s">
        <v>1697</v>
      </c>
      <c r="AB397" t="s">
        <v>1697</v>
      </c>
      <c r="AC397" t="s">
        <v>1697</v>
      </c>
      <c r="AD397" t="s">
        <v>1697</v>
      </c>
      <c r="AE397" t="s">
        <v>1697</v>
      </c>
      <c r="AF397" t="s">
        <v>1697</v>
      </c>
      <c r="AG397" t="s">
        <v>1697</v>
      </c>
      <c r="AH397" t="s">
        <v>1697</v>
      </c>
      <c r="AI397" t="s">
        <v>1697</v>
      </c>
      <c r="AJ397" t="s">
        <v>1702</v>
      </c>
      <c r="AK397" t="s">
        <v>1703</v>
      </c>
      <c r="AL397" t="s">
        <v>1702</v>
      </c>
      <c r="AM397" t="s">
        <v>1703</v>
      </c>
      <c r="AN397" t="s">
        <v>1702</v>
      </c>
      <c r="AO397" t="s">
        <v>1703</v>
      </c>
      <c r="AP397" t="s">
        <v>1702</v>
      </c>
      <c r="AQ397" t="s">
        <v>1725</v>
      </c>
      <c r="AR397" t="s">
        <v>1703</v>
      </c>
      <c r="AS397" t="s">
        <v>1702</v>
      </c>
      <c r="AT397" t="s">
        <v>1703</v>
      </c>
      <c r="AU397" t="s">
        <v>1695</v>
      </c>
      <c r="AV397" t="s">
        <v>1711</v>
      </c>
      <c r="AW397" t="s">
        <v>1711</v>
      </c>
      <c r="AX397" t="s">
        <v>1695</v>
      </c>
      <c r="AY397" t="s">
        <v>1711</v>
      </c>
      <c r="AZ397" t="s">
        <v>1711</v>
      </c>
      <c r="BA397" t="s">
        <v>1700</v>
      </c>
      <c r="BB397" t="s">
        <v>1695</v>
      </c>
      <c r="BC397" t="s">
        <v>1711</v>
      </c>
      <c r="BD397" t="s">
        <v>1711</v>
      </c>
      <c r="BE397" t="s">
        <v>1695</v>
      </c>
      <c r="BF397" t="s">
        <v>1711</v>
      </c>
      <c r="BG397" s="6" t="s">
        <v>1697</v>
      </c>
      <c r="BH397" s="6" t="s">
        <v>1697</v>
      </c>
      <c r="BI397" t="b">
        <v>1</v>
      </c>
      <c r="BJ397">
        <f t="shared" si="6"/>
        <v>1</v>
      </c>
    </row>
    <row r="398" spans="1:62" x14ac:dyDescent="0.2">
      <c r="A398" s="5" t="s">
        <v>88</v>
      </c>
      <c r="B398" s="6">
        <v>38481</v>
      </c>
      <c r="C398" s="7">
        <v>33.418294000000003</v>
      </c>
      <c r="D398" s="7">
        <v>-112.198989</v>
      </c>
      <c r="E398" s="17">
        <v>309</v>
      </c>
      <c r="F398" t="s">
        <v>1706</v>
      </c>
      <c r="G398" t="s">
        <v>1710</v>
      </c>
      <c r="H398" t="s">
        <v>1710</v>
      </c>
      <c r="I398">
        <v>1</v>
      </c>
      <c r="J398" s="8">
        <v>15.0983750076914</v>
      </c>
      <c r="K398" s="8">
        <v>61.636147471885316</v>
      </c>
      <c r="L398" s="8">
        <v>23.265477520423289</v>
      </c>
      <c r="M398" s="8">
        <v>1.1818688015349259</v>
      </c>
      <c r="N398" s="8">
        <v>0.75142404364602977</v>
      </c>
      <c r="O398" s="8">
        <v>40.743371842388235</v>
      </c>
      <c r="P398" s="8">
        <v>28.529066190427599</v>
      </c>
      <c r="Q398" s="8">
        <v>11.211136778701556</v>
      </c>
      <c r="R398" s="8">
        <v>8.9701911366311862</v>
      </c>
      <c r="S398" s="8">
        <v>0.85699999999999998</v>
      </c>
      <c r="T398" s="8">
        <v>0.93300000000000005</v>
      </c>
      <c r="U398" s="8">
        <v>0.30099999999999999</v>
      </c>
      <c r="V398" s="8">
        <v>0.309</v>
      </c>
      <c r="W398" s="8">
        <v>0.55600000000000005</v>
      </c>
      <c r="X398" s="8">
        <v>0.62400000000000011</v>
      </c>
      <c r="Y398" s="8">
        <v>2.2091310751104358</v>
      </c>
      <c r="Z398" s="8">
        <v>2.251184834123217</v>
      </c>
      <c r="AA398" s="8">
        <v>7.99</v>
      </c>
      <c r="AB398">
        <v>1.8460000000000001</v>
      </c>
      <c r="AC398" s="8">
        <v>5.8910162002945565</v>
      </c>
      <c r="AD398" s="8">
        <v>9.8341232227488167</v>
      </c>
      <c r="AE398" s="8">
        <v>4.5999999999999999E-2</v>
      </c>
      <c r="AF398" s="8">
        <v>4.5999999999999999E-2</v>
      </c>
      <c r="AG398" s="8">
        <v>1.1961781458850291</v>
      </c>
      <c r="AH398" s="8">
        <v>18.630434782608695</v>
      </c>
      <c r="AI398" s="8">
        <v>20.282608695652176</v>
      </c>
      <c r="AJ398" t="s">
        <v>1702</v>
      </c>
      <c r="AK398" t="s">
        <v>1703</v>
      </c>
      <c r="AL398" t="s">
        <v>1702</v>
      </c>
      <c r="AM398" t="s">
        <v>1703</v>
      </c>
      <c r="AN398" t="s">
        <v>1702</v>
      </c>
      <c r="AO398" t="s">
        <v>1703</v>
      </c>
      <c r="AP398" t="s">
        <v>1702</v>
      </c>
      <c r="AQ398" t="s">
        <v>1705</v>
      </c>
      <c r="AR398" t="s">
        <v>1703</v>
      </c>
      <c r="AS398" t="s">
        <v>1702</v>
      </c>
      <c r="AT398" t="s">
        <v>1703</v>
      </c>
      <c r="AU398" t="s">
        <v>1704</v>
      </c>
      <c r="AV398" t="s">
        <v>1705</v>
      </c>
      <c r="AW398" t="s">
        <v>1703</v>
      </c>
      <c r="AX398" t="s">
        <v>1704</v>
      </c>
      <c r="AY398" t="s">
        <v>1725</v>
      </c>
      <c r="AZ398" t="s">
        <v>1703</v>
      </c>
      <c r="BA398" t="s">
        <v>1694</v>
      </c>
      <c r="BB398" t="s">
        <v>1704</v>
      </c>
      <c r="BC398" t="s">
        <v>1725</v>
      </c>
      <c r="BD398" t="s">
        <v>1703</v>
      </c>
      <c r="BE398" t="s">
        <v>1704</v>
      </c>
      <c r="BF398" t="s">
        <v>1705</v>
      </c>
      <c r="BG398" t="s">
        <v>1697</v>
      </c>
      <c r="BH398" t="s">
        <v>1727</v>
      </c>
      <c r="BI398" t="b">
        <v>0</v>
      </c>
      <c r="BJ398">
        <f t="shared" si="6"/>
        <v>0</v>
      </c>
    </row>
    <row r="399" spans="1:62" x14ac:dyDescent="0.2">
      <c r="A399" s="5" t="s">
        <v>88</v>
      </c>
      <c r="B399" s="6">
        <v>40332</v>
      </c>
      <c r="C399" s="7">
        <v>33.418294000000003</v>
      </c>
      <c r="D399" s="7">
        <v>-112.198989</v>
      </c>
      <c r="E399" s="17">
        <v>309</v>
      </c>
      <c r="F399" t="s">
        <v>1697</v>
      </c>
      <c r="G399" t="s">
        <v>1697</v>
      </c>
      <c r="H399" t="s">
        <v>1697</v>
      </c>
      <c r="I399" t="s">
        <v>1697</v>
      </c>
      <c r="J399" t="s">
        <v>1697</v>
      </c>
      <c r="K399" t="s">
        <v>1697</v>
      </c>
      <c r="L399" t="s">
        <v>1697</v>
      </c>
      <c r="M399" t="s">
        <v>1697</v>
      </c>
      <c r="N399" t="s">
        <v>1697</v>
      </c>
      <c r="O399" t="s">
        <v>1697</v>
      </c>
      <c r="P399" t="s">
        <v>1697</v>
      </c>
      <c r="Q399" t="s">
        <v>1697</v>
      </c>
      <c r="R399" t="s">
        <v>1697</v>
      </c>
      <c r="S399" t="s">
        <v>1697</v>
      </c>
      <c r="T399" t="s">
        <v>1697</v>
      </c>
      <c r="U399" t="s">
        <v>1697</v>
      </c>
      <c r="V399" t="s">
        <v>1697</v>
      </c>
      <c r="W399" t="s">
        <v>1697</v>
      </c>
      <c r="X399" t="s">
        <v>1697</v>
      </c>
      <c r="Y399" t="s">
        <v>1697</v>
      </c>
      <c r="Z399" t="s">
        <v>1697</v>
      </c>
      <c r="AA399" t="s">
        <v>1697</v>
      </c>
      <c r="AB399" t="s">
        <v>1697</v>
      </c>
      <c r="AC399" t="s">
        <v>1697</v>
      </c>
      <c r="AD399" t="s">
        <v>1697</v>
      </c>
      <c r="AE399" t="s">
        <v>1697</v>
      </c>
      <c r="AF399" t="s">
        <v>1697</v>
      </c>
      <c r="AG399" t="s">
        <v>1697</v>
      </c>
      <c r="AH399" t="s">
        <v>1697</v>
      </c>
      <c r="AI399" t="s">
        <v>1697</v>
      </c>
      <c r="AJ399" t="s">
        <v>1702</v>
      </c>
      <c r="AK399" t="s">
        <v>1703</v>
      </c>
      <c r="AL399" t="s">
        <v>1702</v>
      </c>
      <c r="AM399" t="s">
        <v>1703</v>
      </c>
      <c r="AN399" t="s">
        <v>1702</v>
      </c>
      <c r="AO399" t="s">
        <v>1703</v>
      </c>
      <c r="AP399" t="s">
        <v>1702</v>
      </c>
      <c r="AQ399" t="s">
        <v>1705</v>
      </c>
      <c r="AR399" t="s">
        <v>1703</v>
      </c>
      <c r="AS399" t="s">
        <v>1702</v>
      </c>
      <c r="AT399" t="s">
        <v>1703</v>
      </c>
      <c r="AU399" t="s">
        <v>1704</v>
      </c>
      <c r="AV399" t="s">
        <v>1705</v>
      </c>
      <c r="AW399" t="s">
        <v>1703</v>
      </c>
      <c r="AX399" t="s">
        <v>1704</v>
      </c>
      <c r="AY399" t="s">
        <v>1725</v>
      </c>
      <c r="AZ399" t="s">
        <v>1703</v>
      </c>
      <c r="BA399" t="s">
        <v>1694</v>
      </c>
      <c r="BB399" t="s">
        <v>1704</v>
      </c>
      <c r="BC399" t="s">
        <v>1725</v>
      </c>
      <c r="BD399" t="s">
        <v>1703</v>
      </c>
      <c r="BE399" t="s">
        <v>1704</v>
      </c>
      <c r="BF399" t="s">
        <v>1705</v>
      </c>
      <c r="BG399" s="6" t="s">
        <v>1697</v>
      </c>
      <c r="BH399" s="6" t="s">
        <v>1697</v>
      </c>
      <c r="BI399" t="b">
        <v>0</v>
      </c>
      <c r="BJ399">
        <f t="shared" si="6"/>
        <v>0</v>
      </c>
    </row>
    <row r="400" spans="1:62" x14ac:dyDescent="0.2">
      <c r="A400" s="5" t="s">
        <v>88</v>
      </c>
      <c r="B400" s="6">
        <v>42166</v>
      </c>
      <c r="C400" s="7">
        <v>33.418294000000003</v>
      </c>
      <c r="D400" s="7">
        <v>-112.198989</v>
      </c>
      <c r="E400" s="17">
        <v>309</v>
      </c>
      <c r="F400" t="s">
        <v>1706</v>
      </c>
      <c r="G400" t="s">
        <v>1724</v>
      </c>
      <c r="H400" t="s">
        <v>1724</v>
      </c>
      <c r="I400">
        <v>1</v>
      </c>
      <c r="J400">
        <v>8.5088095385755906</v>
      </c>
      <c r="K400">
        <v>64.897466037552505</v>
      </c>
      <c r="L400">
        <v>26.593724423871901</v>
      </c>
      <c r="M400">
        <v>50.219793269914497</v>
      </c>
      <c r="N400" t="s">
        <v>1697</v>
      </c>
      <c r="O400">
        <v>130.30000415977801</v>
      </c>
      <c r="P400" t="s">
        <v>1697</v>
      </c>
      <c r="Q400">
        <v>17.131438074411601</v>
      </c>
      <c r="R400" t="s">
        <v>1697</v>
      </c>
      <c r="S400">
        <v>1.1160000000000001</v>
      </c>
      <c r="T400" t="s">
        <v>1697</v>
      </c>
      <c r="U400">
        <v>0.53100000000000003</v>
      </c>
      <c r="V400" t="s">
        <v>1697</v>
      </c>
      <c r="W400">
        <v>0.58499999999999996</v>
      </c>
      <c r="X400" t="s">
        <v>1697</v>
      </c>
      <c r="Y400">
        <v>2.5609756097560901</v>
      </c>
      <c r="Z400" t="s">
        <v>1697</v>
      </c>
      <c r="AA400">
        <v>8.1300000000000008</v>
      </c>
      <c r="AB400">
        <v>1.577</v>
      </c>
      <c r="AC400">
        <v>3.0150753768844498</v>
      </c>
      <c r="AD400" t="s">
        <v>1697</v>
      </c>
      <c r="AE400">
        <v>0.13700000000000001</v>
      </c>
      <c r="AF400" t="s">
        <v>1697</v>
      </c>
      <c r="AG400">
        <v>1.2319480940587129</v>
      </c>
      <c r="AH400">
        <v>8.1459854014598498</v>
      </c>
      <c r="AI400" t="s">
        <v>1697</v>
      </c>
      <c r="AJ400" t="s">
        <v>1702</v>
      </c>
      <c r="AK400" t="s">
        <v>1703</v>
      </c>
      <c r="AL400" t="s">
        <v>1702</v>
      </c>
      <c r="AM400" t="s">
        <v>1703</v>
      </c>
      <c r="AN400" t="s">
        <v>1702</v>
      </c>
      <c r="AO400" t="s">
        <v>1703</v>
      </c>
      <c r="AP400" t="s">
        <v>1702</v>
      </c>
      <c r="AQ400" t="s">
        <v>1705</v>
      </c>
      <c r="AR400" t="s">
        <v>1703</v>
      </c>
      <c r="AS400" t="s">
        <v>1702</v>
      </c>
      <c r="AT400" t="s">
        <v>1703</v>
      </c>
      <c r="AU400" t="s">
        <v>1704</v>
      </c>
      <c r="AV400" t="s">
        <v>1705</v>
      </c>
      <c r="AW400" t="s">
        <v>1703</v>
      </c>
      <c r="AX400" t="s">
        <v>1704</v>
      </c>
      <c r="AY400" t="s">
        <v>1725</v>
      </c>
      <c r="AZ400" t="s">
        <v>1703</v>
      </c>
      <c r="BA400" t="s">
        <v>1694</v>
      </c>
      <c r="BB400" t="s">
        <v>1704</v>
      </c>
      <c r="BC400" t="s">
        <v>1725</v>
      </c>
      <c r="BD400" t="s">
        <v>1703</v>
      </c>
      <c r="BE400" t="s">
        <v>1704</v>
      </c>
      <c r="BF400" t="s">
        <v>1705</v>
      </c>
      <c r="BG400" t="s">
        <v>1697</v>
      </c>
      <c r="BH400" t="s">
        <v>1727</v>
      </c>
      <c r="BI400" t="b">
        <v>0</v>
      </c>
      <c r="BJ400">
        <f t="shared" si="6"/>
        <v>0</v>
      </c>
    </row>
    <row r="401" spans="1:62" x14ac:dyDescent="0.2">
      <c r="A401" s="5" t="s">
        <v>876</v>
      </c>
      <c r="B401" s="6">
        <v>36619</v>
      </c>
      <c r="C401" s="7">
        <v>33.724628000000003</v>
      </c>
      <c r="D401" s="7">
        <v>-112.183244</v>
      </c>
      <c r="E401" s="17">
        <v>309</v>
      </c>
      <c r="F401" t="s">
        <v>1711</v>
      </c>
      <c r="G401" t="s">
        <v>1711</v>
      </c>
      <c r="H401" t="s">
        <v>1711</v>
      </c>
      <c r="I401">
        <v>1</v>
      </c>
      <c r="J401" s="8">
        <v>20.411613021192199</v>
      </c>
      <c r="K401" s="8">
        <v>26.524777136032554</v>
      </c>
      <c r="L401" s="8">
        <v>53.06360984277525</v>
      </c>
      <c r="M401" s="8">
        <v>2.5525556682525492</v>
      </c>
      <c r="N401" s="8">
        <v>1.7103298348836453</v>
      </c>
      <c r="O401" s="8">
        <v>90.133481132578908</v>
      </c>
      <c r="P401" s="8">
        <v>4.0620226466863452</v>
      </c>
      <c r="Q401" s="8">
        <v>25.080807801005854</v>
      </c>
      <c r="R401" s="8">
        <v>23.401997346419041</v>
      </c>
      <c r="S401" s="8">
        <v>1.8720000000000001</v>
      </c>
      <c r="T401" s="8">
        <v>1.7090000000000001</v>
      </c>
      <c r="U401" s="8">
        <v>0.53800000000000003</v>
      </c>
      <c r="V401" s="8">
        <v>0.59599999999999997</v>
      </c>
      <c r="W401" s="8">
        <v>1.3340000000000001</v>
      </c>
      <c r="X401" s="8">
        <v>1.113</v>
      </c>
      <c r="Y401" s="8">
        <v>3.6827200000000002</v>
      </c>
      <c r="Z401" s="8">
        <v>3.1799200000000001</v>
      </c>
      <c r="AA401" s="9">
        <v>7.75</v>
      </c>
      <c r="AB401" s="10">
        <v>0.51200000000000001</v>
      </c>
      <c r="AC401" s="8">
        <v>7.4013200000000001</v>
      </c>
      <c r="AD401" s="8">
        <v>10.672700000000001</v>
      </c>
      <c r="AE401" s="8">
        <v>0.13500000000000001</v>
      </c>
      <c r="AF401" s="8">
        <v>0.109</v>
      </c>
      <c r="AG401" s="8">
        <v>0.70273465056893591</v>
      </c>
      <c r="AH401" s="8">
        <v>13.866666666666667</v>
      </c>
      <c r="AI401" s="8">
        <v>12.659259259259258</v>
      </c>
      <c r="AJ401" t="s">
        <v>1694</v>
      </c>
      <c r="AK401" t="s">
        <v>1694</v>
      </c>
      <c r="AL401" t="s">
        <v>1694</v>
      </c>
      <c r="AM401" t="s">
        <v>1694</v>
      </c>
      <c r="AN401" t="s">
        <v>1694</v>
      </c>
      <c r="AO401" t="s">
        <v>1694</v>
      </c>
      <c r="AP401" t="s">
        <v>1695</v>
      </c>
      <c r="AQ401" t="s">
        <v>1694</v>
      </c>
      <c r="AR401" t="s">
        <v>1694</v>
      </c>
      <c r="AS401" t="s">
        <v>1694</v>
      </c>
      <c r="AT401" t="s">
        <v>1694</v>
      </c>
      <c r="AU401" t="s">
        <v>1695</v>
      </c>
      <c r="AV401" t="s">
        <v>1694</v>
      </c>
      <c r="AW401" t="s">
        <v>1694</v>
      </c>
      <c r="AX401" t="s">
        <v>1695</v>
      </c>
      <c r="AY401" t="s">
        <v>1694</v>
      </c>
      <c r="AZ401" t="s">
        <v>1694</v>
      </c>
      <c r="BA401" t="s">
        <v>1694</v>
      </c>
      <c r="BB401" t="s">
        <v>1697</v>
      </c>
      <c r="BC401" t="s">
        <v>1697</v>
      </c>
      <c r="BD401" t="s">
        <v>1694</v>
      </c>
      <c r="BE401" t="s">
        <v>1697</v>
      </c>
      <c r="BF401" t="s">
        <v>1697</v>
      </c>
      <c r="BG401">
        <v>5</v>
      </c>
      <c r="BH401" t="s">
        <v>1708</v>
      </c>
      <c r="BI401" t="b">
        <v>0</v>
      </c>
      <c r="BJ401">
        <f t="shared" si="6"/>
        <v>0</v>
      </c>
    </row>
    <row r="402" spans="1:62" x14ac:dyDescent="0.2">
      <c r="A402" s="5" t="s">
        <v>876</v>
      </c>
      <c r="B402" s="6">
        <v>38469</v>
      </c>
      <c r="C402" s="7">
        <v>33.724628000000003</v>
      </c>
      <c r="D402" s="7">
        <v>-112.183244</v>
      </c>
      <c r="E402" s="17">
        <v>445</v>
      </c>
      <c r="F402" t="s">
        <v>1700</v>
      </c>
      <c r="G402" t="s">
        <v>1736</v>
      </c>
      <c r="H402" t="s">
        <v>1737</v>
      </c>
      <c r="I402">
        <v>1</v>
      </c>
      <c r="J402" s="8">
        <v>14.257789935092763</v>
      </c>
      <c r="K402" s="8">
        <v>65.706458904528461</v>
      </c>
      <c r="L402" s="8">
        <v>20.03575116037878</v>
      </c>
      <c r="M402" s="8">
        <v>2.2013689682103599</v>
      </c>
      <c r="N402" s="8">
        <v>2.5601194188868028</v>
      </c>
      <c r="O402" s="8">
        <v>29.48141056657105</v>
      </c>
      <c r="P402" s="8">
        <v>19.712919525428386</v>
      </c>
      <c r="Q402" s="8">
        <v>7.3485466282784131</v>
      </c>
      <c r="R402" s="8">
        <v>3.0762573211478124</v>
      </c>
      <c r="S402" s="8">
        <v>1.6950000000000001</v>
      </c>
      <c r="T402" s="8">
        <v>2.33</v>
      </c>
      <c r="U402" s="8">
        <v>1.484</v>
      </c>
      <c r="V402" s="8">
        <v>2.0379999999999998</v>
      </c>
      <c r="W402" s="8">
        <v>0.21100000000000008</v>
      </c>
      <c r="X402" s="8">
        <v>0.29200000000000026</v>
      </c>
      <c r="Y402" s="8">
        <v>3.1837916063675671</v>
      </c>
      <c r="Z402" s="8">
        <v>3.4574468085106358</v>
      </c>
      <c r="AA402" s="8">
        <v>8.16</v>
      </c>
      <c r="AB402">
        <v>0.53700000000000003</v>
      </c>
      <c r="AC402" s="8">
        <v>9.117221418234454</v>
      </c>
      <c r="AD402" s="8">
        <v>13.430851063829785</v>
      </c>
      <c r="AE402" s="8">
        <v>2.3E-2</v>
      </c>
      <c r="AF402" s="8">
        <v>1.9E-2</v>
      </c>
      <c r="AG402" s="8">
        <v>1.5459132229216648</v>
      </c>
      <c r="AH402" s="8">
        <v>73.695652173913047</v>
      </c>
      <c r="AI402" s="8">
        <v>101.30434782608697</v>
      </c>
      <c r="AJ402" t="s">
        <v>1694</v>
      </c>
      <c r="AK402" t="s">
        <v>1694</v>
      </c>
      <c r="AL402" t="s">
        <v>1694</v>
      </c>
      <c r="AM402" t="s">
        <v>1694</v>
      </c>
      <c r="AN402" t="s">
        <v>1694</v>
      </c>
      <c r="AO402" t="s">
        <v>1694</v>
      </c>
      <c r="AP402" t="s">
        <v>1695</v>
      </c>
      <c r="AQ402" t="s">
        <v>1694</v>
      </c>
      <c r="AR402" t="s">
        <v>1694</v>
      </c>
      <c r="AS402" t="s">
        <v>1694</v>
      </c>
      <c r="AT402" t="s">
        <v>1694</v>
      </c>
      <c r="AU402" t="s">
        <v>1695</v>
      </c>
      <c r="AV402" t="s">
        <v>1694</v>
      </c>
      <c r="AW402" t="s">
        <v>1694</v>
      </c>
      <c r="AX402" t="s">
        <v>1695</v>
      </c>
      <c r="AY402" t="s">
        <v>1694</v>
      </c>
      <c r="AZ402" t="s">
        <v>1694</v>
      </c>
      <c r="BA402" t="s">
        <v>1694</v>
      </c>
      <c r="BB402" t="s">
        <v>1697</v>
      </c>
      <c r="BC402" t="s">
        <v>1697</v>
      </c>
      <c r="BD402" t="s">
        <v>1694</v>
      </c>
      <c r="BE402" t="s">
        <v>1697</v>
      </c>
      <c r="BF402" t="s">
        <v>1697</v>
      </c>
      <c r="BG402">
        <v>5</v>
      </c>
      <c r="BH402" t="s">
        <v>1708</v>
      </c>
      <c r="BI402" t="b">
        <v>0</v>
      </c>
      <c r="BJ402">
        <f t="shared" si="6"/>
        <v>0</v>
      </c>
    </row>
    <row r="403" spans="1:62" x14ac:dyDescent="0.2">
      <c r="A403" s="5" t="s">
        <v>876</v>
      </c>
      <c r="B403" s="6">
        <v>40295</v>
      </c>
      <c r="C403" s="7">
        <v>33.724628000000003</v>
      </c>
      <c r="D403" s="7">
        <v>-112.183244</v>
      </c>
      <c r="E403" s="17">
        <v>445</v>
      </c>
      <c r="F403" t="s">
        <v>1706</v>
      </c>
      <c r="G403" t="s">
        <v>1710</v>
      </c>
      <c r="H403" t="s">
        <v>1710</v>
      </c>
      <c r="I403">
        <v>1</v>
      </c>
      <c r="J403" s="8">
        <v>17.36051031485351</v>
      </c>
      <c r="K403" s="8">
        <v>61.834161554041152</v>
      </c>
      <c r="L403" s="8">
        <v>20.805328131105341</v>
      </c>
      <c r="M403" s="8">
        <v>0.70362185913844577</v>
      </c>
      <c r="N403" s="8">
        <v>0.14355133085238217</v>
      </c>
      <c r="O403" s="8">
        <v>2.1100723171457338</v>
      </c>
      <c r="P403" s="8">
        <v>5.0164948770696602</v>
      </c>
      <c r="Q403" s="8">
        <v>25.192359642073011</v>
      </c>
      <c r="R403" s="8">
        <v>11.267494485574447</v>
      </c>
      <c r="S403" s="8">
        <v>1.4139999999999999</v>
      </c>
      <c r="T403" s="8">
        <v>1.4039999999999999</v>
      </c>
      <c r="U403" s="8">
        <v>1.266</v>
      </c>
      <c r="V403" s="8">
        <v>1.1419999999999999</v>
      </c>
      <c r="W403" s="8">
        <v>0.14799999999999991</v>
      </c>
      <c r="X403" s="8">
        <v>0.26200000000000001</v>
      </c>
      <c r="Y403" s="8">
        <v>2.8485757121439206</v>
      </c>
      <c r="Z403" s="8">
        <v>2.6905829596412514</v>
      </c>
      <c r="AA403" s="8">
        <v>8.75</v>
      </c>
      <c r="AB403">
        <v>0.45500000000000002</v>
      </c>
      <c r="AC403" s="8">
        <v>9.2953523238380704</v>
      </c>
      <c r="AD403" s="8">
        <v>9.4170403587444067</v>
      </c>
      <c r="AE403" s="8">
        <v>2.5000000000000001E-2</v>
      </c>
      <c r="AF403" s="8">
        <v>2.7E-2</v>
      </c>
      <c r="AG403" s="8">
        <v>1.4279662933773787</v>
      </c>
      <c r="AH403" s="8">
        <v>56.559999999999995</v>
      </c>
      <c r="AI403" s="8">
        <v>56.16</v>
      </c>
      <c r="AJ403" t="s">
        <v>1694</v>
      </c>
      <c r="AK403" t="s">
        <v>1694</v>
      </c>
      <c r="AL403" t="s">
        <v>1694</v>
      </c>
      <c r="AM403" t="s">
        <v>1694</v>
      </c>
      <c r="AN403" t="s">
        <v>1694</v>
      </c>
      <c r="AO403" t="s">
        <v>1694</v>
      </c>
      <c r="AP403" t="s">
        <v>1695</v>
      </c>
      <c r="AQ403" t="s">
        <v>1694</v>
      </c>
      <c r="AR403" t="s">
        <v>1694</v>
      </c>
      <c r="AS403" t="s">
        <v>1694</v>
      </c>
      <c r="AT403" t="s">
        <v>1694</v>
      </c>
      <c r="AU403" t="s">
        <v>1695</v>
      </c>
      <c r="AV403" t="s">
        <v>1694</v>
      </c>
      <c r="AW403" t="s">
        <v>1694</v>
      </c>
      <c r="AX403" t="s">
        <v>1695</v>
      </c>
      <c r="AY403" t="s">
        <v>1694</v>
      </c>
      <c r="AZ403" t="s">
        <v>1694</v>
      </c>
      <c r="BA403" t="s">
        <v>1694</v>
      </c>
      <c r="BB403" t="s">
        <v>1697</v>
      </c>
      <c r="BC403" t="s">
        <v>1697</v>
      </c>
      <c r="BD403" t="s">
        <v>1694</v>
      </c>
      <c r="BE403" t="s">
        <v>1697</v>
      </c>
      <c r="BF403" t="s">
        <v>1697</v>
      </c>
      <c r="BG403">
        <v>10</v>
      </c>
      <c r="BH403" t="s">
        <v>1708</v>
      </c>
      <c r="BI403" t="b">
        <v>1</v>
      </c>
      <c r="BJ403">
        <f t="shared" si="6"/>
        <v>1</v>
      </c>
    </row>
    <row r="404" spans="1:62" x14ac:dyDescent="0.2">
      <c r="A404" s="5" t="s">
        <v>876</v>
      </c>
      <c r="B404" s="6">
        <v>42158</v>
      </c>
      <c r="C404" s="7">
        <v>33.724628000000003</v>
      </c>
      <c r="D404" s="7">
        <v>-112.183244</v>
      </c>
      <c r="E404" s="17">
        <v>445</v>
      </c>
      <c r="F404" t="s">
        <v>1706</v>
      </c>
      <c r="G404" t="s">
        <v>1728</v>
      </c>
      <c r="H404" t="s">
        <v>1728</v>
      </c>
      <c r="I404">
        <v>1</v>
      </c>
      <c r="J404">
        <v>12.683495041393501</v>
      </c>
      <c r="K404">
        <v>62.608376926845203</v>
      </c>
      <c r="L404">
        <v>24.708128031761198</v>
      </c>
      <c r="M404">
        <v>4.1502679282098001</v>
      </c>
      <c r="N404" t="s">
        <v>1697</v>
      </c>
      <c r="O404">
        <v>25.771825038077001</v>
      </c>
      <c r="P404" t="s">
        <v>1697</v>
      </c>
      <c r="Q404">
        <v>25.470999295571499</v>
      </c>
      <c r="R404" t="s">
        <v>1697</v>
      </c>
      <c r="S404">
        <v>1.492</v>
      </c>
      <c r="T404" t="s">
        <v>1697</v>
      </c>
      <c r="U404">
        <v>1.3520000000000001</v>
      </c>
      <c r="V404" t="s">
        <v>1697</v>
      </c>
      <c r="W404">
        <v>0.14000000000000001</v>
      </c>
      <c r="X404" t="s">
        <v>1697</v>
      </c>
      <c r="Y404">
        <v>1.5130674002750999</v>
      </c>
      <c r="Z404" t="s">
        <v>1697</v>
      </c>
      <c r="AA404">
        <v>8.25</v>
      </c>
      <c r="AB404">
        <v>1.577</v>
      </c>
      <c r="AC404">
        <v>5.5555555555555802</v>
      </c>
      <c r="AD404" t="s">
        <v>1697</v>
      </c>
      <c r="AE404">
        <v>2.9000000000000001E-2</v>
      </c>
      <c r="AF404" t="s">
        <v>1697</v>
      </c>
      <c r="AG404">
        <v>1.3708944701863217</v>
      </c>
      <c r="AH404">
        <v>51.448275862069003</v>
      </c>
      <c r="AI404" t="s">
        <v>1697</v>
      </c>
      <c r="AJ404" t="s">
        <v>1694</v>
      </c>
      <c r="AK404" t="s">
        <v>1694</v>
      </c>
      <c r="AL404" t="s">
        <v>1694</v>
      </c>
      <c r="AM404" t="s">
        <v>1694</v>
      </c>
      <c r="AN404" t="s">
        <v>1694</v>
      </c>
      <c r="AO404" t="s">
        <v>1694</v>
      </c>
      <c r="AP404" t="s">
        <v>1697</v>
      </c>
      <c r="AQ404" t="s">
        <v>1697</v>
      </c>
      <c r="AR404" t="s">
        <v>1694</v>
      </c>
      <c r="AS404" t="s">
        <v>1694</v>
      </c>
      <c r="AT404" t="s">
        <v>1694</v>
      </c>
      <c r="AU404" t="s">
        <v>1697</v>
      </c>
      <c r="AV404" t="s">
        <v>1697</v>
      </c>
      <c r="AW404" t="s">
        <v>1694</v>
      </c>
      <c r="AX404" t="s">
        <v>1697</v>
      </c>
      <c r="AY404" t="s">
        <v>1697</v>
      </c>
      <c r="AZ404" t="s">
        <v>1694</v>
      </c>
      <c r="BA404" t="s">
        <v>1694</v>
      </c>
      <c r="BB404" t="s">
        <v>1697</v>
      </c>
      <c r="BC404" t="s">
        <v>1697</v>
      </c>
      <c r="BD404" t="s">
        <v>1694</v>
      </c>
      <c r="BE404" t="s">
        <v>1697</v>
      </c>
      <c r="BF404" t="s">
        <v>1697</v>
      </c>
      <c r="BG404">
        <v>15</v>
      </c>
      <c r="BH404" t="s">
        <v>1708</v>
      </c>
      <c r="BI404" t="b">
        <v>0</v>
      </c>
      <c r="BJ404">
        <f t="shared" si="6"/>
        <v>0</v>
      </c>
    </row>
    <row r="405" spans="1:62" x14ac:dyDescent="0.2">
      <c r="A405" s="5" t="s">
        <v>876</v>
      </c>
      <c r="B405" s="6">
        <v>45061</v>
      </c>
      <c r="C405" s="7">
        <v>33.724628000000003</v>
      </c>
      <c r="D405" s="7">
        <v>-112.183244</v>
      </c>
      <c r="E405" s="17">
        <v>445</v>
      </c>
      <c r="F405" t="s">
        <v>1706</v>
      </c>
      <c r="G405" t="s">
        <v>1710</v>
      </c>
      <c r="H405" t="s">
        <v>1710</v>
      </c>
      <c r="I405">
        <v>1</v>
      </c>
      <c r="J405" t="s">
        <v>1697</v>
      </c>
      <c r="K405" t="s">
        <v>1697</v>
      </c>
      <c r="L405" t="s">
        <v>1697</v>
      </c>
      <c r="M405" t="s">
        <v>1697</v>
      </c>
      <c r="N405" t="s">
        <v>1697</v>
      </c>
      <c r="O405" t="s">
        <v>1697</v>
      </c>
      <c r="P405" t="s">
        <v>1697</v>
      </c>
      <c r="Q405" t="s">
        <v>1697</v>
      </c>
      <c r="R405" t="s">
        <v>1697</v>
      </c>
      <c r="S405" t="s">
        <v>1697</v>
      </c>
      <c r="T405" t="s">
        <v>1697</v>
      </c>
      <c r="U405" t="s">
        <v>1697</v>
      </c>
      <c r="V405" t="s">
        <v>1697</v>
      </c>
      <c r="W405" t="s">
        <v>1697</v>
      </c>
      <c r="X405" t="s">
        <v>1697</v>
      </c>
      <c r="Y405" t="s">
        <v>1697</v>
      </c>
      <c r="Z405" t="s">
        <v>1697</v>
      </c>
      <c r="AA405" t="s">
        <v>1697</v>
      </c>
      <c r="AB405" t="s">
        <v>1697</v>
      </c>
      <c r="AC405" t="s">
        <v>1697</v>
      </c>
      <c r="AD405" t="s">
        <v>1697</v>
      </c>
      <c r="AE405" t="s">
        <v>1697</v>
      </c>
      <c r="AF405" t="s">
        <v>1697</v>
      </c>
      <c r="AG405" t="s">
        <v>1697</v>
      </c>
      <c r="AH405" t="s">
        <v>1697</v>
      </c>
      <c r="AI405" t="s">
        <v>1697</v>
      </c>
      <c r="AJ405" t="s">
        <v>1694</v>
      </c>
      <c r="AK405" t="s">
        <v>1694</v>
      </c>
      <c r="AL405" t="s">
        <v>1694</v>
      </c>
      <c r="AM405" t="s">
        <v>1694</v>
      </c>
      <c r="AN405" t="s">
        <v>1694</v>
      </c>
      <c r="AO405" t="s">
        <v>1694</v>
      </c>
      <c r="AP405" t="s">
        <v>1697</v>
      </c>
      <c r="AQ405" t="s">
        <v>1697</v>
      </c>
      <c r="AR405" t="s">
        <v>1694</v>
      </c>
      <c r="AS405" t="s">
        <v>1694</v>
      </c>
      <c r="AT405" t="s">
        <v>1694</v>
      </c>
      <c r="AU405" t="s">
        <v>1697</v>
      </c>
      <c r="AV405" t="s">
        <v>1697</v>
      </c>
      <c r="AW405" t="s">
        <v>1694</v>
      </c>
      <c r="AX405" t="s">
        <v>1697</v>
      </c>
      <c r="AY405" t="s">
        <v>1697</v>
      </c>
      <c r="AZ405" t="s">
        <v>1694</v>
      </c>
      <c r="BA405" t="s">
        <v>1694</v>
      </c>
      <c r="BB405" t="s">
        <v>1697</v>
      </c>
      <c r="BC405" t="s">
        <v>1697</v>
      </c>
      <c r="BD405" t="s">
        <v>1694</v>
      </c>
      <c r="BE405" t="s">
        <v>1697</v>
      </c>
      <c r="BF405" t="s">
        <v>1697</v>
      </c>
      <c r="BG405" s="6" t="s">
        <v>1697</v>
      </c>
      <c r="BH405" s="6" t="s">
        <v>1697</v>
      </c>
      <c r="BI405" t="b">
        <v>1</v>
      </c>
      <c r="BJ405">
        <f t="shared" si="6"/>
        <v>1</v>
      </c>
    </row>
    <row r="406" spans="1:62" x14ac:dyDescent="0.2">
      <c r="A406" s="5" t="s">
        <v>89</v>
      </c>
      <c r="B406" s="6">
        <v>36605</v>
      </c>
      <c r="C406" s="7">
        <v>33.637464000000001</v>
      </c>
      <c r="D406" s="7">
        <v>-112.16296699999999</v>
      </c>
      <c r="E406" s="17">
        <v>389</v>
      </c>
      <c r="F406" t="s">
        <v>1706</v>
      </c>
      <c r="G406" t="s">
        <v>1710</v>
      </c>
      <c r="H406" t="s">
        <v>1710</v>
      </c>
      <c r="I406">
        <v>1</v>
      </c>
      <c r="J406" s="8">
        <v>23.942378765798281</v>
      </c>
      <c r="K406" s="8">
        <v>50.575372767847355</v>
      </c>
      <c r="L406" s="8">
        <v>25.482248466354363</v>
      </c>
      <c r="M406" s="8">
        <v>3.4446486890170429</v>
      </c>
      <c r="N406" s="8">
        <v>2.3762739028096758</v>
      </c>
      <c r="O406" s="8">
        <v>6.9637828868418685</v>
      </c>
      <c r="P406" s="8">
        <v>10.042243304343417</v>
      </c>
      <c r="Q406" s="8">
        <v>12.82415378236503</v>
      </c>
      <c r="R406" s="8">
        <v>5.1294870816711642</v>
      </c>
      <c r="S406" s="8">
        <v>0.72299999999999998</v>
      </c>
      <c r="T406" s="8">
        <v>0.34300000000000003</v>
      </c>
      <c r="U406" s="8">
        <v>0.31</v>
      </c>
      <c r="V406" s="8">
        <v>0.157</v>
      </c>
      <c r="W406" s="8">
        <v>0.41299999999999998</v>
      </c>
      <c r="X406" s="8">
        <v>0.186</v>
      </c>
      <c r="Y406" s="8">
        <v>2.8481000000000001</v>
      </c>
      <c r="Z406" s="8">
        <v>2.4271799999999999</v>
      </c>
      <c r="AA406" s="9">
        <v>8.23</v>
      </c>
      <c r="AB406" s="10">
        <v>0.40699999999999997</v>
      </c>
      <c r="AC406" s="8">
        <v>10.79317</v>
      </c>
      <c r="AD406" s="8">
        <v>13.234489999999999</v>
      </c>
      <c r="AE406" s="8">
        <v>0.06</v>
      </c>
      <c r="AF406" s="8">
        <v>3.7999999999999999E-2</v>
      </c>
      <c r="AG406" s="8">
        <v>1.6546856978486899</v>
      </c>
      <c r="AH406" s="8">
        <v>12.05</v>
      </c>
      <c r="AI406" s="8">
        <v>5.7166666666666677</v>
      </c>
      <c r="AJ406" t="s">
        <v>1694</v>
      </c>
      <c r="AK406" t="s">
        <v>1694</v>
      </c>
      <c r="AL406" t="s">
        <v>1694</v>
      </c>
      <c r="AM406" t="s">
        <v>1694</v>
      </c>
      <c r="AN406" t="s">
        <v>1694</v>
      </c>
      <c r="AO406" t="s">
        <v>1694</v>
      </c>
      <c r="AP406" t="s">
        <v>1702</v>
      </c>
      <c r="AQ406" t="s">
        <v>1725</v>
      </c>
      <c r="AR406" t="s">
        <v>1703</v>
      </c>
      <c r="AS406" t="s">
        <v>1702</v>
      </c>
      <c r="AT406" t="s">
        <v>1703</v>
      </c>
      <c r="AU406" t="s">
        <v>1706</v>
      </c>
      <c r="AV406" t="s">
        <v>1707</v>
      </c>
      <c r="AW406" t="s">
        <v>1706</v>
      </c>
      <c r="AX406" t="s">
        <v>1706</v>
      </c>
      <c r="AY406" t="s">
        <v>1707</v>
      </c>
      <c r="AZ406" t="s">
        <v>1706</v>
      </c>
      <c r="BA406" t="s">
        <v>1700</v>
      </c>
      <c r="BB406" t="s">
        <v>1706</v>
      </c>
      <c r="BC406" t="s">
        <v>1707</v>
      </c>
      <c r="BD406" t="s">
        <v>1706</v>
      </c>
      <c r="BE406" t="s">
        <v>1706</v>
      </c>
      <c r="BF406" t="s">
        <v>1707</v>
      </c>
      <c r="BG406">
        <v>25</v>
      </c>
      <c r="BH406" s="12" t="s">
        <v>1709</v>
      </c>
      <c r="BI406" t="b">
        <v>0</v>
      </c>
      <c r="BJ406">
        <f t="shared" si="6"/>
        <v>0</v>
      </c>
    </row>
    <row r="407" spans="1:62" x14ac:dyDescent="0.2">
      <c r="A407" s="5" t="s">
        <v>89</v>
      </c>
      <c r="B407" s="6">
        <v>38446</v>
      </c>
      <c r="C407" s="7">
        <v>33.637464000000001</v>
      </c>
      <c r="D407" s="7">
        <v>-112.16296699999999</v>
      </c>
      <c r="E407" s="17">
        <v>389</v>
      </c>
      <c r="F407" t="s">
        <v>1706</v>
      </c>
      <c r="G407" t="s">
        <v>1710</v>
      </c>
      <c r="H407" t="s">
        <v>1710</v>
      </c>
      <c r="I407">
        <v>1</v>
      </c>
      <c r="J407" s="8">
        <v>8.716243091754043</v>
      </c>
      <c r="K407" s="8">
        <v>80.873971317546335</v>
      </c>
      <c r="L407" s="8">
        <v>10.409785590699627</v>
      </c>
      <c r="M407" s="8">
        <v>5.497866156605931</v>
      </c>
      <c r="N407" s="8">
        <v>2.0619898893298316</v>
      </c>
      <c r="O407" s="8">
        <v>2.9925094270133545</v>
      </c>
      <c r="P407" s="8">
        <v>1.372289822898819</v>
      </c>
      <c r="Q407" s="8">
        <v>12.224035731385246</v>
      </c>
      <c r="R407" s="8">
        <v>1.7081808655606854</v>
      </c>
      <c r="S407" s="8">
        <v>0.90600000000000003</v>
      </c>
      <c r="T407" s="8">
        <v>0.48899999999999999</v>
      </c>
      <c r="U407" s="8">
        <v>0.158</v>
      </c>
      <c r="V407" s="8">
        <v>0.126</v>
      </c>
      <c r="W407" s="8">
        <v>0.748</v>
      </c>
      <c r="X407" s="8">
        <v>0.36299999999999999</v>
      </c>
      <c r="Y407" s="8">
        <v>3.2967032967032828</v>
      </c>
      <c r="Z407" s="8">
        <v>2.4355300859598845</v>
      </c>
      <c r="AA407" s="8">
        <v>8</v>
      </c>
      <c r="AB407">
        <v>0.313</v>
      </c>
      <c r="AC407" s="8">
        <v>7.0643642072213675</v>
      </c>
      <c r="AD407" s="8">
        <v>9.1690544412607267</v>
      </c>
      <c r="AE407" s="8">
        <v>7.4999999999999997E-2</v>
      </c>
      <c r="AF407" s="8">
        <v>3.4000000000000002E-2</v>
      </c>
      <c r="AG407" s="8">
        <v>1.2905401918190798</v>
      </c>
      <c r="AH407" s="8">
        <v>12.08</v>
      </c>
      <c r="AI407" s="8">
        <v>6.5200000000000005</v>
      </c>
      <c r="AJ407" t="s">
        <v>1694</v>
      </c>
      <c r="AK407" t="s">
        <v>1694</v>
      </c>
      <c r="AL407" t="s">
        <v>1694</v>
      </c>
      <c r="AM407" t="s">
        <v>1694</v>
      </c>
      <c r="AN407" t="s">
        <v>1694</v>
      </c>
      <c r="AO407" t="s">
        <v>1694</v>
      </c>
      <c r="AP407" t="s">
        <v>1702</v>
      </c>
      <c r="AQ407" t="s">
        <v>1725</v>
      </c>
      <c r="AR407" t="s">
        <v>1703</v>
      </c>
      <c r="AS407" t="s">
        <v>1702</v>
      </c>
      <c r="AT407" t="s">
        <v>1703</v>
      </c>
      <c r="AU407" t="s">
        <v>1706</v>
      </c>
      <c r="AV407" t="s">
        <v>1707</v>
      </c>
      <c r="AW407" t="s">
        <v>1706</v>
      </c>
      <c r="AX407" t="s">
        <v>1706</v>
      </c>
      <c r="AY407" t="s">
        <v>1707</v>
      </c>
      <c r="AZ407" t="s">
        <v>1706</v>
      </c>
      <c r="BA407" t="s">
        <v>1700</v>
      </c>
      <c r="BB407" t="s">
        <v>1706</v>
      </c>
      <c r="BC407" t="s">
        <v>1707</v>
      </c>
      <c r="BD407" t="s">
        <v>1706</v>
      </c>
      <c r="BE407" t="s">
        <v>1706</v>
      </c>
      <c r="BF407" t="s">
        <v>1707</v>
      </c>
      <c r="BG407">
        <v>30</v>
      </c>
      <c r="BH407" s="12" t="s">
        <v>1709</v>
      </c>
      <c r="BI407" t="b">
        <v>0</v>
      </c>
      <c r="BJ407">
        <f t="shared" si="6"/>
        <v>0</v>
      </c>
    </row>
    <row r="408" spans="1:62" x14ac:dyDescent="0.2">
      <c r="A408" s="5" t="s">
        <v>89</v>
      </c>
      <c r="B408" s="6">
        <v>40338</v>
      </c>
      <c r="C408" s="7">
        <v>33.637464000000001</v>
      </c>
      <c r="D408" s="7">
        <v>-112.16296699999999</v>
      </c>
      <c r="E408" s="17">
        <v>389</v>
      </c>
      <c r="F408" t="s">
        <v>1697</v>
      </c>
      <c r="G408" t="s">
        <v>1697</v>
      </c>
      <c r="H408" t="s">
        <v>1697</v>
      </c>
      <c r="I408" t="s">
        <v>1697</v>
      </c>
      <c r="J408" t="s">
        <v>1697</v>
      </c>
      <c r="K408" t="s">
        <v>1697</v>
      </c>
      <c r="L408" t="s">
        <v>1697</v>
      </c>
      <c r="M408" t="s">
        <v>1697</v>
      </c>
      <c r="N408" t="s">
        <v>1697</v>
      </c>
      <c r="O408" t="s">
        <v>1697</v>
      </c>
      <c r="P408" t="s">
        <v>1697</v>
      </c>
      <c r="Q408" t="s">
        <v>1697</v>
      </c>
      <c r="R408" t="s">
        <v>1697</v>
      </c>
      <c r="S408" t="s">
        <v>1697</v>
      </c>
      <c r="T408" t="s">
        <v>1697</v>
      </c>
      <c r="U408" t="s">
        <v>1697</v>
      </c>
      <c r="V408" t="s">
        <v>1697</v>
      </c>
      <c r="W408" t="s">
        <v>1697</v>
      </c>
      <c r="X408" t="s">
        <v>1697</v>
      </c>
      <c r="Y408" t="s">
        <v>1697</v>
      </c>
      <c r="Z408" t="s">
        <v>1697</v>
      </c>
      <c r="AA408" t="s">
        <v>1697</v>
      </c>
      <c r="AB408" t="s">
        <v>1697</v>
      </c>
      <c r="AC408" t="s">
        <v>1697</v>
      </c>
      <c r="AD408" t="s">
        <v>1697</v>
      </c>
      <c r="AE408" t="s">
        <v>1697</v>
      </c>
      <c r="AF408" t="s">
        <v>1697</v>
      </c>
      <c r="AG408" t="s">
        <v>1697</v>
      </c>
      <c r="AH408" t="s">
        <v>1697</v>
      </c>
      <c r="AI408" t="s">
        <v>1697</v>
      </c>
      <c r="AJ408" t="s">
        <v>1694</v>
      </c>
      <c r="AK408" t="s">
        <v>1694</v>
      </c>
      <c r="AL408" t="s">
        <v>1694</v>
      </c>
      <c r="AM408" t="s">
        <v>1694</v>
      </c>
      <c r="AN408" t="s">
        <v>1694</v>
      </c>
      <c r="AO408" t="s">
        <v>1694</v>
      </c>
      <c r="AP408" t="s">
        <v>1702</v>
      </c>
      <c r="AQ408" t="s">
        <v>1725</v>
      </c>
      <c r="AR408" t="s">
        <v>1703</v>
      </c>
      <c r="AS408" t="s">
        <v>1702</v>
      </c>
      <c r="AT408" t="s">
        <v>1703</v>
      </c>
      <c r="AU408" t="s">
        <v>1706</v>
      </c>
      <c r="AV408" t="s">
        <v>1707</v>
      </c>
      <c r="AW408" t="s">
        <v>1706</v>
      </c>
      <c r="AX408" t="s">
        <v>1706</v>
      </c>
      <c r="AY408" t="s">
        <v>1707</v>
      </c>
      <c r="AZ408" t="s">
        <v>1706</v>
      </c>
      <c r="BA408" t="s">
        <v>1700</v>
      </c>
      <c r="BB408" t="s">
        <v>1706</v>
      </c>
      <c r="BC408" t="s">
        <v>1707</v>
      </c>
      <c r="BD408" t="s">
        <v>1706</v>
      </c>
      <c r="BE408" t="s">
        <v>1706</v>
      </c>
      <c r="BF408" t="s">
        <v>1707</v>
      </c>
      <c r="BG408" s="6" t="s">
        <v>1697</v>
      </c>
      <c r="BH408" s="6" t="s">
        <v>1697</v>
      </c>
      <c r="BI408" t="b">
        <v>0</v>
      </c>
      <c r="BJ408">
        <f t="shared" si="6"/>
        <v>0</v>
      </c>
    </row>
    <row r="409" spans="1:62" x14ac:dyDescent="0.2">
      <c r="A409" s="5" t="s">
        <v>90</v>
      </c>
      <c r="B409" s="6">
        <v>38446</v>
      </c>
      <c r="C409" s="7">
        <v>33.630316999999998</v>
      </c>
      <c r="D409" s="7">
        <v>-112.16243900000001</v>
      </c>
      <c r="E409" s="17">
        <v>386</v>
      </c>
      <c r="F409" t="s">
        <v>1706</v>
      </c>
      <c r="G409" t="s">
        <v>1728</v>
      </c>
      <c r="H409" t="s">
        <v>1728</v>
      </c>
      <c r="I409">
        <v>1</v>
      </c>
      <c r="J409" s="8">
        <v>21.688401408820887</v>
      </c>
      <c r="K409" s="8">
        <v>58.477725745268486</v>
      </c>
      <c r="L409" s="8">
        <v>19.833872845910633</v>
      </c>
      <c r="M409" s="8">
        <v>1.6521599501583148</v>
      </c>
      <c r="N409" s="8">
        <v>1.9301393413531518</v>
      </c>
      <c r="O409" s="8">
        <v>2.0998420011689558</v>
      </c>
      <c r="P409" s="8">
        <v>0.53492433174644505</v>
      </c>
      <c r="Q409" s="8">
        <v>13.310871667679896</v>
      </c>
      <c r="R409" s="8">
        <v>9.2366135537553493</v>
      </c>
      <c r="S409" s="8">
        <v>1.6659999999999999</v>
      </c>
      <c r="T409" s="8">
        <v>2.57</v>
      </c>
      <c r="U409" s="8">
        <v>1.1339999999999999</v>
      </c>
      <c r="V409" s="8">
        <v>2.1110000000000002</v>
      </c>
      <c r="W409" s="8">
        <v>0.53200000000000003</v>
      </c>
      <c r="X409" s="8">
        <v>0.45899999999999963</v>
      </c>
      <c r="Y409" s="8">
        <v>2.7456647398843859</v>
      </c>
      <c r="Z409" s="8">
        <v>2.6666666666666745</v>
      </c>
      <c r="AA409" s="8">
        <v>8.11</v>
      </c>
      <c r="AB409">
        <v>0.30499999999999999</v>
      </c>
      <c r="AC409" s="8">
        <v>5.3468208092485439</v>
      </c>
      <c r="AD409" s="8">
        <v>9.3333333333333286</v>
      </c>
      <c r="AE409" s="8">
        <v>6.5000000000000002E-2</v>
      </c>
      <c r="AF409" s="8">
        <v>2.7E-2</v>
      </c>
      <c r="AG409" s="8">
        <v>1.0070337075291016</v>
      </c>
      <c r="AH409" s="8">
        <v>25.630769230769229</v>
      </c>
      <c r="AI409" s="8">
        <v>39.538461538461533</v>
      </c>
      <c r="AJ409" t="s">
        <v>1694</v>
      </c>
      <c r="AK409" t="s">
        <v>1694</v>
      </c>
      <c r="AL409" t="s">
        <v>1694</v>
      </c>
      <c r="AM409" t="s">
        <v>1694</v>
      </c>
      <c r="AN409" t="s">
        <v>1694</v>
      </c>
      <c r="AO409" t="s">
        <v>1694</v>
      </c>
      <c r="AP409" t="s">
        <v>1702</v>
      </c>
      <c r="AQ409" t="s">
        <v>1725</v>
      </c>
      <c r="AR409" t="s">
        <v>1703</v>
      </c>
      <c r="AS409" t="s">
        <v>1702</v>
      </c>
      <c r="AT409" t="s">
        <v>1703</v>
      </c>
      <c r="AU409" t="s">
        <v>1706</v>
      </c>
      <c r="AV409" t="s">
        <v>1707</v>
      </c>
      <c r="AW409" t="s">
        <v>1706</v>
      </c>
      <c r="AX409" t="s">
        <v>1706</v>
      </c>
      <c r="AY409" t="s">
        <v>1707</v>
      </c>
      <c r="AZ409" t="s">
        <v>1706</v>
      </c>
      <c r="BA409" t="s">
        <v>1700</v>
      </c>
      <c r="BB409" t="s">
        <v>1706</v>
      </c>
      <c r="BC409" t="s">
        <v>1707</v>
      </c>
      <c r="BD409" t="s">
        <v>1706</v>
      </c>
      <c r="BE409" t="s">
        <v>1706</v>
      </c>
      <c r="BF409" t="s">
        <v>1707</v>
      </c>
      <c r="BG409">
        <v>30</v>
      </c>
      <c r="BH409" s="12" t="s">
        <v>1709</v>
      </c>
      <c r="BI409" t="b">
        <v>0</v>
      </c>
      <c r="BJ409">
        <f t="shared" si="6"/>
        <v>0</v>
      </c>
    </row>
    <row r="410" spans="1:62" x14ac:dyDescent="0.2">
      <c r="A410" s="5" t="s">
        <v>90</v>
      </c>
      <c r="B410" s="6">
        <v>40316</v>
      </c>
      <c r="C410" s="7">
        <v>33.630316999999998</v>
      </c>
      <c r="D410" s="7">
        <v>-112.16243900000001</v>
      </c>
      <c r="E410" s="17">
        <v>386</v>
      </c>
      <c r="F410" t="s">
        <v>1706</v>
      </c>
      <c r="G410" t="s">
        <v>1724</v>
      </c>
      <c r="H410" t="s">
        <v>1724</v>
      </c>
      <c r="I410">
        <v>1</v>
      </c>
      <c r="J410" s="8">
        <v>11.652548987240303</v>
      </c>
      <c r="K410" s="8">
        <v>69.82898806349877</v>
      </c>
      <c r="L410" s="8">
        <v>18.518462949260922</v>
      </c>
      <c r="M410" s="8">
        <v>0.95031878243425938</v>
      </c>
      <c r="N410" s="8">
        <v>1.705522632642124</v>
      </c>
      <c r="O410" s="8">
        <v>3.1421830709519862</v>
      </c>
      <c r="P410" s="8">
        <v>2.6072339943109211</v>
      </c>
      <c r="Q410" s="8">
        <v>29.549524005769637</v>
      </c>
      <c r="R410" s="8">
        <v>13.307863189313503</v>
      </c>
      <c r="S410" s="8">
        <v>1.7</v>
      </c>
      <c r="T410" s="8">
        <v>2.6749999999999998</v>
      </c>
      <c r="U410" s="8">
        <v>0.98399999999999999</v>
      </c>
      <c r="V410" s="8">
        <v>1.9179999999999999</v>
      </c>
      <c r="W410" s="8">
        <v>0.71599999999999997</v>
      </c>
      <c r="X410" s="8">
        <v>0.7569999999999999</v>
      </c>
      <c r="Y410" s="8">
        <v>2.8985507246376963</v>
      </c>
      <c r="Z410" s="8">
        <v>4.4502617801047109</v>
      </c>
      <c r="AA410" s="8" t="s">
        <v>1697</v>
      </c>
      <c r="AB410" t="s">
        <v>1697</v>
      </c>
      <c r="AC410" s="8">
        <v>0.86956521739131143</v>
      </c>
      <c r="AD410" s="8">
        <v>3.6649214659686011</v>
      </c>
      <c r="AE410" s="8">
        <v>4.9000000000000002E-2</v>
      </c>
      <c r="AF410" s="8">
        <v>0.04</v>
      </c>
      <c r="AG410" s="8" t="s">
        <v>1697</v>
      </c>
      <c r="AH410" s="8">
        <v>34.693877551020407</v>
      </c>
      <c r="AI410" s="8">
        <v>54.591836734693871</v>
      </c>
      <c r="AJ410" t="s">
        <v>1694</v>
      </c>
      <c r="AK410" t="s">
        <v>1694</v>
      </c>
      <c r="AL410" t="s">
        <v>1694</v>
      </c>
      <c r="AM410" t="s">
        <v>1694</v>
      </c>
      <c r="AN410" t="s">
        <v>1694</v>
      </c>
      <c r="AO410" t="s">
        <v>1694</v>
      </c>
      <c r="AP410" t="s">
        <v>1702</v>
      </c>
      <c r="AQ410" t="s">
        <v>1725</v>
      </c>
      <c r="AR410" t="s">
        <v>1703</v>
      </c>
      <c r="AS410" t="s">
        <v>1702</v>
      </c>
      <c r="AT410" t="s">
        <v>1703</v>
      </c>
      <c r="AU410" t="s">
        <v>1706</v>
      </c>
      <c r="AV410" t="s">
        <v>1707</v>
      </c>
      <c r="AW410" t="s">
        <v>1706</v>
      </c>
      <c r="AX410" t="s">
        <v>1706</v>
      </c>
      <c r="AY410" t="s">
        <v>1707</v>
      </c>
      <c r="AZ410" t="s">
        <v>1706</v>
      </c>
      <c r="BA410" t="s">
        <v>1700</v>
      </c>
      <c r="BB410" t="s">
        <v>1706</v>
      </c>
      <c r="BC410" t="s">
        <v>1707</v>
      </c>
      <c r="BD410" t="s">
        <v>1706</v>
      </c>
      <c r="BE410" t="s">
        <v>1706</v>
      </c>
      <c r="BF410" t="s">
        <v>1707</v>
      </c>
      <c r="BG410">
        <v>35</v>
      </c>
      <c r="BH410" s="12" t="s">
        <v>1709</v>
      </c>
      <c r="BI410" t="b">
        <v>0</v>
      </c>
      <c r="BJ410">
        <f t="shared" si="6"/>
        <v>0</v>
      </c>
    </row>
    <row r="411" spans="1:62" x14ac:dyDescent="0.2">
      <c r="A411" s="5" t="s">
        <v>90</v>
      </c>
      <c r="B411" s="6">
        <v>42137</v>
      </c>
      <c r="C411" s="7">
        <v>33.630316999999998</v>
      </c>
      <c r="D411" s="7">
        <v>-112.16243900000001</v>
      </c>
      <c r="E411" s="17">
        <v>386</v>
      </c>
      <c r="F411" t="s">
        <v>1706</v>
      </c>
      <c r="G411" t="s">
        <v>1728</v>
      </c>
      <c r="H411" t="s">
        <v>1728</v>
      </c>
      <c r="I411">
        <v>1</v>
      </c>
      <c r="J411" t="s">
        <v>1697</v>
      </c>
      <c r="K411" t="s">
        <v>1697</v>
      </c>
      <c r="L411" t="s">
        <v>1697</v>
      </c>
      <c r="M411" t="s">
        <v>1697</v>
      </c>
      <c r="N411" t="s">
        <v>1697</v>
      </c>
      <c r="O411" t="s">
        <v>1697</v>
      </c>
      <c r="P411" t="s">
        <v>1697</v>
      </c>
      <c r="Q411" t="s">
        <v>1697</v>
      </c>
      <c r="R411" t="s">
        <v>1697</v>
      </c>
      <c r="S411" t="s">
        <v>1697</v>
      </c>
      <c r="T411" t="s">
        <v>1697</v>
      </c>
      <c r="U411" t="s">
        <v>1697</v>
      </c>
      <c r="V411" t="s">
        <v>1697</v>
      </c>
      <c r="W411" t="s">
        <v>1697</v>
      </c>
      <c r="X411" t="s">
        <v>1697</v>
      </c>
      <c r="Y411" t="s">
        <v>1697</v>
      </c>
      <c r="Z411" t="s">
        <v>1697</v>
      </c>
      <c r="AA411" t="s">
        <v>1697</v>
      </c>
      <c r="AB411" t="s">
        <v>1697</v>
      </c>
      <c r="AC411" t="s">
        <v>1697</v>
      </c>
      <c r="AD411" t="s">
        <v>1697</v>
      </c>
      <c r="AE411" t="s">
        <v>1697</v>
      </c>
      <c r="AF411" t="s">
        <v>1697</v>
      </c>
      <c r="AG411" t="s">
        <v>1697</v>
      </c>
      <c r="AH411" t="s">
        <v>1697</v>
      </c>
      <c r="AI411" t="s">
        <v>1697</v>
      </c>
      <c r="AJ411" t="s">
        <v>1694</v>
      </c>
      <c r="AK411" t="s">
        <v>1694</v>
      </c>
      <c r="AL411" t="s">
        <v>1694</v>
      </c>
      <c r="AM411" t="s">
        <v>1694</v>
      </c>
      <c r="AN411" t="s">
        <v>1694</v>
      </c>
      <c r="AO411" t="s">
        <v>1694</v>
      </c>
      <c r="AP411" t="s">
        <v>1702</v>
      </c>
      <c r="AQ411" t="s">
        <v>1725</v>
      </c>
      <c r="AR411" t="s">
        <v>1703</v>
      </c>
      <c r="AS411" t="s">
        <v>1702</v>
      </c>
      <c r="AT411" t="s">
        <v>1703</v>
      </c>
      <c r="AU411" t="s">
        <v>1706</v>
      </c>
      <c r="AV411" t="s">
        <v>1707</v>
      </c>
      <c r="AW411" t="s">
        <v>1706</v>
      </c>
      <c r="AX411" t="s">
        <v>1706</v>
      </c>
      <c r="AY411" t="s">
        <v>1707</v>
      </c>
      <c r="AZ411" t="s">
        <v>1706</v>
      </c>
      <c r="BA411" t="s">
        <v>1700</v>
      </c>
      <c r="BB411" t="s">
        <v>1706</v>
      </c>
      <c r="BC411" t="s">
        <v>1707</v>
      </c>
      <c r="BD411" t="s">
        <v>1706</v>
      </c>
      <c r="BE411" t="s">
        <v>1706</v>
      </c>
      <c r="BF411" t="s">
        <v>1707</v>
      </c>
      <c r="BG411">
        <v>40</v>
      </c>
      <c r="BH411" s="12" t="s">
        <v>1709</v>
      </c>
      <c r="BI411" t="b">
        <v>0</v>
      </c>
      <c r="BJ411">
        <f t="shared" si="6"/>
        <v>0</v>
      </c>
    </row>
    <row r="412" spans="1:62" x14ac:dyDescent="0.2">
      <c r="A412" s="5" t="s">
        <v>90</v>
      </c>
      <c r="B412" s="6">
        <v>45070</v>
      </c>
      <c r="C412" s="7">
        <v>33.630316999999998</v>
      </c>
      <c r="D412" s="7">
        <v>-112.16243900000001</v>
      </c>
      <c r="E412" s="17">
        <v>386</v>
      </c>
      <c r="F412" t="s">
        <v>1706</v>
      </c>
      <c r="G412" t="s">
        <v>1710</v>
      </c>
      <c r="H412" t="s">
        <v>1710</v>
      </c>
      <c r="I412">
        <v>1</v>
      </c>
      <c r="J412" t="s">
        <v>1697</v>
      </c>
      <c r="K412" t="s">
        <v>1697</v>
      </c>
      <c r="L412" t="s">
        <v>1697</v>
      </c>
      <c r="M412" t="s">
        <v>1697</v>
      </c>
      <c r="N412" t="s">
        <v>1697</v>
      </c>
      <c r="O412" t="s">
        <v>1697</v>
      </c>
      <c r="P412" t="s">
        <v>1697</v>
      </c>
      <c r="Q412" t="s">
        <v>1697</v>
      </c>
      <c r="R412" t="s">
        <v>1697</v>
      </c>
      <c r="S412" t="s">
        <v>1697</v>
      </c>
      <c r="T412" t="s">
        <v>1697</v>
      </c>
      <c r="U412" t="s">
        <v>1697</v>
      </c>
      <c r="V412" t="s">
        <v>1697</v>
      </c>
      <c r="W412" t="s">
        <v>1697</v>
      </c>
      <c r="X412" t="s">
        <v>1697</v>
      </c>
      <c r="Y412" t="s">
        <v>1697</v>
      </c>
      <c r="Z412" t="s">
        <v>1697</v>
      </c>
      <c r="AA412" t="s">
        <v>1697</v>
      </c>
      <c r="AB412" t="s">
        <v>1697</v>
      </c>
      <c r="AC412" t="s">
        <v>1697</v>
      </c>
      <c r="AD412" t="s">
        <v>1697</v>
      </c>
      <c r="AE412" t="s">
        <v>1697</v>
      </c>
      <c r="AF412" t="s">
        <v>1697</v>
      </c>
      <c r="AG412" t="s">
        <v>1697</v>
      </c>
      <c r="AH412" t="s">
        <v>1697</v>
      </c>
      <c r="AI412" t="s">
        <v>1697</v>
      </c>
      <c r="AJ412" t="s">
        <v>1694</v>
      </c>
      <c r="AK412" t="s">
        <v>1694</v>
      </c>
      <c r="AL412" t="s">
        <v>1694</v>
      </c>
      <c r="AM412" t="s">
        <v>1694</v>
      </c>
      <c r="AN412" t="s">
        <v>1694</v>
      </c>
      <c r="AO412" t="s">
        <v>1694</v>
      </c>
      <c r="AP412" t="s">
        <v>1702</v>
      </c>
      <c r="AQ412" t="s">
        <v>1725</v>
      </c>
      <c r="AR412" t="s">
        <v>1703</v>
      </c>
      <c r="AS412" t="s">
        <v>1702</v>
      </c>
      <c r="AT412" t="s">
        <v>1703</v>
      </c>
      <c r="AU412" t="s">
        <v>1706</v>
      </c>
      <c r="AV412" t="s">
        <v>1707</v>
      </c>
      <c r="AW412" t="s">
        <v>1706</v>
      </c>
      <c r="AX412" t="s">
        <v>1706</v>
      </c>
      <c r="AY412" t="s">
        <v>1707</v>
      </c>
      <c r="AZ412" t="s">
        <v>1706</v>
      </c>
      <c r="BA412" t="s">
        <v>1700</v>
      </c>
      <c r="BB412" t="s">
        <v>1706</v>
      </c>
      <c r="BC412" t="s">
        <v>1707</v>
      </c>
      <c r="BD412" t="s">
        <v>1706</v>
      </c>
      <c r="BE412" t="s">
        <v>1706</v>
      </c>
      <c r="BF412" t="s">
        <v>1707</v>
      </c>
      <c r="BG412" s="6" t="s">
        <v>1697</v>
      </c>
      <c r="BH412" s="6" t="s">
        <v>1697</v>
      </c>
      <c r="BI412" t="b">
        <v>0</v>
      </c>
      <c r="BJ412">
        <f t="shared" si="6"/>
        <v>0</v>
      </c>
    </row>
    <row r="413" spans="1:62" x14ac:dyDescent="0.2">
      <c r="A413" s="5" t="s">
        <v>91</v>
      </c>
      <c r="B413" s="6">
        <v>38404</v>
      </c>
      <c r="C413" s="7">
        <v>33.589381000000003</v>
      </c>
      <c r="D413" s="7">
        <v>-112.166414</v>
      </c>
      <c r="E413" s="17">
        <v>370</v>
      </c>
      <c r="F413" t="s">
        <v>1706</v>
      </c>
      <c r="G413" t="s">
        <v>1710</v>
      </c>
      <c r="H413" t="s">
        <v>1710</v>
      </c>
      <c r="I413">
        <v>1</v>
      </c>
      <c r="J413" s="8">
        <v>15.723305367181355</v>
      </c>
      <c r="K413" s="8">
        <v>36.682143383898122</v>
      </c>
      <c r="L413" s="8">
        <v>47.594551248920524</v>
      </c>
      <c r="M413" s="8">
        <v>2.1082041199370551</v>
      </c>
      <c r="N413" s="8">
        <v>0.83509254732529636</v>
      </c>
      <c r="O413" s="8">
        <v>6.11379194781746</v>
      </c>
      <c r="P413" s="8">
        <v>5.3597758037423553</v>
      </c>
      <c r="Q413" s="8">
        <v>17.132345294669868</v>
      </c>
      <c r="R413" s="8">
        <v>4.1647016146574174</v>
      </c>
      <c r="S413" s="8">
        <v>2.0409999999999999</v>
      </c>
      <c r="T413" s="8">
        <v>0.73899999999999999</v>
      </c>
      <c r="U413" s="8">
        <v>0.66600000000000004</v>
      </c>
      <c r="V413" s="8">
        <v>0.46400000000000002</v>
      </c>
      <c r="W413" s="8">
        <v>1.375</v>
      </c>
      <c r="X413" s="8">
        <v>0.27499999999999997</v>
      </c>
      <c r="Y413" s="8">
        <v>7.8899082568807444</v>
      </c>
      <c r="Z413" s="8">
        <v>4.9773755656108598</v>
      </c>
      <c r="AA413" s="8">
        <v>7.62</v>
      </c>
      <c r="AB413">
        <v>0.72299999999999998</v>
      </c>
      <c r="AC413" s="8">
        <v>54.311926605504567</v>
      </c>
      <c r="AD413" s="8">
        <v>23.22775263951733</v>
      </c>
      <c r="AE413" s="8">
        <v>0.13200000000000001</v>
      </c>
      <c r="AF413" s="8">
        <v>4.7E-2</v>
      </c>
      <c r="AG413" s="8">
        <v>1.2302356846113807</v>
      </c>
      <c r="AH413" s="8">
        <v>15.462121212121211</v>
      </c>
      <c r="AI413" s="8">
        <v>5.5984848484848477</v>
      </c>
      <c r="AJ413" t="s">
        <v>1694</v>
      </c>
      <c r="AK413" t="s">
        <v>1694</v>
      </c>
      <c r="AL413" t="s">
        <v>1702</v>
      </c>
      <c r="AM413" t="s">
        <v>1703</v>
      </c>
      <c r="AN413" t="s">
        <v>1702</v>
      </c>
      <c r="AO413" t="s">
        <v>1703</v>
      </c>
      <c r="AP413" t="s">
        <v>1702</v>
      </c>
      <c r="AQ413" t="s">
        <v>1697</v>
      </c>
      <c r="AR413" t="s">
        <v>1703</v>
      </c>
      <c r="AS413" t="s">
        <v>1702</v>
      </c>
      <c r="AT413" t="s">
        <v>1703</v>
      </c>
      <c r="AU413" t="s">
        <v>1706</v>
      </c>
      <c r="AV413" t="s">
        <v>1735</v>
      </c>
      <c r="AW413" t="s">
        <v>1706</v>
      </c>
      <c r="AX413" t="s">
        <v>1706</v>
      </c>
      <c r="AY413" t="s">
        <v>1735</v>
      </c>
      <c r="AZ413" t="s">
        <v>1706</v>
      </c>
      <c r="BA413" t="s">
        <v>1700</v>
      </c>
      <c r="BB413" t="s">
        <v>1706</v>
      </c>
      <c r="BC413" t="s">
        <v>1735</v>
      </c>
      <c r="BD413" t="s">
        <v>1706</v>
      </c>
      <c r="BE413" t="s">
        <v>1706</v>
      </c>
      <c r="BF413" t="s">
        <v>1735</v>
      </c>
      <c r="BG413">
        <v>30</v>
      </c>
      <c r="BH413" s="12" t="s">
        <v>1709</v>
      </c>
      <c r="BI413" t="b">
        <v>0</v>
      </c>
      <c r="BJ413">
        <f t="shared" si="6"/>
        <v>0</v>
      </c>
    </row>
    <row r="414" spans="1:62" x14ac:dyDescent="0.2">
      <c r="A414" s="5" t="s">
        <v>91</v>
      </c>
      <c r="B414" s="6">
        <v>40316</v>
      </c>
      <c r="C414" s="7">
        <v>33.589381000000003</v>
      </c>
      <c r="D414" s="7">
        <v>-112.166414</v>
      </c>
      <c r="E414" s="17">
        <v>370</v>
      </c>
      <c r="F414" t="s">
        <v>1706</v>
      </c>
      <c r="G414" t="s">
        <v>1728</v>
      </c>
      <c r="H414" t="s">
        <v>1728</v>
      </c>
      <c r="I414">
        <v>1</v>
      </c>
      <c r="J414" s="8">
        <v>24.216808324121811</v>
      </c>
      <c r="K414" s="8">
        <v>50.173985025798025</v>
      </c>
      <c r="L414" s="8">
        <v>25.609206650080168</v>
      </c>
      <c r="M414" s="8">
        <v>6.1584429629106027E-2</v>
      </c>
      <c r="N414" s="8">
        <v>5.0000000000000001E-3</v>
      </c>
      <c r="O414" s="8">
        <v>11.287712169216201</v>
      </c>
      <c r="P414" s="8">
        <v>7.377517113242833</v>
      </c>
      <c r="Q414" s="8">
        <v>124.56322370264463</v>
      </c>
      <c r="R414" s="8">
        <v>13.367861256288304</v>
      </c>
      <c r="S414" s="8">
        <v>2.12</v>
      </c>
      <c r="T414" s="8">
        <v>0.876</v>
      </c>
      <c r="U414" s="8">
        <v>0.53</v>
      </c>
      <c r="V414" s="8">
        <v>0.44900000000000001</v>
      </c>
      <c r="W414" s="8">
        <v>1.59</v>
      </c>
      <c r="X414" s="8">
        <v>0.42699999999999999</v>
      </c>
      <c r="Y414" s="8">
        <v>5.6542810985460639</v>
      </c>
      <c r="Z414" s="8">
        <v>3.7433155080213867</v>
      </c>
      <c r="AA414" s="8">
        <v>8.3699999999999992</v>
      </c>
      <c r="AB414">
        <v>0.40300000000000002</v>
      </c>
      <c r="AC414" s="8">
        <v>12.116316639741516</v>
      </c>
      <c r="AD414" s="8">
        <v>11.764705882352938</v>
      </c>
      <c r="AE414" s="8">
        <v>0.14699999999999999</v>
      </c>
      <c r="AF414" s="8">
        <v>5.8000000000000003E-2</v>
      </c>
      <c r="AG414" s="8">
        <v>1.4452593761380377</v>
      </c>
      <c r="AH414" s="8">
        <v>14.421768707482995</v>
      </c>
      <c r="AI414" s="8">
        <v>5.9591836734693882</v>
      </c>
      <c r="AJ414" t="s">
        <v>1694</v>
      </c>
      <c r="AK414" t="s">
        <v>1694</v>
      </c>
      <c r="AL414" t="s">
        <v>1702</v>
      </c>
      <c r="AM414" t="s">
        <v>1703</v>
      </c>
      <c r="AN414" t="s">
        <v>1702</v>
      </c>
      <c r="AO414" t="s">
        <v>1703</v>
      </c>
      <c r="AP414" t="s">
        <v>1702</v>
      </c>
      <c r="AQ414" t="s">
        <v>1697</v>
      </c>
      <c r="AR414" t="s">
        <v>1703</v>
      </c>
      <c r="AS414" t="s">
        <v>1702</v>
      </c>
      <c r="AT414" t="s">
        <v>1703</v>
      </c>
      <c r="AU414" t="s">
        <v>1706</v>
      </c>
      <c r="AV414" t="s">
        <v>1735</v>
      </c>
      <c r="AW414" t="s">
        <v>1706</v>
      </c>
      <c r="AX414" t="s">
        <v>1706</v>
      </c>
      <c r="AY414" t="s">
        <v>1735</v>
      </c>
      <c r="AZ414" t="s">
        <v>1706</v>
      </c>
      <c r="BA414" t="s">
        <v>1700</v>
      </c>
      <c r="BB414" t="s">
        <v>1706</v>
      </c>
      <c r="BC414" t="s">
        <v>1735</v>
      </c>
      <c r="BD414" t="s">
        <v>1706</v>
      </c>
      <c r="BE414" t="s">
        <v>1706</v>
      </c>
      <c r="BF414" t="s">
        <v>1735</v>
      </c>
      <c r="BG414">
        <v>35</v>
      </c>
      <c r="BH414" s="12" t="s">
        <v>1709</v>
      </c>
      <c r="BI414" t="b">
        <v>0</v>
      </c>
      <c r="BJ414">
        <f t="shared" si="6"/>
        <v>0</v>
      </c>
    </row>
    <row r="415" spans="1:62" x14ac:dyDescent="0.2">
      <c r="A415" s="5" t="s">
        <v>91</v>
      </c>
      <c r="B415" s="6">
        <v>42137</v>
      </c>
      <c r="C415" s="7">
        <v>33.589381000000003</v>
      </c>
      <c r="D415" s="7">
        <v>-112.166414</v>
      </c>
      <c r="E415" s="17">
        <v>370</v>
      </c>
      <c r="F415" t="s">
        <v>1706</v>
      </c>
      <c r="G415" t="s">
        <v>1728</v>
      </c>
      <c r="H415" t="s">
        <v>1728</v>
      </c>
      <c r="I415">
        <v>1</v>
      </c>
      <c r="J415">
        <v>8.7592910764499994</v>
      </c>
      <c r="K415">
        <v>38.244643848478503</v>
      </c>
      <c r="L415">
        <v>52.996065075071499</v>
      </c>
      <c r="M415">
        <v>2.4317897470657299</v>
      </c>
      <c r="N415">
        <v>2.64787687537717</v>
      </c>
      <c r="O415">
        <v>118.059469978514</v>
      </c>
      <c r="P415">
        <v>21.444073286505301</v>
      </c>
      <c r="Q415">
        <v>9.9188443878496102</v>
      </c>
      <c r="R415">
        <v>5.1444752608623004E-3</v>
      </c>
      <c r="S415">
        <v>2.9380000000000002</v>
      </c>
      <c r="T415">
        <v>0.97799999999999998</v>
      </c>
      <c r="U415">
        <v>0.47599999999999998</v>
      </c>
      <c r="V415">
        <v>0.73499999999999999</v>
      </c>
      <c r="W415">
        <v>2.4620000000000002</v>
      </c>
      <c r="X415">
        <v>0.24299999999999999</v>
      </c>
      <c r="Y415">
        <v>3.8610038610038502</v>
      </c>
      <c r="Z415">
        <v>1.7931034482758601</v>
      </c>
      <c r="AA415">
        <v>7.91</v>
      </c>
      <c r="AB415">
        <v>0.77700000000000002</v>
      </c>
      <c r="AC415">
        <v>19.723183391003499</v>
      </c>
      <c r="AD415">
        <v>16.167664670658699</v>
      </c>
      <c r="AE415">
        <v>0.30399999999999999</v>
      </c>
      <c r="AF415">
        <v>5.0999999999999997E-2</v>
      </c>
      <c r="AG415">
        <v>1.4519624301522696</v>
      </c>
      <c r="AH415">
        <v>9.6644736842105292</v>
      </c>
      <c r="AI415">
        <v>19.176470588235301</v>
      </c>
      <c r="AJ415" t="s">
        <v>1694</v>
      </c>
      <c r="AK415" t="s">
        <v>1694</v>
      </c>
      <c r="AL415" t="s">
        <v>1702</v>
      </c>
      <c r="AM415" t="s">
        <v>1703</v>
      </c>
      <c r="AN415" t="s">
        <v>1702</v>
      </c>
      <c r="AO415" t="s">
        <v>1703</v>
      </c>
      <c r="AP415" t="s">
        <v>1697</v>
      </c>
      <c r="AQ415" t="s">
        <v>1697</v>
      </c>
      <c r="AR415" t="s">
        <v>1703</v>
      </c>
      <c r="AS415" t="s">
        <v>1702</v>
      </c>
      <c r="AT415" t="s">
        <v>1703</v>
      </c>
      <c r="AU415" t="s">
        <v>1706</v>
      </c>
      <c r="AV415" t="s">
        <v>1735</v>
      </c>
      <c r="AW415" t="s">
        <v>1706</v>
      </c>
      <c r="AX415" t="s">
        <v>1706</v>
      </c>
      <c r="AY415" t="s">
        <v>1735</v>
      </c>
      <c r="AZ415" t="s">
        <v>1706</v>
      </c>
      <c r="BA415" t="s">
        <v>1700</v>
      </c>
      <c r="BB415" t="s">
        <v>1706</v>
      </c>
      <c r="BC415" t="s">
        <v>1735</v>
      </c>
      <c r="BD415" t="s">
        <v>1706</v>
      </c>
      <c r="BE415" t="s">
        <v>1706</v>
      </c>
      <c r="BF415" t="s">
        <v>1735</v>
      </c>
      <c r="BG415">
        <v>40</v>
      </c>
      <c r="BH415" s="12" t="s">
        <v>1709</v>
      </c>
      <c r="BI415" t="b">
        <v>0</v>
      </c>
      <c r="BJ415">
        <f t="shared" si="6"/>
        <v>0</v>
      </c>
    </row>
    <row r="416" spans="1:62" x14ac:dyDescent="0.2">
      <c r="A416" s="5" t="s">
        <v>92</v>
      </c>
      <c r="B416" s="6">
        <v>36605</v>
      </c>
      <c r="C416" s="7">
        <v>33.552581000000004</v>
      </c>
      <c r="D416" s="7">
        <v>-112.16668300000001</v>
      </c>
      <c r="E416" s="17">
        <v>360</v>
      </c>
      <c r="F416" t="s">
        <v>1706</v>
      </c>
      <c r="G416" t="s">
        <v>1710</v>
      </c>
      <c r="H416" t="s">
        <v>1710</v>
      </c>
      <c r="I416">
        <v>1</v>
      </c>
      <c r="J416" s="8">
        <v>23.942378765798281</v>
      </c>
      <c r="K416" s="8">
        <v>38.971946849808027</v>
      </c>
      <c r="L416" s="8">
        <v>37.085674384393691</v>
      </c>
      <c r="M416" s="8">
        <v>6.2589606518206651</v>
      </c>
      <c r="N416" s="8">
        <v>2.9188883791322402</v>
      </c>
      <c r="O416" s="8">
        <v>141.92442268481742</v>
      </c>
      <c r="P416" s="8">
        <v>93.905368066755557</v>
      </c>
      <c r="Q416" s="8">
        <v>25.704762481741739</v>
      </c>
      <c r="R416" s="8">
        <v>8.8388210865898067</v>
      </c>
      <c r="S416" s="8">
        <v>1.5469999999999999</v>
      </c>
      <c r="T416" s="8">
        <v>0.75700000000000001</v>
      </c>
      <c r="U416" s="8">
        <v>0.35199999999999998</v>
      </c>
      <c r="V416" s="8">
        <v>0.41199999999999998</v>
      </c>
      <c r="W416" s="8">
        <v>1.1950000000000001</v>
      </c>
      <c r="X416" s="8">
        <v>0.34499999999999997</v>
      </c>
      <c r="Y416" s="8">
        <v>4.8895900000000001</v>
      </c>
      <c r="Z416" s="8">
        <v>3.9840599999999999</v>
      </c>
      <c r="AA416" s="9">
        <v>7.87</v>
      </c>
      <c r="AB416" s="10">
        <v>3.39</v>
      </c>
      <c r="AC416" s="8">
        <v>15.59803</v>
      </c>
      <c r="AD416" s="8">
        <v>17.64706</v>
      </c>
      <c r="AE416" s="8">
        <v>0.13600000000000001</v>
      </c>
      <c r="AF416" s="8">
        <v>6.0999999999999999E-2</v>
      </c>
      <c r="AG416" s="8">
        <v>1.3410564766734503</v>
      </c>
      <c r="AH416" s="8">
        <v>11.374999999999998</v>
      </c>
      <c r="AI416" s="8">
        <v>5.5661764705882346</v>
      </c>
      <c r="AJ416" t="s">
        <v>1702</v>
      </c>
      <c r="AK416" t="s">
        <v>1703</v>
      </c>
      <c r="AL416" t="s">
        <v>1702</v>
      </c>
      <c r="AM416" t="s">
        <v>1703</v>
      </c>
      <c r="AN416" t="s">
        <v>1702</v>
      </c>
      <c r="AO416" t="s">
        <v>1703</v>
      </c>
      <c r="AP416" t="s">
        <v>1706</v>
      </c>
      <c r="AQ416" t="s">
        <v>1735</v>
      </c>
      <c r="AR416" t="s">
        <v>1706</v>
      </c>
      <c r="AS416" t="s">
        <v>1700</v>
      </c>
      <c r="AT416" t="s">
        <v>1700</v>
      </c>
      <c r="AU416" t="s">
        <v>1706</v>
      </c>
      <c r="AV416" t="s">
        <v>1735</v>
      </c>
      <c r="AW416" t="s">
        <v>1706</v>
      </c>
      <c r="AX416" t="s">
        <v>1706</v>
      </c>
      <c r="AY416" t="s">
        <v>1735</v>
      </c>
      <c r="AZ416" t="s">
        <v>1706</v>
      </c>
      <c r="BA416" t="s">
        <v>1700</v>
      </c>
      <c r="BB416" t="s">
        <v>1706</v>
      </c>
      <c r="BC416" t="s">
        <v>1735</v>
      </c>
      <c r="BD416" t="s">
        <v>1706</v>
      </c>
      <c r="BE416" t="s">
        <v>1706</v>
      </c>
      <c r="BF416" t="s">
        <v>1735</v>
      </c>
      <c r="BG416">
        <v>45</v>
      </c>
      <c r="BH416" s="12" t="s">
        <v>1729</v>
      </c>
      <c r="BI416" t="b">
        <v>0</v>
      </c>
      <c r="BJ416">
        <f t="shared" si="6"/>
        <v>0</v>
      </c>
    </row>
    <row r="417" spans="1:62" x14ac:dyDescent="0.2">
      <c r="A417" s="5" t="s">
        <v>92</v>
      </c>
      <c r="B417" s="6">
        <v>38404</v>
      </c>
      <c r="C417" s="7">
        <v>33.552581000000004</v>
      </c>
      <c r="D417" s="7">
        <v>-112.16668300000001</v>
      </c>
      <c r="E417" s="17">
        <v>360</v>
      </c>
      <c r="F417" t="s">
        <v>1706</v>
      </c>
      <c r="G417" t="s">
        <v>1710</v>
      </c>
      <c r="H417" t="s">
        <v>1710</v>
      </c>
      <c r="I417">
        <v>1</v>
      </c>
      <c r="J417" s="8">
        <v>16.907678070507171</v>
      </c>
      <c r="K417" s="8">
        <v>55.44550615364674</v>
      </c>
      <c r="L417" s="8">
        <v>27.646815775846093</v>
      </c>
      <c r="M417" s="8">
        <v>3.7587394931217735</v>
      </c>
      <c r="N417" s="8">
        <v>0.93743056329508301</v>
      </c>
      <c r="O417" s="8">
        <v>15.703178326819858</v>
      </c>
      <c r="P417" s="8">
        <v>19.056624165270044</v>
      </c>
      <c r="Q417" s="8">
        <v>91.283346486404341</v>
      </c>
      <c r="R417" s="8">
        <v>11.370451576355457</v>
      </c>
      <c r="S417" s="8">
        <v>2.8580000000000001</v>
      </c>
      <c r="T417" s="8">
        <v>0.96399999999999997</v>
      </c>
      <c r="U417" s="8">
        <v>0.28100000000000003</v>
      </c>
      <c r="V417" s="8">
        <v>0.46700000000000003</v>
      </c>
      <c r="W417" s="8">
        <v>2.577</v>
      </c>
      <c r="X417" s="8">
        <v>0.49699999999999994</v>
      </c>
      <c r="Y417" s="8">
        <v>5.2173913043478182</v>
      </c>
      <c r="Z417" s="8">
        <v>3.2904148783976921</v>
      </c>
      <c r="AA417" s="8">
        <v>8.08</v>
      </c>
      <c r="AB417">
        <v>0.23899999999999999</v>
      </c>
      <c r="AC417" s="8">
        <v>1.1594202898550736</v>
      </c>
      <c r="AD417" s="8">
        <v>13.304721030042915</v>
      </c>
      <c r="AE417" s="8">
        <v>0.23400000000000001</v>
      </c>
      <c r="AF417" s="8">
        <v>6.8000000000000005E-2</v>
      </c>
      <c r="AG417" s="8">
        <v>1.1775314858289887</v>
      </c>
      <c r="AH417" s="8">
        <v>12.213675213675213</v>
      </c>
      <c r="AI417" s="8">
        <v>4.1196581196581192</v>
      </c>
      <c r="AJ417" t="s">
        <v>1702</v>
      </c>
      <c r="AK417" t="s">
        <v>1703</v>
      </c>
      <c r="AL417" t="s">
        <v>1702</v>
      </c>
      <c r="AM417" t="s">
        <v>1703</v>
      </c>
      <c r="AN417" t="s">
        <v>1702</v>
      </c>
      <c r="AO417" t="s">
        <v>1703</v>
      </c>
      <c r="AP417" t="s">
        <v>1706</v>
      </c>
      <c r="AQ417" t="s">
        <v>1735</v>
      </c>
      <c r="AR417" t="s">
        <v>1706</v>
      </c>
      <c r="AS417" t="s">
        <v>1700</v>
      </c>
      <c r="AT417" t="s">
        <v>1700</v>
      </c>
      <c r="AU417" t="s">
        <v>1706</v>
      </c>
      <c r="AV417" t="s">
        <v>1735</v>
      </c>
      <c r="AW417" t="s">
        <v>1706</v>
      </c>
      <c r="AX417" t="s">
        <v>1706</v>
      </c>
      <c r="AY417" t="s">
        <v>1735</v>
      </c>
      <c r="AZ417" t="s">
        <v>1706</v>
      </c>
      <c r="BA417" t="s">
        <v>1700</v>
      </c>
      <c r="BB417" t="s">
        <v>1706</v>
      </c>
      <c r="BC417" t="s">
        <v>1735</v>
      </c>
      <c r="BD417" t="s">
        <v>1706</v>
      </c>
      <c r="BE417" t="s">
        <v>1706</v>
      </c>
      <c r="BF417" t="s">
        <v>1735</v>
      </c>
      <c r="BG417">
        <v>50</v>
      </c>
      <c r="BH417" s="12" t="s">
        <v>1729</v>
      </c>
      <c r="BI417" t="b">
        <v>0</v>
      </c>
      <c r="BJ417">
        <f t="shared" si="6"/>
        <v>0</v>
      </c>
    </row>
    <row r="418" spans="1:62" x14ac:dyDescent="0.2">
      <c r="A418" s="5" t="s">
        <v>92</v>
      </c>
      <c r="B418" s="6">
        <v>40350</v>
      </c>
      <c r="C418" s="7">
        <v>33.552581000000004</v>
      </c>
      <c r="D418" s="7">
        <v>-112.16668300000001</v>
      </c>
      <c r="E418" s="17">
        <v>360</v>
      </c>
      <c r="F418" t="s">
        <v>1706</v>
      </c>
      <c r="G418" t="s">
        <v>1710</v>
      </c>
      <c r="H418" t="s">
        <v>1710</v>
      </c>
      <c r="I418">
        <v>1</v>
      </c>
      <c r="J418" s="8">
        <v>19.163335343911697</v>
      </c>
      <c r="K418" s="8">
        <v>38.317156325603882</v>
      </c>
      <c r="L418" s="8">
        <v>42.51950833048442</v>
      </c>
      <c r="M418" s="8">
        <v>33.573476972629088</v>
      </c>
      <c r="N418" s="8">
        <v>1.4088548521181912</v>
      </c>
      <c r="O418" s="8">
        <v>116.71140979198373</v>
      </c>
      <c r="P418" s="8">
        <v>203.50125641707211</v>
      </c>
      <c r="Q418" s="8">
        <v>98.1217413185841</v>
      </c>
      <c r="R418" s="8">
        <v>21.700661883389131</v>
      </c>
      <c r="S418" s="8">
        <v>1.851</v>
      </c>
      <c r="T418" s="8">
        <v>1.018</v>
      </c>
      <c r="U418" s="8">
        <v>0.35599999999999998</v>
      </c>
      <c r="V418" s="8">
        <v>0.46300000000000002</v>
      </c>
      <c r="W418" s="8">
        <v>1.4950000000000001</v>
      </c>
      <c r="X418" s="8">
        <v>0.55499999999999994</v>
      </c>
      <c r="Y418" s="8">
        <v>5.2724077328646572</v>
      </c>
      <c r="Z418" s="8">
        <v>4.6979865771812266</v>
      </c>
      <c r="AA418" s="8">
        <v>7.85</v>
      </c>
      <c r="AB418">
        <v>2.52</v>
      </c>
      <c r="AC418" s="8">
        <v>1.5817223198594312</v>
      </c>
      <c r="AD418" s="8">
        <v>5.5369127516778525</v>
      </c>
      <c r="AE418" s="8">
        <v>0.14799999999999999</v>
      </c>
      <c r="AF418" s="8">
        <v>7.0000000000000007E-2</v>
      </c>
      <c r="AG418" s="8">
        <v>1.4918891264629632</v>
      </c>
      <c r="AH418" s="8">
        <v>12.506756756756758</v>
      </c>
      <c r="AI418" s="8">
        <v>6.878378378378379</v>
      </c>
      <c r="AJ418" t="s">
        <v>1702</v>
      </c>
      <c r="AK418" t="s">
        <v>1703</v>
      </c>
      <c r="AL418" t="s">
        <v>1702</v>
      </c>
      <c r="AM418" t="s">
        <v>1703</v>
      </c>
      <c r="AN418" t="s">
        <v>1702</v>
      </c>
      <c r="AO418" t="s">
        <v>1703</v>
      </c>
      <c r="AP418" t="s">
        <v>1706</v>
      </c>
      <c r="AQ418" t="s">
        <v>1735</v>
      </c>
      <c r="AR418" t="s">
        <v>1706</v>
      </c>
      <c r="AS418" t="s">
        <v>1700</v>
      </c>
      <c r="AT418" t="s">
        <v>1700</v>
      </c>
      <c r="AU418" t="s">
        <v>1706</v>
      </c>
      <c r="AV418" t="s">
        <v>1735</v>
      </c>
      <c r="AW418" t="s">
        <v>1706</v>
      </c>
      <c r="AX418" t="s">
        <v>1706</v>
      </c>
      <c r="AY418" t="s">
        <v>1735</v>
      </c>
      <c r="AZ418" t="s">
        <v>1706</v>
      </c>
      <c r="BA418" t="s">
        <v>1700</v>
      </c>
      <c r="BB418" t="s">
        <v>1706</v>
      </c>
      <c r="BC418" t="s">
        <v>1735</v>
      </c>
      <c r="BD418" t="s">
        <v>1706</v>
      </c>
      <c r="BE418" t="s">
        <v>1706</v>
      </c>
      <c r="BF418" t="s">
        <v>1735</v>
      </c>
      <c r="BG418">
        <v>55</v>
      </c>
      <c r="BH418" s="12" t="s">
        <v>1729</v>
      </c>
      <c r="BI418" t="b">
        <v>0</v>
      </c>
      <c r="BJ418">
        <f t="shared" si="6"/>
        <v>0</v>
      </c>
    </row>
    <row r="419" spans="1:62" x14ac:dyDescent="0.2">
      <c r="A419" s="5" t="s">
        <v>92</v>
      </c>
      <c r="B419" s="6">
        <v>42174</v>
      </c>
      <c r="C419" s="7">
        <v>33.552581000000004</v>
      </c>
      <c r="D419" s="7">
        <v>-112.16668300000001</v>
      </c>
      <c r="E419" s="17">
        <v>360</v>
      </c>
      <c r="F419" t="s">
        <v>1706</v>
      </c>
      <c r="G419" t="s">
        <v>1728</v>
      </c>
      <c r="H419" t="s">
        <v>1728</v>
      </c>
      <c r="I419">
        <v>1</v>
      </c>
      <c r="J419">
        <v>12.4626134879763</v>
      </c>
      <c r="K419">
        <v>50.304882863475598</v>
      </c>
      <c r="L419">
        <v>37.232503648548096</v>
      </c>
      <c r="M419">
        <v>15.7279705747634</v>
      </c>
      <c r="N419">
        <v>32.156803029498199</v>
      </c>
      <c r="O419">
        <v>476.65380211272799</v>
      </c>
      <c r="P419">
        <v>336.111308047016</v>
      </c>
      <c r="Q419">
        <v>17.5917919739388</v>
      </c>
      <c r="R419">
        <v>10.492247355884899</v>
      </c>
      <c r="S419">
        <v>1.645</v>
      </c>
      <c r="T419">
        <v>1.274</v>
      </c>
      <c r="U419">
        <v>0.23799999999999999</v>
      </c>
      <c r="V419">
        <v>0.50700000000000001</v>
      </c>
      <c r="W419">
        <v>1.407</v>
      </c>
      <c r="X419">
        <v>0.76700000000000002</v>
      </c>
      <c r="Y419">
        <v>3.70879120879122</v>
      </c>
      <c r="Z419">
        <v>2.8387096774193501</v>
      </c>
      <c r="AA419">
        <v>7.97</v>
      </c>
      <c r="AB419">
        <v>15.5</v>
      </c>
      <c r="AC419">
        <v>4.6370967741935196</v>
      </c>
      <c r="AD419">
        <v>9.0744101633393797</v>
      </c>
      <c r="AE419">
        <v>0.17899999999999999</v>
      </c>
      <c r="AF419">
        <v>0.105</v>
      </c>
      <c r="AG419">
        <v>1.2946032389679207</v>
      </c>
      <c r="AH419">
        <v>9.1899441340782104</v>
      </c>
      <c r="AI419">
        <v>12.133333333333301</v>
      </c>
      <c r="AJ419" t="s">
        <v>1702</v>
      </c>
      <c r="AK419" t="s">
        <v>1703</v>
      </c>
      <c r="AL419" t="s">
        <v>1702</v>
      </c>
      <c r="AM419" t="s">
        <v>1703</v>
      </c>
      <c r="AN419" t="s">
        <v>1702</v>
      </c>
      <c r="AO419" t="s">
        <v>1703</v>
      </c>
      <c r="AP419" t="s">
        <v>1706</v>
      </c>
      <c r="AQ419" t="s">
        <v>1735</v>
      </c>
      <c r="AR419" t="s">
        <v>1706</v>
      </c>
      <c r="AS419" t="s">
        <v>1700</v>
      </c>
      <c r="AT419" t="s">
        <v>1700</v>
      </c>
      <c r="AU419" t="s">
        <v>1706</v>
      </c>
      <c r="AV419" t="s">
        <v>1735</v>
      </c>
      <c r="AW419" t="s">
        <v>1706</v>
      </c>
      <c r="AX419" t="s">
        <v>1706</v>
      </c>
      <c r="AY419" t="s">
        <v>1735</v>
      </c>
      <c r="AZ419" t="s">
        <v>1706</v>
      </c>
      <c r="BA419" t="s">
        <v>1700</v>
      </c>
      <c r="BB419" t="s">
        <v>1706</v>
      </c>
      <c r="BC419" t="s">
        <v>1735</v>
      </c>
      <c r="BD419" t="s">
        <v>1706</v>
      </c>
      <c r="BE419" t="s">
        <v>1706</v>
      </c>
      <c r="BF419" t="s">
        <v>1735</v>
      </c>
      <c r="BG419">
        <v>60</v>
      </c>
      <c r="BH419" s="12" t="s">
        <v>1729</v>
      </c>
      <c r="BI419" t="b">
        <v>0</v>
      </c>
      <c r="BJ419">
        <f t="shared" si="6"/>
        <v>0</v>
      </c>
    </row>
    <row r="420" spans="1:62" x14ac:dyDescent="0.2">
      <c r="A420" s="5" t="s">
        <v>93</v>
      </c>
      <c r="B420" s="6">
        <v>36601</v>
      </c>
      <c r="C420" s="7">
        <v>33.507277999999999</v>
      </c>
      <c r="D420" s="7">
        <v>-112.17337499999999</v>
      </c>
      <c r="E420" s="17">
        <v>343</v>
      </c>
      <c r="F420" t="s">
        <v>1706</v>
      </c>
      <c r="G420" t="s">
        <v>1710</v>
      </c>
      <c r="H420" t="s">
        <v>1710</v>
      </c>
      <c r="I420">
        <v>1</v>
      </c>
      <c r="J420" s="8">
        <v>23.615150157483423</v>
      </c>
      <c r="K420" s="8">
        <v>39.305261219114513</v>
      </c>
      <c r="L420" s="8">
        <v>37.07958862340206</v>
      </c>
      <c r="M420" s="8">
        <v>4.1794315893811564</v>
      </c>
      <c r="N420" s="8">
        <v>2.6321159394301374</v>
      </c>
      <c r="O420" s="8">
        <v>29.889295896913275</v>
      </c>
      <c r="P420" s="8">
        <v>10.700522460186992</v>
      </c>
      <c r="Q420" s="8">
        <v>4.386105588039479</v>
      </c>
      <c r="R420" s="8">
        <v>1.269018196707363</v>
      </c>
      <c r="S420" s="8">
        <v>2.085</v>
      </c>
      <c r="T420" s="8">
        <v>0.78400000000000003</v>
      </c>
      <c r="U420" s="8">
        <v>0.19800000000000001</v>
      </c>
      <c r="V420" s="8">
        <v>0.23</v>
      </c>
      <c r="W420" s="8">
        <v>1.887</v>
      </c>
      <c r="X420" s="8">
        <v>0.55400000000000005</v>
      </c>
      <c r="Y420" s="8">
        <v>5.1757200000000001</v>
      </c>
      <c r="Z420" s="8">
        <v>2.9189699999999998</v>
      </c>
      <c r="AA420" s="9">
        <v>7.6</v>
      </c>
      <c r="AB420" s="10">
        <v>0.65749999999999997</v>
      </c>
      <c r="AC420" s="8">
        <v>16.269210000000001</v>
      </c>
      <c r="AD420" s="8">
        <v>15.95656</v>
      </c>
      <c r="AE420" s="8">
        <v>0.221</v>
      </c>
      <c r="AF420" s="8">
        <v>0.08</v>
      </c>
      <c r="AG420" s="8">
        <v>1.0671703344655501</v>
      </c>
      <c r="AH420" s="8">
        <v>9.4343891402714934</v>
      </c>
      <c r="AI420" s="8">
        <v>3.5475113122171948</v>
      </c>
      <c r="AJ420" t="s">
        <v>1702</v>
      </c>
      <c r="AK420" t="s">
        <v>1703</v>
      </c>
      <c r="AL420" t="s">
        <v>1702</v>
      </c>
      <c r="AM420" t="s">
        <v>1703</v>
      </c>
      <c r="AN420" t="s">
        <v>1700</v>
      </c>
      <c r="AO420" t="s">
        <v>1700</v>
      </c>
      <c r="AP420" t="s">
        <v>1706</v>
      </c>
      <c r="AQ420" t="s">
        <v>1707</v>
      </c>
      <c r="AR420" t="s">
        <v>1706</v>
      </c>
      <c r="AS420" t="s">
        <v>1700</v>
      </c>
      <c r="AT420" t="s">
        <v>1700</v>
      </c>
      <c r="AU420" t="s">
        <v>1706</v>
      </c>
      <c r="AV420" t="s">
        <v>1723</v>
      </c>
      <c r="AW420" t="s">
        <v>1706</v>
      </c>
      <c r="AX420" t="s">
        <v>1706</v>
      </c>
      <c r="AY420" t="s">
        <v>1723</v>
      </c>
      <c r="AZ420" t="s">
        <v>1706</v>
      </c>
      <c r="BA420" t="s">
        <v>1700</v>
      </c>
      <c r="BB420" t="s">
        <v>1706</v>
      </c>
      <c r="BC420" t="s">
        <v>1723</v>
      </c>
      <c r="BD420" t="s">
        <v>1706</v>
      </c>
      <c r="BE420" t="s">
        <v>1706</v>
      </c>
      <c r="BF420" t="s">
        <v>1723</v>
      </c>
      <c r="BG420">
        <v>66</v>
      </c>
      <c r="BH420" s="12" t="s">
        <v>1712</v>
      </c>
      <c r="BI420" t="b">
        <v>0</v>
      </c>
      <c r="BJ420">
        <f t="shared" si="6"/>
        <v>0</v>
      </c>
    </row>
    <row r="421" spans="1:62" x14ac:dyDescent="0.2">
      <c r="A421" s="5" t="s">
        <v>93</v>
      </c>
      <c r="B421" s="6">
        <v>38404</v>
      </c>
      <c r="C421" s="7">
        <v>33.507277999999999</v>
      </c>
      <c r="D421" s="7">
        <v>-112.17337499999999</v>
      </c>
      <c r="E421" s="17">
        <v>343</v>
      </c>
      <c r="F421" t="s">
        <v>1706</v>
      </c>
      <c r="G421" t="s">
        <v>1710</v>
      </c>
      <c r="H421" t="s">
        <v>1710</v>
      </c>
      <c r="I421">
        <v>1</v>
      </c>
      <c r="J421" s="8">
        <v>20.149526846795979</v>
      </c>
      <c r="K421" s="8">
        <v>43.522898675198505</v>
      </c>
      <c r="L421" s="8">
        <v>36.327574478005516</v>
      </c>
      <c r="M421" s="8">
        <v>2.8846959576637334</v>
      </c>
      <c r="N421" s="8">
        <v>0.92930128366049591</v>
      </c>
      <c r="O421" s="8">
        <v>9.2802779711182044</v>
      </c>
      <c r="P421" s="8">
        <v>5.2240007874343579</v>
      </c>
      <c r="Q421" s="8">
        <v>7.1102521375048253</v>
      </c>
      <c r="R421" s="8">
        <v>1.2549324612234722</v>
      </c>
      <c r="S421" s="8">
        <v>2.2909999999999999</v>
      </c>
      <c r="T421" s="8">
        <v>0.86</v>
      </c>
      <c r="U421" s="8">
        <v>0.38800000000000001</v>
      </c>
      <c r="V421" s="8">
        <v>0.318</v>
      </c>
      <c r="W421" s="8">
        <v>1.903</v>
      </c>
      <c r="X421" s="8">
        <v>0.54200000000000004</v>
      </c>
      <c r="Y421" s="8">
        <v>6.666666666666651</v>
      </c>
      <c r="Z421" s="8">
        <v>3.5629453681710297</v>
      </c>
      <c r="AA421" s="8">
        <v>8.15</v>
      </c>
      <c r="AB421">
        <v>0.41199999999999998</v>
      </c>
      <c r="AC421" s="8">
        <v>26.382978723404278</v>
      </c>
      <c r="AD421" s="8">
        <v>19.952494061757715</v>
      </c>
      <c r="AE421" s="8">
        <v>0.216</v>
      </c>
      <c r="AF421" s="8">
        <v>6.4000000000000001E-2</v>
      </c>
      <c r="AG421" s="8">
        <v>1.09955143717662</v>
      </c>
      <c r="AH421" s="8">
        <v>10.606481481481481</v>
      </c>
      <c r="AI421" s="8">
        <v>3.9814814814814814</v>
      </c>
      <c r="AJ421" t="s">
        <v>1702</v>
      </c>
      <c r="AK421" t="s">
        <v>1703</v>
      </c>
      <c r="AL421" t="s">
        <v>1702</v>
      </c>
      <c r="AM421" t="s">
        <v>1703</v>
      </c>
      <c r="AN421" t="s">
        <v>1700</v>
      </c>
      <c r="AO421" t="s">
        <v>1700</v>
      </c>
      <c r="AP421" t="s">
        <v>1706</v>
      </c>
      <c r="AQ421" t="s">
        <v>1707</v>
      </c>
      <c r="AR421" t="s">
        <v>1706</v>
      </c>
      <c r="AS421" t="s">
        <v>1700</v>
      </c>
      <c r="AT421" t="s">
        <v>1700</v>
      </c>
      <c r="AU421" t="s">
        <v>1706</v>
      </c>
      <c r="AV421" t="s">
        <v>1723</v>
      </c>
      <c r="AW421" t="s">
        <v>1706</v>
      </c>
      <c r="AX421" t="s">
        <v>1706</v>
      </c>
      <c r="AY421" t="s">
        <v>1723</v>
      </c>
      <c r="AZ421" t="s">
        <v>1706</v>
      </c>
      <c r="BA421" t="s">
        <v>1700</v>
      </c>
      <c r="BB421" t="s">
        <v>1706</v>
      </c>
      <c r="BC421" t="s">
        <v>1723</v>
      </c>
      <c r="BD421" t="s">
        <v>1706</v>
      </c>
      <c r="BE421" t="s">
        <v>1706</v>
      </c>
      <c r="BF421" t="s">
        <v>1723</v>
      </c>
      <c r="BG421">
        <v>71</v>
      </c>
      <c r="BH421" s="12" t="s">
        <v>1712</v>
      </c>
      <c r="BI421" t="b">
        <v>0</v>
      </c>
      <c r="BJ421">
        <f t="shared" si="6"/>
        <v>0</v>
      </c>
    </row>
    <row r="422" spans="1:62" x14ac:dyDescent="0.2">
      <c r="A422" s="5" t="s">
        <v>93</v>
      </c>
      <c r="B422" s="6">
        <v>40316</v>
      </c>
      <c r="C422" s="7">
        <v>33.507277999999999</v>
      </c>
      <c r="D422" s="7">
        <v>-112.17337499999999</v>
      </c>
      <c r="E422" s="17">
        <v>343</v>
      </c>
      <c r="F422" t="s">
        <v>1706</v>
      </c>
      <c r="G422" t="s">
        <v>1710</v>
      </c>
      <c r="H422" t="s">
        <v>1710</v>
      </c>
      <c r="I422">
        <v>1</v>
      </c>
      <c r="J422" s="8">
        <v>22.340852645886162</v>
      </c>
      <c r="K422" s="8">
        <v>56.204149685068543</v>
      </c>
      <c r="L422" s="8">
        <v>21.454997669045298</v>
      </c>
      <c r="M422" s="8">
        <v>4.087700065454448</v>
      </c>
      <c r="N422" s="8">
        <v>1.354934108994547</v>
      </c>
      <c r="O422" s="8">
        <v>90.352015707014544</v>
      </c>
      <c r="P422" s="8">
        <v>43.047385754514245</v>
      </c>
      <c r="Q422" s="8">
        <v>14.72295787974034</v>
      </c>
      <c r="R422" s="8">
        <v>2.5000000000000001E-3</v>
      </c>
      <c r="S422" s="8">
        <v>1.9670000000000001</v>
      </c>
      <c r="T422" s="8">
        <v>0.748</v>
      </c>
      <c r="U422" s="8">
        <v>0.128</v>
      </c>
      <c r="V422" s="8">
        <v>0.23</v>
      </c>
      <c r="W422" s="8">
        <v>1.839</v>
      </c>
      <c r="X422" s="8">
        <v>0.51800000000000002</v>
      </c>
      <c r="Y422" s="8">
        <v>7.6246334310850372</v>
      </c>
      <c r="Z422" s="8">
        <v>5.152224824355967</v>
      </c>
      <c r="AA422" s="8">
        <v>7.9</v>
      </c>
      <c r="AB422">
        <v>3.84</v>
      </c>
      <c r="AC422" s="8">
        <v>7.3313782991202334</v>
      </c>
      <c r="AD422" s="8">
        <v>5.6206088992974292</v>
      </c>
      <c r="AE422" s="8">
        <v>0.19700000000000001</v>
      </c>
      <c r="AF422" s="8">
        <v>6.3E-2</v>
      </c>
      <c r="AG422" s="8">
        <v>1.3147508118767259</v>
      </c>
      <c r="AH422" s="8">
        <v>9.9847715736040605</v>
      </c>
      <c r="AI422" s="8">
        <v>3.796954314720812</v>
      </c>
      <c r="AJ422" t="s">
        <v>1702</v>
      </c>
      <c r="AK422" t="s">
        <v>1703</v>
      </c>
      <c r="AL422" t="s">
        <v>1702</v>
      </c>
      <c r="AM422" t="s">
        <v>1703</v>
      </c>
      <c r="AN422" t="s">
        <v>1700</v>
      </c>
      <c r="AO422" t="s">
        <v>1700</v>
      </c>
      <c r="AP422" t="s">
        <v>1706</v>
      </c>
      <c r="AQ422" t="s">
        <v>1707</v>
      </c>
      <c r="AR422" t="s">
        <v>1706</v>
      </c>
      <c r="AS422" t="s">
        <v>1700</v>
      </c>
      <c r="AT422" t="s">
        <v>1700</v>
      </c>
      <c r="AU422" t="s">
        <v>1706</v>
      </c>
      <c r="AV422" t="s">
        <v>1723</v>
      </c>
      <c r="AW422" t="s">
        <v>1706</v>
      </c>
      <c r="AX422" t="s">
        <v>1706</v>
      </c>
      <c r="AY422" t="s">
        <v>1723</v>
      </c>
      <c r="AZ422" t="s">
        <v>1706</v>
      </c>
      <c r="BA422" t="s">
        <v>1700</v>
      </c>
      <c r="BB422" t="s">
        <v>1706</v>
      </c>
      <c r="BC422" t="s">
        <v>1723</v>
      </c>
      <c r="BD422" t="s">
        <v>1706</v>
      </c>
      <c r="BE422" t="s">
        <v>1706</v>
      </c>
      <c r="BF422" t="s">
        <v>1723</v>
      </c>
      <c r="BG422">
        <v>76</v>
      </c>
      <c r="BH422" s="12" t="s">
        <v>1712</v>
      </c>
      <c r="BI422" t="b">
        <v>0</v>
      </c>
      <c r="BJ422">
        <f t="shared" si="6"/>
        <v>0</v>
      </c>
    </row>
    <row r="423" spans="1:62" x14ac:dyDescent="0.2">
      <c r="A423" s="5" t="s">
        <v>94</v>
      </c>
      <c r="B423" s="6">
        <v>38467</v>
      </c>
      <c r="C423" s="7">
        <v>33.466486000000003</v>
      </c>
      <c r="D423" s="7">
        <v>-112.142297</v>
      </c>
      <c r="E423" s="17">
        <v>327</v>
      </c>
      <c r="F423" t="s">
        <v>1706</v>
      </c>
      <c r="G423" t="s">
        <v>1724</v>
      </c>
      <c r="H423" t="s">
        <v>1724</v>
      </c>
      <c r="I423">
        <v>1</v>
      </c>
      <c r="J423" s="8">
        <v>21.103009676243889</v>
      </c>
      <c r="K423" s="8">
        <v>60.882639834533279</v>
      </c>
      <c r="L423" s="8">
        <v>18.014350489222835</v>
      </c>
      <c r="M423" s="8">
        <v>2.9182671436796701</v>
      </c>
      <c r="N423" s="8">
        <v>1.7755583893779949</v>
      </c>
      <c r="O423" s="8">
        <v>12.19528480042978</v>
      </c>
      <c r="P423" s="8">
        <v>11.56534169081212</v>
      </c>
      <c r="Q423" s="8">
        <v>7.5121470604234775</v>
      </c>
      <c r="R423" s="8">
        <v>19.942398099828107</v>
      </c>
      <c r="S423" s="8">
        <v>1.304</v>
      </c>
      <c r="T423" s="8">
        <v>0.95599999999999996</v>
      </c>
      <c r="U423" s="8">
        <v>0.24299999999999999</v>
      </c>
      <c r="V423" s="8">
        <v>0.26200000000000001</v>
      </c>
      <c r="W423" s="8">
        <v>1.0609999999999999</v>
      </c>
      <c r="X423" s="8">
        <v>0.69399999999999995</v>
      </c>
      <c r="Y423" s="8">
        <v>3.0872483221476332</v>
      </c>
      <c r="Z423" s="8">
        <v>3.7383177570093498</v>
      </c>
      <c r="AA423" s="8">
        <v>8.5299999999999994</v>
      </c>
      <c r="AB423">
        <v>0.223</v>
      </c>
      <c r="AC423" s="8">
        <v>8.1879194630872654</v>
      </c>
      <c r="AD423" s="8">
        <v>13.925233644859816</v>
      </c>
      <c r="AE423" s="8">
        <v>5.8999999999999997E-2</v>
      </c>
      <c r="AF423" s="8">
        <v>5.0999999999999997E-2</v>
      </c>
      <c r="AG423" s="8">
        <v>1.4119380446028227</v>
      </c>
      <c r="AH423" s="8">
        <v>22.101694915254239</v>
      </c>
      <c r="AI423" s="8">
        <v>16.203389830508474</v>
      </c>
      <c r="AJ423" t="s">
        <v>1702</v>
      </c>
      <c r="AK423" t="s">
        <v>1703</v>
      </c>
      <c r="AL423" t="s">
        <v>1702</v>
      </c>
      <c r="AM423" t="s">
        <v>1703</v>
      </c>
      <c r="AN423" t="s">
        <v>1700</v>
      </c>
      <c r="AO423" t="s">
        <v>1700</v>
      </c>
      <c r="AP423" t="s">
        <v>1702</v>
      </c>
      <c r="AQ423" t="s">
        <v>1725</v>
      </c>
      <c r="AR423" t="s">
        <v>1703</v>
      </c>
      <c r="AS423" t="s">
        <v>1700</v>
      </c>
      <c r="AT423" t="s">
        <v>1700</v>
      </c>
      <c r="AU423" t="s">
        <v>1701</v>
      </c>
      <c r="AV423" t="s">
        <v>1739</v>
      </c>
      <c r="AW423" t="s">
        <v>1700</v>
      </c>
      <c r="AX423" t="s">
        <v>1701</v>
      </c>
      <c r="AY423" t="s">
        <v>1739</v>
      </c>
      <c r="AZ423" t="s">
        <v>1700</v>
      </c>
      <c r="BA423" t="s">
        <v>1700</v>
      </c>
      <c r="BB423" t="s">
        <v>1701</v>
      </c>
      <c r="BC423" t="s">
        <v>1739</v>
      </c>
      <c r="BD423" t="s">
        <v>1700</v>
      </c>
      <c r="BE423" t="s">
        <v>1701</v>
      </c>
      <c r="BF423" t="s">
        <v>1739</v>
      </c>
      <c r="BG423" s="8">
        <v>35</v>
      </c>
      <c r="BH423" s="14" t="s">
        <v>1709</v>
      </c>
      <c r="BI423" t="b">
        <v>0</v>
      </c>
      <c r="BJ423">
        <f t="shared" si="6"/>
        <v>0</v>
      </c>
    </row>
    <row r="424" spans="1:62" x14ac:dyDescent="0.2">
      <c r="A424" s="5" t="s">
        <v>94</v>
      </c>
      <c r="B424" s="6">
        <v>40255</v>
      </c>
      <c r="C424" s="7">
        <v>33.466486000000003</v>
      </c>
      <c r="D424" s="7">
        <v>-112.142297</v>
      </c>
      <c r="E424" s="17">
        <v>327</v>
      </c>
      <c r="F424" t="s">
        <v>1706</v>
      </c>
      <c r="G424" t="s">
        <v>1724</v>
      </c>
      <c r="H424" t="s">
        <v>1724</v>
      </c>
      <c r="I424">
        <v>1</v>
      </c>
      <c r="J424" s="8">
        <v>6.03</v>
      </c>
      <c r="K424" s="8">
        <v>69.89823660672964</v>
      </c>
      <c r="L424" s="8">
        <v>24.071763393270359</v>
      </c>
      <c r="M424" s="8">
        <v>2.4083578193910689</v>
      </c>
      <c r="N424" s="8">
        <v>2.0021105985830228</v>
      </c>
      <c r="O424" s="8">
        <v>51.094963932963466</v>
      </c>
      <c r="P424" s="8">
        <v>66.031147626343937</v>
      </c>
      <c r="Q424" s="8">
        <v>45.468434900102274</v>
      </c>
      <c r="R424" s="8">
        <v>26.359378448409341</v>
      </c>
      <c r="S424" s="8">
        <v>1.331</v>
      </c>
      <c r="T424" s="8">
        <v>0.91</v>
      </c>
      <c r="U424" s="8">
        <v>0.182</v>
      </c>
      <c r="V424" s="8">
        <v>0.34</v>
      </c>
      <c r="W424" s="8">
        <v>1.149</v>
      </c>
      <c r="X424" s="8">
        <v>0.57000000000000006</v>
      </c>
      <c r="Y424" s="8">
        <v>3.9267015706806374</v>
      </c>
      <c r="Z424" s="8">
        <v>2.8678304239401551</v>
      </c>
      <c r="AA424" s="8">
        <v>8.36</v>
      </c>
      <c r="AB424">
        <v>0.505</v>
      </c>
      <c r="AC424" s="8">
        <v>5.1047120418848237</v>
      </c>
      <c r="AD424" s="8">
        <v>8.4788029925187001</v>
      </c>
      <c r="AE424" s="8">
        <v>9.4E-2</v>
      </c>
      <c r="AF424" s="8">
        <v>0.05</v>
      </c>
      <c r="AG424" s="8">
        <v>1.79785787245785</v>
      </c>
      <c r="AH424" s="8">
        <v>14.159574468085106</v>
      </c>
      <c r="AI424" s="8">
        <v>9.6808510638297882</v>
      </c>
      <c r="AJ424" t="s">
        <v>1702</v>
      </c>
      <c r="AK424" t="s">
        <v>1703</v>
      </c>
      <c r="AL424" t="s">
        <v>1702</v>
      </c>
      <c r="AM424" t="s">
        <v>1703</v>
      </c>
      <c r="AN424" t="s">
        <v>1700</v>
      </c>
      <c r="AO424" t="s">
        <v>1700</v>
      </c>
      <c r="AP424" t="s">
        <v>1702</v>
      </c>
      <c r="AQ424" t="s">
        <v>1725</v>
      </c>
      <c r="AR424" t="s">
        <v>1703</v>
      </c>
      <c r="AS424" t="s">
        <v>1700</v>
      </c>
      <c r="AT424" t="s">
        <v>1700</v>
      </c>
      <c r="AU424" t="s">
        <v>1701</v>
      </c>
      <c r="AV424" t="s">
        <v>1739</v>
      </c>
      <c r="AW424" t="s">
        <v>1700</v>
      </c>
      <c r="AX424" t="s">
        <v>1701</v>
      </c>
      <c r="AY424" t="s">
        <v>1739</v>
      </c>
      <c r="AZ424" t="s">
        <v>1700</v>
      </c>
      <c r="BA424" t="s">
        <v>1700</v>
      </c>
      <c r="BB424" t="s">
        <v>1701</v>
      </c>
      <c r="BC424" t="s">
        <v>1739</v>
      </c>
      <c r="BD424" t="s">
        <v>1700</v>
      </c>
      <c r="BE424" t="s">
        <v>1701</v>
      </c>
      <c r="BF424" t="s">
        <v>1739</v>
      </c>
      <c r="BG424" s="8">
        <v>40</v>
      </c>
      <c r="BH424" s="14" t="s">
        <v>1709</v>
      </c>
      <c r="BI424" t="b">
        <v>0</v>
      </c>
      <c r="BJ424">
        <f t="shared" si="6"/>
        <v>0</v>
      </c>
    </row>
    <row r="425" spans="1:62" x14ac:dyDescent="0.2">
      <c r="A425" s="5" t="s">
        <v>94</v>
      </c>
      <c r="B425" s="6">
        <v>42115</v>
      </c>
      <c r="C425" s="7">
        <v>33.466486000000003</v>
      </c>
      <c r="D425" s="7">
        <v>-112.142297</v>
      </c>
      <c r="E425" s="17">
        <v>327</v>
      </c>
      <c r="F425" t="s">
        <v>1706</v>
      </c>
      <c r="G425" t="s">
        <v>1724</v>
      </c>
      <c r="H425" t="s">
        <v>1724</v>
      </c>
      <c r="I425">
        <v>1</v>
      </c>
      <c r="J425">
        <v>7.5904685726311802</v>
      </c>
      <c r="K425">
        <v>78.334434114865203</v>
      </c>
      <c r="L425">
        <v>14.075097312503599</v>
      </c>
      <c r="M425">
        <v>19.566387019088001</v>
      </c>
      <c r="N425" t="s">
        <v>1697</v>
      </c>
      <c r="O425">
        <v>205.28668347895601</v>
      </c>
      <c r="P425" t="s">
        <v>1697</v>
      </c>
      <c r="Q425">
        <v>13.9014675431304</v>
      </c>
      <c r="R425" t="s">
        <v>1697</v>
      </c>
      <c r="S425">
        <v>1.9370000000000001</v>
      </c>
      <c r="T425" t="s">
        <v>1697</v>
      </c>
      <c r="U425">
        <v>0.26600000000000001</v>
      </c>
      <c r="V425" t="s">
        <v>1697</v>
      </c>
      <c r="W425">
        <v>1.671</v>
      </c>
      <c r="X425" t="s">
        <v>1697</v>
      </c>
      <c r="Y425">
        <v>2.5806451612903301</v>
      </c>
      <c r="Z425" t="s">
        <v>1697</v>
      </c>
      <c r="AA425">
        <v>7.78</v>
      </c>
      <c r="AB425">
        <v>0.81100000000000005</v>
      </c>
      <c r="AC425">
        <v>2.5225225225225198</v>
      </c>
      <c r="AD425" t="s">
        <v>1697</v>
      </c>
      <c r="AE425">
        <v>0.11</v>
      </c>
      <c r="AF425" t="s">
        <v>1697</v>
      </c>
      <c r="AG425">
        <v>1.3535576405484651</v>
      </c>
      <c r="AH425">
        <v>17.609090909090899</v>
      </c>
      <c r="AI425" t="s">
        <v>1697</v>
      </c>
      <c r="AJ425" t="s">
        <v>1702</v>
      </c>
      <c r="AK425" t="s">
        <v>1703</v>
      </c>
      <c r="AL425" t="s">
        <v>1702</v>
      </c>
      <c r="AM425" t="s">
        <v>1703</v>
      </c>
      <c r="AN425" t="s">
        <v>1700</v>
      </c>
      <c r="AO425" t="s">
        <v>1700</v>
      </c>
      <c r="AP425" t="s">
        <v>1702</v>
      </c>
      <c r="AQ425" t="s">
        <v>1725</v>
      </c>
      <c r="AR425" t="s">
        <v>1703</v>
      </c>
      <c r="AS425" t="s">
        <v>1700</v>
      </c>
      <c r="AT425" t="s">
        <v>1700</v>
      </c>
      <c r="AU425" t="s">
        <v>1701</v>
      </c>
      <c r="AV425" t="s">
        <v>1739</v>
      </c>
      <c r="AW425" t="s">
        <v>1700</v>
      </c>
      <c r="AX425" t="s">
        <v>1701</v>
      </c>
      <c r="AY425" t="s">
        <v>1739</v>
      </c>
      <c r="AZ425" t="s">
        <v>1700</v>
      </c>
      <c r="BA425" t="s">
        <v>1700</v>
      </c>
      <c r="BB425" t="s">
        <v>1701</v>
      </c>
      <c r="BC425" t="s">
        <v>1739</v>
      </c>
      <c r="BD425" t="s">
        <v>1700</v>
      </c>
      <c r="BE425" t="s">
        <v>1701</v>
      </c>
      <c r="BF425" t="s">
        <v>1739</v>
      </c>
      <c r="BG425" s="8">
        <v>45</v>
      </c>
      <c r="BH425" s="14" t="s">
        <v>1729</v>
      </c>
      <c r="BI425" t="b">
        <v>0</v>
      </c>
      <c r="BJ425">
        <f t="shared" si="6"/>
        <v>0</v>
      </c>
    </row>
    <row r="426" spans="1:62" x14ac:dyDescent="0.2">
      <c r="A426" s="5" t="s">
        <v>94</v>
      </c>
      <c r="B426" s="6">
        <v>45069</v>
      </c>
      <c r="C426" s="7">
        <v>33.466486000000003</v>
      </c>
      <c r="D426" s="7">
        <v>-112.142297</v>
      </c>
      <c r="E426" s="17">
        <v>327</v>
      </c>
      <c r="F426" t="s">
        <v>1706</v>
      </c>
      <c r="G426" t="s">
        <v>1697</v>
      </c>
      <c r="H426" t="s">
        <v>1697</v>
      </c>
      <c r="I426">
        <v>1</v>
      </c>
      <c r="J426" t="s">
        <v>1697</v>
      </c>
      <c r="K426" t="s">
        <v>1697</v>
      </c>
      <c r="L426" t="s">
        <v>1697</v>
      </c>
      <c r="M426" t="s">
        <v>1697</v>
      </c>
      <c r="N426" t="s">
        <v>1697</v>
      </c>
      <c r="O426" t="s">
        <v>1697</v>
      </c>
      <c r="P426" t="s">
        <v>1697</v>
      </c>
      <c r="Q426" t="s">
        <v>1697</v>
      </c>
      <c r="R426" t="s">
        <v>1697</v>
      </c>
      <c r="S426" t="s">
        <v>1697</v>
      </c>
      <c r="T426" t="s">
        <v>1697</v>
      </c>
      <c r="U426" t="s">
        <v>1697</v>
      </c>
      <c r="V426" t="s">
        <v>1697</v>
      </c>
      <c r="W426" t="s">
        <v>1697</v>
      </c>
      <c r="X426" t="s">
        <v>1697</v>
      </c>
      <c r="Y426" t="s">
        <v>1697</v>
      </c>
      <c r="Z426" t="s">
        <v>1697</v>
      </c>
      <c r="AA426" t="s">
        <v>1697</v>
      </c>
      <c r="AB426" t="s">
        <v>1697</v>
      </c>
      <c r="AC426" t="s">
        <v>1697</v>
      </c>
      <c r="AD426" t="s">
        <v>1697</v>
      </c>
      <c r="AE426" t="s">
        <v>1697</v>
      </c>
      <c r="AF426" t="s">
        <v>1697</v>
      </c>
      <c r="AG426" t="s">
        <v>1697</v>
      </c>
      <c r="AH426" t="s">
        <v>1697</v>
      </c>
      <c r="AI426" t="s">
        <v>1697</v>
      </c>
      <c r="AJ426" t="s">
        <v>1702</v>
      </c>
      <c r="AK426" t="s">
        <v>1703</v>
      </c>
      <c r="AL426" t="s">
        <v>1702</v>
      </c>
      <c r="AM426" t="s">
        <v>1703</v>
      </c>
      <c r="AN426" t="s">
        <v>1700</v>
      </c>
      <c r="AO426" t="s">
        <v>1700</v>
      </c>
      <c r="AP426" t="s">
        <v>1702</v>
      </c>
      <c r="AQ426" t="s">
        <v>1725</v>
      </c>
      <c r="AR426" t="s">
        <v>1703</v>
      </c>
      <c r="AS426" t="s">
        <v>1700</v>
      </c>
      <c r="AT426" t="s">
        <v>1700</v>
      </c>
      <c r="AU426" t="s">
        <v>1701</v>
      </c>
      <c r="AV426" t="s">
        <v>1739</v>
      </c>
      <c r="AW426" t="s">
        <v>1700</v>
      </c>
      <c r="AX426" t="s">
        <v>1701</v>
      </c>
      <c r="AY426" t="s">
        <v>1739</v>
      </c>
      <c r="AZ426" t="s">
        <v>1700</v>
      </c>
      <c r="BA426" t="s">
        <v>1700</v>
      </c>
      <c r="BB426" t="s">
        <v>1701</v>
      </c>
      <c r="BC426" t="s">
        <v>1739</v>
      </c>
      <c r="BD426" t="s">
        <v>1700</v>
      </c>
      <c r="BE426" t="s">
        <v>1701</v>
      </c>
      <c r="BF426" t="s">
        <v>1739</v>
      </c>
      <c r="BG426" s="6" t="s">
        <v>1697</v>
      </c>
      <c r="BH426" s="6" t="s">
        <v>1697</v>
      </c>
      <c r="BI426" t="b">
        <v>1</v>
      </c>
      <c r="BJ426">
        <f t="shared" si="6"/>
        <v>1</v>
      </c>
    </row>
    <row r="427" spans="1:62" x14ac:dyDescent="0.2">
      <c r="A427" s="5" t="s">
        <v>95</v>
      </c>
      <c r="B427" s="6">
        <v>38467</v>
      </c>
      <c r="C427" s="7">
        <v>33.420257999999997</v>
      </c>
      <c r="D427" s="7">
        <v>-112.18147500000001</v>
      </c>
      <c r="E427" s="17">
        <v>311</v>
      </c>
      <c r="F427" t="s">
        <v>1703</v>
      </c>
      <c r="G427" s="11" t="s">
        <v>1738</v>
      </c>
      <c r="H427" t="s">
        <v>1725</v>
      </c>
      <c r="I427">
        <v>0</v>
      </c>
      <c r="J427" s="8">
        <v>29.007245760927955</v>
      </c>
      <c r="K427" s="8">
        <v>35.533441623448326</v>
      </c>
      <c r="L427" s="8">
        <v>35.459312615623716</v>
      </c>
      <c r="M427" s="8">
        <v>2.1369841372028082</v>
      </c>
      <c r="N427" s="8">
        <v>2.2548426993803226</v>
      </c>
      <c r="O427" s="8">
        <v>8.8471143280196269</v>
      </c>
      <c r="P427" s="8">
        <v>16.540362252873724</v>
      </c>
      <c r="Q427" s="8">
        <v>9.255236396575615</v>
      </c>
      <c r="R427" s="8">
        <v>2.8636108141502521</v>
      </c>
      <c r="S427" s="8">
        <v>1.2010000000000001</v>
      </c>
      <c r="T427" s="8">
        <v>1.1930000000000001</v>
      </c>
      <c r="U427" s="8">
        <v>0.35299999999999998</v>
      </c>
      <c r="V427" s="8">
        <v>0.51600000000000001</v>
      </c>
      <c r="W427" s="8">
        <v>0.84800000000000009</v>
      </c>
      <c r="X427" s="8">
        <v>0.67700000000000005</v>
      </c>
      <c r="Y427" s="8">
        <v>4.3290043290043334</v>
      </c>
      <c r="Z427" s="8">
        <v>3.9867109634551534</v>
      </c>
      <c r="AA427" s="8">
        <v>8.25</v>
      </c>
      <c r="AB427">
        <v>0.45</v>
      </c>
      <c r="AC427" s="8">
        <v>14.935064935064943</v>
      </c>
      <c r="AD427" s="8">
        <v>16.777408637873766</v>
      </c>
      <c r="AE427" s="8">
        <v>8.5000000000000006E-2</v>
      </c>
      <c r="AF427" s="8">
        <v>7.8E-2</v>
      </c>
      <c r="AG427" s="8">
        <v>1.2304983208442037</v>
      </c>
      <c r="AH427" s="8">
        <v>14.129411764705882</v>
      </c>
      <c r="AI427" s="8">
        <v>14.035294117647059</v>
      </c>
      <c r="AJ427" t="s">
        <v>1702</v>
      </c>
      <c r="AK427" t="s">
        <v>1703</v>
      </c>
      <c r="AL427" t="s">
        <v>1702</v>
      </c>
      <c r="AM427" t="s">
        <v>1703</v>
      </c>
      <c r="AN427" t="s">
        <v>1702</v>
      </c>
      <c r="AO427" t="s">
        <v>1703</v>
      </c>
      <c r="AP427" t="s">
        <v>1702</v>
      </c>
      <c r="AQ427" t="s">
        <v>1705</v>
      </c>
      <c r="AR427" t="s">
        <v>1703</v>
      </c>
      <c r="AS427" t="s">
        <v>1702</v>
      </c>
      <c r="AT427" t="s">
        <v>1703</v>
      </c>
      <c r="AU427" t="s">
        <v>1704</v>
      </c>
      <c r="AV427" t="s">
        <v>1705</v>
      </c>
      <c r="AW427" t="s">
        <v>1703</v>
      </c>
      <c r="AX427" t="s">
        <v>1704</v>
      </c>
      <c r="AY427" t="s">
        <v>1705</v>
      </c>
      <c r="AZ427" t="s">
        <v>1703</v>
      </c>
      <c r="BA427" t="s">
        <v>1694</v>
      </c>
      <c r="BB427" t="s">
        <v>1704</v>
      </c>
      <c r="BC427" t="s">
        <v>1705</v>
      </c>
      <c r="BD427" t="s">
        <v>1694</v>
      </c>
      <c r="BE427" t="s">
        <v>1704</v>
      </c>
      <c r="BF427" t="s">
        <v>1725</v>
      </c>
      <c r="BG427" t="s">
        <v>1697</v>
      </c>
      <c r="BH427" s="14" t="s">
        <v>1727</v>
      </c>
      <c r="BI427" t="b">
        <v>0</v>
      </c>
      <c r="BJ427">
        <f t="shared" si="6"/>
        <v>0</v>
      </c>
    </row>
    <row r="428" spans="1:62" x14ac:dyDescent="0.2">
      <c r="A428" s="5" t="s">
        <v>95</v>
      </c>
      <c r="B428" s="6">
        <v>40305</v>
      </c>
      <c r="C428" s="7">
        <v>33.420257999999997</v>
      </c>
      <c r="D428" s="7">
        <v>-112.18147500000001</v>
      </c>
      <c r="E428" s="17">
        <v>311</v>
      </c>
      <c r="F428" t="s">
        <v>1703</v>
      </c>
      <c r="G428" s="11" t="s">
        <v>1738</v>
      </c>
      <c r="H428" t="s">
        <v>1725</v>
      </c>
      <c r="I428">
        <v>0</v>
      </c>
      <c r="J428" s="8">
        <v>25.254439932388863</v>
      </c>
      <c r="K428" s="8">
        <v>50.553830206596977</v>
      </c>
      <c r="L428" s="8">
        <v>24.191729861014153</v>
      </c>
      <c r="M428" s="8">
        <v>5.0000000000000001E-3</v>
      </c>
      <c r="N428" s="8">
        <v>5.0000000000000001E-3</v>
      </c>
      <c r="O428" s="8">
        <v>7.7859973276343837</v>
      </c>
      <c r="P428" s="8">
        <v>5.5314709602322516</v>
      </c>
      <c r="Q428" s="8">
        <v>9.293761889493739</v>
      </c>
      <c r="R428" s="8">
        <v>5.0811810586677426</v>
      </c>
      <c r="S428" s="8">
        <v>1.169</v>
      </c>
      <c r="T428" s="8">
        <v>1.08</v>
      </c>
      <c r="U428" s="8">
        <v>0.41399999999999998</v>
      </c>
      <c r="V428" s="8">
        <v>0.58899999999999997</v>
      </c>
      <c r="W428" s="8">
        <v>0.75500000000000012</v>
      </c>
      <c r="X428" s="8">
        <v>0.4910000000000001</v>
      </c>
      <c r="Y428" s="8">
        <v>4.745370370370372</v>
      </c>
      <c r="Z428" s="8">
        <v>4.2893187552565157</v>
      </c>
      <c r="AA428" s="8">
        <v>8.36</v>
      </c>
      <c r="AB428">
        <v>0.46600000000000003</v>
      </c>
      <c r="AC428" s="8">
        <v>12.5</v>
      </c>
      <c r="AD428" s="8">
        <v>13.961312026913372</v>
      </c>
      <c r="AE428" s="8">
        <v>9.2999999999999999E-2</v>
      </c>
      <c r="AF428" s="8">
        <v>7.8E-2</v>
      </c>
      <c r="AG428" s="8">
        <v>1.1252132098473921</v>
      </c>
      <c r="AH428" s="8">
        <v>12.56989247311828</v>
      </c>
      <c r="AI428" s="8">
        <v>11.612903225806452</v>
      </c>
      <c r="AJ428" t="s">
        <v>1702</v>
      </c>
      <c r="AK428" t="s">
        <v>1703</v>
      </c>
      <c r="AL428" t="s">
        <v>1702</v>
      </c>
      <c r="AM428" t="s">
        <v>1703</v>
      </c>
      <c r="AN428" t="s">
        <v>1702</v>
      </c>
      <c r="AO428" t="s">
        <v>1703</v>
      </c>
      <c r="AP428" t="s">
        <v>1702</v>
      </c>
      <c r="AQ428" t="s">
        <v>1705</v>
      </c>
      <c r="AR428" t="s">
        <v>1703</v>
      </c>
      <c r="AS428" t="s">
        <v>1702</v>
      </c>
      <c r="AT428" t="s">
        <v>1703</v>
      </c>
      <c r="AU428" t="s">
        <v>1704</v>
      </c>
      <c r="AV428" t="s">
        <v>1705</v>
      </c>
      <c r="AW428" t="s">
        <v>1703</v>
      </c>
      <c r="AX428" t="s">
        <v>1704</v>
      </c>
      <c r="AY428" t="s">
        <v>1705</v>
      </c>
      <c r="AZ428" t="s">
        <v>1703</v>
      </c>
      <c r="BA428" t="s">
        <v>1694</v>
      </c>
      <c r="BB428" t="s">
        <v>1704</v>
      </c>
      <c r="BC428" t="s">
        <v>1705</v>
      </c>
      <c r="BD428" t="s">
        <v>1694</v>
      </c>
      <c r="BE428" t="s">
        <v>1704</v>
      </c>
      <c r="BF428" t="s">
        <v>1725</v>
      </c>
      <c r="BG428" t="s">
        <v>1697</v>
      </c>
      <c r="BH428" s="14" t="s">
        <v>1727</v>
      </c>
      <c r="BI428" t="b">
        <v>0</v>
      </c>
      <c r="BJ428">
        <f t="shared" si="6"/>
        <v>0</v>
      </c>
    </row>
    <row r="429" spans="1:62" x14ac:dyDescent="0.2">
      <c r="A429" s="5" t="s">
        <v>96</v>
      </c>
      <c r="B429" s="6">
        <v>38434</v>
      </c>
      <c r="C429" s="7">
        <v>33.395114</v>
      </c>
      <c r="D429" s="7">
        <v>-112.171875</v>
      </c>
      <c r="E429" s="17">
        <v>308</v>
      </c>
      <c r="F429" t="s">
        <v>1706</v>
      </c>
      <c r="G429" t="s">
        <v>1724</v>
      </c>
      <c r="H429" t="s">
        <v>1724</v>
      </c>
      <c r="I429">
        <v>1</v>
      </c>
      <c r="J429" s="8">
        <v>16.408733349824768</v>
      </c>
      <c r="K429" s="8">
        <v>62.432270123895591</v>
      </c>
      <c r="L429" s="8">
        <v>21.158996526279637</v>
      </c>
      <c r="M429" s="8">
        <v>2.5161990244563954</v>
      </c>
      <c r="N429" s="8">
        <v>2.6551196601621232</v>
      </c>
      <c r="O429" s="8">
        <v>1.0973423523323727</v>
      </c>
      <c r="P429" s="8">
        <v>1.0979278594724458</v>
      </c>
      <c r="Q429" s="8">
        <v>3.0661742009462016</v>
      </c>
      <c r="R429" s="8">
        <v>1.3682238248763374</v>
      </c>
      <c r="S429" s="8">
        <v>1.212</v>
      </c>
      <c r="T429" s="8">
        <v>1.236</v>
      </c>
      <c r="U429" s="8">
        <v>1.202</v>
      </c>
      <c r="V429" s="8">
        <v>1.048</v>
      </c>
      <c r="W429" s="8">
        <v>1.0000000000000009E-2</v>
      </c>
      <c r="X429" s="8">
        <v>0.18799999999999994</v>
      </c>
      <c r="Y429" s="8">
        <v>2.762430939226534</v>
      </c>
      <c r="Z429" s="8">
        <v>2.4242424242424265</v>
      </c>
      <c r="AA429" s="8">
        <v>8.8699999999999992</v>
      </c>
      <c r="AB429">
        <v>0.16800000000000001</v>
      </c>
      <c r="AC429" s="8">
        <v>10.49723756906077</v>
      </c>
      <c r="AD429" s="8">
        <v>13.333333333333336</v>
      </c>
      <c r="AE429" s="8">
        <v>2.4E-2</v>
      </c>
      <c r="AF429" s="8">
        <v>2.1000000000000001E-2</v>
      </c>
      <c r="AG429" s="8">
        <v>1.2622128214492419</v>
      </c>
      <c r="AH429" s="8">
        <v>50.5</v>
      </c>
      <c r="AI429" s="8">
        <v>51.5</v>
      </c>
      <c r="AJ429" t="s">
        <v>1694</v>
      </c>
      <c r="AK429" t="s">
        <v>1694</v>
      </c>
      <c r="AL429" t="s">
        <v>1694</v>
      </c>
      <c r="AM429" t="s">
        <v>1694</v>
      </c>
      <c r="AN429" t="s">
        <v>1694</v>
      </c>
      <c r="AO429" t="s">
        <v>1694</v>
      </c>
      <c r="AP429" t="s">
        <v>1702</v>
      </c>
      <c r="AQ429" t="s">
        <v>1705</v>
      </c>
      <c r="AR429" t="s">
        <v>1703</v>
      </c>
      <c r="AS429" t="s">
        <v>1702</v>
      </c>
      <c r="AT429" t="s">
        <v>1703</v>
      </c>
      <c r="AU429" t="s">
        <v>1704</v>
      </c>
      <c r="AV429" t="s">
        <v>1725</v>
      </c>
      <c r="AW429" t="s">
        <v>1703</v>
      </c>
      <c r="AX429" t="s">
        <v>1704</v>
      </c>
      <c r="AY429" t="s">
        <v>1705</v>
      </c>
      <c r="AZ429" t="s">
        <v>1703</v>
      </c>
      <c r="BA429" t="s">
        <v>1702</v>
      </c>
      <c r="BB429" t="s">
        <v>1704</v>
      </c>
      <c r="BC429" t="s">
        <v>1705</v>
      </c>
      <c r="BD429" t="s">
        <v>1703</v>
      </c>
      <c r="BE429" t="s">
        <v>1704</v>
      </c>
      <c r="BF429" t="s">
        <v>1705</v>
      </c>
      <c r="BG429">
        <v>50</v>
      </c>
      <c r="BH429" s="12" t="s">
        <v>1729</v>
      </c>
      <c r="BI429" t="b">
        <v>0</v>
      </c>
      <c r="BJ429">
        <f t="shared" si="6"/>
        <v>0</v>
      </c>
    </row>
    <row r="430" spans="1:62" x14ac:dyDescent="0.2">
      <c r="A430" s="5" t="s">
        <v>96</v>
      </c>
      <c r="B430" s="6">
        <v>40305</v>
      </c>
      <c r="C430" s="7">
        <v>33.395114</v>
      </c>
      <c r="D430" s="7">
        <v>-112.171875</v>
      </c>
      <c r="E430" s="17">
        <v>308</v>
      </c>
      <c r="F430" t="s">
        <v>1706</v>
      </c>
      <c r="G430" t="s">
        <v>1724</v>
      </c>
      <c r="H430" t="s">
        <v>1724</v>
      </c>
      <c r="I430">
        <v>1</v>
      </c>
      <c r="J430" s="8">
        <v>10.542673473224676</v>
      </c>
      <c r="K430" s="8">
        <v>61.102769707909935</v>
      </c>
      <c r="L430" s="8">
        <v>28.35455681886539</v>
      </c>
      <c r="M430" s="8">
        <v>0.27343634700822983</v>
      </c>
      <c r="N430" s="8">
        <v>2.4290602887019628E-3</v>
      </c>
      <c r="O430" s="8">
        <v>0.19768938379973885</v>
      </c>
      <c r="P430" s="8">
        <v>3.4035088928905406</v>
      </c>
      <c r="Q430" s="8">
        <v>4.5218245784275446</v>
      </c>
      <c r="R430" s="8">
        <v>2.5000000000000001E-3</v>
      </c>
      <c r="S430" s="8">
        <v>1.179</v>
      </c>
      <c r="T430" s="8">
        <v>1.3540000000000001</v>
      </c>
      <c r="U430" s="8">
        <v>0.66800000000000004</v>
      </c>
      <c r="V430" s="8">
        <v>1.075</v>
      </c>
      <c r="W430" s="8">
        <v>0.51100000000000001</v>
      </c>
      <c r="X430" s="8">
        <v>0.27900000000000014</v>
      </c>
      <c r="Y430" s="8">
        <v>2.71370420624151</v>
      </c>
      <c r="Z430" s="8">
        <v>3.4055727554179396</v>
      </c>
      <c r="AA430" s="8">
        <v>8.57</v>
      </c>
      <c r="AB430">
        <v>0.22900000000000001</v>
      </c>
      <c r="AC430" s="8">
        <v>2.3066485753052905</v>
      </c>
      <c r="AD430" s="8">
        <v>6.9659442724458387</v>
      </c>
      <c r="AE430" s="8">
        <v>3.1E-2</v>
      </c>
      <c r="AF430" s="8">
        <v>3.1E-2</v>
      </c>
      <c r="AG430" s="8">
        <v>0.67454146904456902</v>
      </c>
      <c r="AH430" s="8">
        <v>38.032258064516128</v>
      </c>
      <c r="AI430" s="8">
        <v>43.677419354838712</v>
      </c>
      <c r="AJ430" t="s">
        <v>1694</v>
      </c>
      <c r="AK430" t="s">
        <v>1694</v>
      </c>
      <c r="AL430" t="s">
        <v>1694</v>
      </c>
      <c r="AM430" t="s">
        <v>1694</v>
      </c>
      <c r="AN430" t="s">
        <v>1694</v>
      </c>
      <c r="AO430" t="s">
        <v>1694</v>
      </c>
      <c r="AP430" t="s">
        <v>1702</v>
      </c>
      <c r="AQ430" t="s">
        <v>1705</v>
      </c>
      <c r="AR430" t="s">
        <v>1703</v>
      </c>
      <c r="AS430" t="s">
        <v>1702</v>
      </c>
      <c r="AT430" t="s">
        <v>1703</v>
      </c>
      <c r="AU430" t="s">
        <v>1704</v>
      </c>
      <c r="AV430" t="s">
        <v>1725</v>
      </c>
      <c r="AW430" t="s">
        <v>1703</v>
      </c>
      <c r="AX430" t="s">
        <v>1704</v>
      </c>
      <c r="AY430" t="s">
        <v>1705</v>
      </c>
      <c r="AZ430" t="s">
        <v>1703</v>
      </c>
      <c r="BA430" t="s">
        <v>1702</v>
      </c>
      <c r="BB430" t="s">
        <v>1704</v>
      </c>
      <c r="BC430" t="s">
        <v>1705</v>
      </c>
      <c r="BD430" t="s">
        <v>1703</v>
      </c>
      <c r="BE430" t="s">
        <v>1704</v>
      </c>
      <c r="BF430" t="s">
        <v>1705</v>
      </c>
      <c r="BG430">
        <v>55</v>
      </c>
      <c r="BH430" s="12" t="s">
        <v>1729</v>
      </c>
      <c r="BI430" t="b">
        <v>0</v>
      </c>
      <c r="BJ430">
        <f t="shared" si="6"/>
        <v>0</v>
      </c>
    </row>
    <row r="431" spans="1:62" x14ac:dyDescent="0.2">
      <c r="A431" s="5" t="s">
        <v>96</v>
      </c>
      <c r="B431" s="6">
        <v>42166</v>
      </c>
      <c r="C431" s="7">
        <v>33.395114</v>
      </c>
      <c r="D431" s="7">
        <v>-112.171875</v>
      </c>
      <c r="E431" s="17">
        <v>308</v>
      </c>
      <c r="F431" t="s">
        <v>1706</v>
      </c>
      <c r="G431" t="s">
        <v>1724</v>
      </c>
      <c r="H431" t="s">
        <v>1724</v>
      </c>
      <c r="I431">
        <v>1</v>
      </c>
      <c r="J431">
        <v>7.9135292200903198</v>
      </c>
      <c r="K431">
        <v>83.080700888757406</v>
      </c>
      <c r="L431">
        <v>9.0057698911523101</v>
      </c>
      <c r="M431">
        <v>0.45905712677104799</v>
      </c>
      <c r="N431">
        <v>0.50375284486979</v>
      </c>
      <c r="O431">
        <v>6.7699333847043501</v>
      </c>
      <c r="P431">
        <v>5.1463639398734697</v>
      </c>
      <c r="Q431">
        <v>8.4292111085561405</v>
      </c>
      <c r="R431">
        <v>1.5166102468434</v>
      </c>
      <c r="S431">
        <v>1.127</v>
      </c>
      <c r="T431">
        <v>1.2</v>
      </c>
      <c r="U431">
        <v>0.95899999999999996</v>
      </c>
      <c r="V431">
        <v>1.4039999999999999</v>
      </c>
      <c r="W431">
        <v>0.16800000000000001</v>
      </c>
      <c r="X431">
        <v>0</v>
      </c>
      <c r="Y431">
        <v>1.47275405007363</v>
      </c>
      <c r="Z431">
        <v>1.3761467889908401</v>
      </c>
      <c r="AA431">
        <v>8.42</v>
      </c>
      <c r="AB431">
        <v>0.251</v>
      </c>
      <c r="AC431">
        <v>6.1538461538461604</v>
      </c>
      <c r="AD431">
        <v>4.4999999999999902</v>
      </c>
      <c r="AE431">
        <v>7.9000000000000001E-2</v>
      </c>
      <c r="AF431">
        <v>5.7000000000000002E-2</v>
      </c>
      <c r="AG431">
        <v>1.2472834807911319</v>
      </c>
      <c r="AH431">
        <v>14.2658227848101</v>
      </c>
      <c r="AI431">
        <v>21.052631578947398</v>
      </c>
      <c r="AJ431" t="s">
        <v>1694</v>
      </c>
      <c r="AK431" t="s">
        <v>1694</v>
      </c>
      <c r="AL431" t="s">
        <v>1694</v>
      </c>
      <c r="AM431" t="s">
        <v>1694</v>
      </c>
      <c r="AN431" t="s">
        <v>1694</v>
      </c>
      <c r="AO431" t="s">
        <v>1694</v>
      </c>
      <c r="AP431" t="s">
        <v>1702</v>
      </c>
      <c r="AQ431" t="s">
        <v>1705</v>
      </c>
      <c r="AR431" t="s">
        <v>1703</v>
      </c>
      <c r="AS431" t="s">
        <v>1702</v>
      </c>
      <c r="AT431" t="s">
        <v>1703</v>
      </c>
      <c r="AU431" t="s">
        <v>1704</v>
      </c>
      <c r="AV431" t="s">
        <v>1725</v>
      </c>
      <c r="AW431" t="s">
        <v>1703</v>
      </c>
      <c r="AX431" t="s">
        <v>1704</v>
      </c>
      <c r="AY431" t="s">
        <v>1705</v>
      </c>
      <c r="AZ431" t="s">
        <v>1703</v>
      </c>
      <c r="BA431" t="s">
        <v>1702</v>
      </c>
      <c r="BB431" t="s">
        <v>1704</v>
      </c>
      <c r="BC431" t="s">
        <v>1705</v>
      </c>
      <c r="BD431" t="s">
        <v>1703</v>
      </c>
      <c r="BE431" t="s">
        <v>1704</v>
      </c>
      <c r="BF431" t="s">
        <v>1705</v>
      </c>
      <c r="BG431">
        <v>60</v>
      </c>
      <c r="BH431" s="12" t="s">
        <v>1729</v>
      </c>
      <c r="BI431" t="b">
        <v>0</v>
      </c>
      <c r="BJ431">
        <f t="shared" si="6"/>
        <v>0</v>
      </c>
    </row>
    <row r="432" spans="1:62" x14ac:dyDescent="0.2">
      <c r="A432" s="5" t="s">
        <v>97</v>
      </c>
      <c r="B432" s="6">
        <v>38434</v>
      </c>
      <c r="C432" s="7">
        <v>33.375205999999999</v>
      </c>
      <c r="D432" s="7">
        <v>-112.15865599999999</v>
      </c>
      <c r="E432" s="17">
        <v>313</v>
      </c>
      <c r="F432" t="s">
        <v>1706</v>
      </c>
      <c r="G432" t="s">
        <v>1728</v>
      </c>
      <c r="H432" t="s">
        <v>1728</v>
      </c>
      <c r="I432">
        <v>1</v>
      </c>
      <c r="J432" s="8">
        <v>24.879374309281157</v>
      </c>
      <c r="K432" s="8">
        <v>42.005137414079236</v>
      </c>
      <c r="L432" s="8">
        <v>33.11548827663961</v>
      </c>
      <c r="M432" s="8">
        <v>2.6229063384863105</v>
      </c>
      <c r="N432" s="8">
        <v>3.7377880162278472</v>
      </c>
      <c r="O432" s="8">
        <v>13.834149585298308</v>
      </c>
      <c r="P432" s="8">
        <v>77.732147078219839</v>
      </c>
      <c r="Q432" s="8">
        <v>7.0050223424603315</v>
      </c>
      <c r="R432" s="8">
        <v>8.190699919581613</v>
      </c>
      <c r="S432" s="8">
        <v>2.891</v>
      </c>
      <c r="T432" s="8">
        <v>2.508</v>
      </c>
      <c r="U432" s="8">
        <v>2.3069999999999999</v>
      </c>
      <c r="V432" s="8">
        <v>2.234</v>
      </c>
      <c r="W432" s="8">
        <v>0.58400000000000007</v>
      </c>
      <c r="X432" s="8">
        <v>0.27400000000000002</v>
      </c>
      <c r="Y432" s="8">
        <v>3.8333333333333406</v>
      </c>
      <c r="Z432" s="8">
        <v>3.9344262295082006</v>
      </c>
      <c r="AA432" s="8">
        <v>8.48</v>
      </c>
      <c r="AB432">
        <v>0.42799999999999999</v>
      </c>
      <c r="AC432" s="8">
        <v>10.33333333333335</v>
      </c>
      <c r="AD432" s="8">
        <v>13.442622950819677</v>
      </c>
      <c r="AE432" s="8">
        <v>7.2999999999999995E-2</v>
      </c>
      <c r="AF432" s="8">
        <v>8.1000000000000003E-2</v>
      </c>
      <c r="AG432" s="8">
        <v>1.2146066881632187</v>
      </c>
      <c r="AH432" s="8">
        <v>39.602739726027401</v>
      </c>
      <c r="AI432" s="8">
        <v>34.356164383561648</v>
      </c>
      <c r="AJ432" t="s">
        <v>1694</v>
      </c>
      <c r="AK432" t="s">
        <v>1694</v>
      </c>
      <c r="AL432" t="s">
        <v>1702</v>
      </c>
      <c r="AM432" t="s">
        <v>1703</v>
      </c>
      <c r="AN432" t="s">
        <v>1702</v>
      </c>
      <c r="AO432" t="s">
        <v>1703</v>
      </c>
      <c r="AP432" t="s">
        <v>1702</v>
      </c>
      <c r="AQ432" t="s">
        <v>1705</v>
      </c>
      <c r="AR432" t="s">
        <v>1703</v>
      </c>
      <c r="AS432" t="s">
        <v>1702</v>
      </c>
      <c r="AT432" t="s">
        <v>1703</v>
      </c>
      <c r="AU432" t="s">
        <v>1704</v>
      </c>
      <c r="AV432" t="s">
        <v>1725</v>
      </c>
      <c r="AW432" t="s">
        <v>1703</v>
      </c>
      <c r="AX432" t="s">
        <v>1704</v>
      </c>
      <c r="AY432" t="s">
        <v>1725</v>
      </c>
      <c r="AZ432" t="s">
        <v>1703</v>
      </c>
      <c r="BA432" t="s">
        <v>1702</v>
      </c>
      <c r="BB432" t="s">
        <v>1704</v>
      </c>
      <c r="BC432" t="s">
        <v>1725</v>
      </c>
      <c r="BD432" t="s">
        <v>1703</v>
      </c>
      <c r="BE432" t="s">
        <v>1704</v>
      </c>
      <c r="BF432" t="s">
        <v>1705</v>
      </c>
      <c r="BG432">
        <v>5</v>
      </c>
      <c r="BH432" s="12" t="s">
        <v>1708</v>
      </c>
      <c r="BI432" t="b">
        <v>0</v>
      </c>
      <c r="BJ432">
        <f t="shared" si="6"/>
        <v>0</v>
      </c>
    </row>
    <row r="433" spans="1:62" x14ac:dyDescent="0.2">
      <c r="A433" s="5" t="s">
        <v>97</v>
      </c>
      <c r="B433" s="6">
        <v>40317</v>
      </c>
      <c r="C433" s="7">
        <v>33.375205999999999</v>
      </c>
      <c r="D433" s="7">
        <v>-112.15865599999999</v>
      </c>
      <c r="E433" s="17">
        <v>313</v>
      </c>
      <c r="F433" t="s">
        <v>1706</v>
      </c>
      <c r="G433" t="s">
        <v>1728</v>
      </c>
      <c r="H433" t="s">
        <v>1728</v>
      </c>
      <c r="I433">
        <v>1</v>
      </c>
      <c r="J433" s="8">
        <v>19.242462699151861</v>
      </c>
      <c r="K433" s="8">
        <v>57.634538914708024</v>
      </c>
      <c r="L433" s="8">
        <v>23.122998386140111</v>
      </c>
      <c r="M433" s="8">
        <v>3.5425873262346319</v>
      </c>
      <c r="N433" s="8">
        <v>1.1835660012890727</v>
      </c>
      <c r="O433" s="8">
        <v>4.5688733542210587</v>
      </c>
      <c r="P433" s="8">
        <v>4.4285747730352716</v>
      </c>
      <c r="Q433" s="8">
        <v>14.780273138095131</v>
      </c>
      <c r="R433" s="8">
        <v>14.65481940874715</v>
      </c>
      <c r="S433" s="8">
        <v>3.2250000000000001</v>
      </c>
      <c r="T433" s="8">
        <v>4.0490000000000004</v>
      </c>
      <c r="U433" s="8">
        <v>1.919</v>
      </c>
      <c r="V433" s="8">
        <v>2.129</v>
      </c>
      <c r="W433" s="8">
        <v>1.306</v>
      </c>
      <c r="X433" s="8">
        <v>1.9200000000000004</v>
      </c>
      <c r="Y433" s="8">
        <v>4.2194092827004255</v>
      </c>
      <c r="Z433" s="8">
        <v>5.6994818652849899</v>
      </c>
      <c r="AA433" s="8">
        <v>8.7100000000000009</v>
      </c>
      <c r="AB433">
        <v>0.52200000000000002</v>
      </c>
      <c r="AC433" s="8">
        <v>2.3206751054852388</v>
      </c>
      <c r="AD433" s="8">
        <v>4.6632124352331523</v>
      </c>
      <c r="AE433" s="8">
        <v>6.9000000000000006E-2</v>
      </c>
      <c r="AF433" s="8">
        <v>6.5000000000000002E-2</v>
      </c>
      <c r="AG433" s="8">
        <v>1.4915558699819804</v>
      </c>
      <c r="AH433" s="8">
        <v>46.739130434782609</v>
      </c>
      <c r="AI433" s="8">
        <v>58.681159420289859</v>
      </c>
      <c r="AJ433" t="s">
        <v>1694</v>
      </c>
      <c r="AK433" t="s">
        <v>1694</v>
      </c>
      <c r="AL433" t="s">
        <v>1702</v>
      </c>
      <c r="AM433" t="s">
        <v>1703</v>
      </c>
      <c r="AN433" t="s">
        <v>1702</v>
      </c>
      <c r="AO433" t="s">
        <v>1703</v>
      </c>
      <c r="AP433" t="s">
        <v>1702</v>
      </c>
      <c r="AQ433" t="s">
        <v>1705</v>
      </c>
      <c r="AR433" t="s">
        <v>1703</v>
      </c>
      <c r="AS433" t="s">
        <v>1702</v>
      </c>
      <c r="AT433" t="s">
        <v>1703</v>
      </c>
      <c r="AU433" t="s">
        <v>1704</v>
      </c>
      <c r="AV433" t="s">
        <v>1725</v>
      </c>
      <c r="AW433" t="s">
        <v>1703</v>
      </c>
      <c r="AX433" t="s">
        <v>1704</v>
      </c>
      <c r="AY433" t="s">
        <v>1725</v>
      </c>
      <c r="AZ433" t="s">
        <v>1703</v>
      </c>
      <c r="BA433" t="s">
        <v>1702</v>
      </c>
      <c r="BB433" t="s">
        <v>1704</v>
      </c>
      <c r="BC433" t="s">
        <v>1725</v>
      </c>
      <c r="BD433" t="s">
        <v>1703</v>
      </c>
      <c r="BE433" t="s">
        <v>1704</v>
      </c>
      <c r="BF433" t="s">
        <v>1705</v>
      </c>
      <c r="BG433">
        <v>10</v>
      </c>
      <c r="BH433" s="12" t="s">
        <v>1708</v>
      </c>
      <c r="BI433" t="b">
        <v>0</v>
      </c>
      <c r="BJ433">
        <f t="shared" si="6"/>
        <v>0</v>
      </c>
    </row>
    <row r="434" spans="1:62" x14ac:dyDescent="0.2">
      <c r="A434" s="5" t="s">
        <v>98</v>
      </c>
      <c r="B434" s="6">
        <v>36630</v>
      </c>
      <c r="C434" s="7">
        <v>33.316161000000001</v>
      </c>
      <c r="D434" s="7">
        <v>-112.157228</v>
      </c>
      <c r="E434" s="17">
        <v>344</v>
      </c>
      <c r="F434" t="s">
        <v>1694</v>
      </c>
      <c r="G434" t="s">
        <v>1694</v>
      </c>
      <c r="H434" t="s">
        <v>1694</v>
      </c>
      <c r="I434">
        <v>0</v>
      </c>
      <c r="J434" s="8">
        <v>13.400627671717439</v>
      </c>
      <c r="K434" s="8">
        <v>69.184096827478626</v>
      </c>
      <c r="L434" s="8">
        <v>17.415275500803929</v>
      </c>
      <c r="M434" s="8">
        <v>5.3241493212000686</v>
      </c>
      <c r="N434" s="8">
        <v>5.8505335555979903</v>
      </c>
      <c r="O434" s="8">
        <v>16.969107700078833</v>
      </c>
      <c r="P434" s="8">
        <v>13.132686641553088</v>
      </c>
      <c r="Q434" s="8">
        <v>28.077105150317482</v>
      </c>
      <c r="R434" s="8">
        <v>20.700518581358359</v>
      </c>
      <c r="S434" s="8">
        <v>0.96299999999999997</v>
      </c>
      <c r="T434" s="8">
        <v>0.97399999999999998</v>
      </c>
      <c r="U434" s="8">
        <v>0.312</v>
      </c>
      <c r="V434" s="8">
        <v>0.34</v>
      </c>
      <c r="W434" s="8">
        <v>0.65100000000000002</v>
      </c>
      <c r="X434" s="8">
        <v>0.63400000000000001</v>
      </c>
      <c r="Y434" s="8">
        <v>2.6574200000000001</v>
      </c>
      <c r="Z434" s="8">
        <v>2.6133299999999999</v>
      </c>
      <c r="AA434" s="9">
        <v>8.07</v>
      </c>
      <c r="AB434" s="10">
        <v>0.33650000000000002</v>
      </c>
      <c r="AC434" s="8">
        <v>1.21288</v>
      </c>
      <c r="AD434" s="8">
        <v>1.9127799999999999</v>
      </c>
      <c r="AE434" s="8">
        <v>7.3999999999999996E-2</v>
      </c>
      <c r="AF434" s="8">
        <v>6.7000000000000004E-2</v>
      </c>
      <c r="AG434" s="8">
        <v>1.7999590602789446</v>
      </c>
      <c r="AH434" s="8">
        <v>13.013513513513514</v>
      </c>
      <c r="AI434" s="8">
        <v>13.162162162162163</v>
      </c>
      <c r="AJ434" t="s">
        <v>1694</v>
      </c>
      <c r="AK434" t="s">
        <v>1694</v>
      </c>
      <c r="AL434" t="s">
        <v>1694</v>
      </c>
      <c r="AM434" t="s">
        <v>1694</v>
      </c>
      <c r="AN434" t="s">
        <v>1694</v>
      </c>
      <c r="AO434" t="s">
        <v>1694</v>
      </c>
      <c r="AP434" t="s">
        <v>1695</v>
      </c>
      <c r="AQ434" t="s">
        <v>1694</v>
      </c>
      <c r="AR434" t="s">
        <v>1694</v>
      </c>
      <c r="AS434" t="s">
        <v>1694</v>
      </c>
      <c r="AT434" t="s">
        <v>1694</v>
      </c>
      <c r="AU434" t="s">
        <v>1697</v>
      </c>
      <c r="AV434" t="s">
        <v>1697</v>
      </c>
      <c r="AW434" t="s">
        <v>1697</v>
      </c>
      <c r="AX434" t="s">
        <v>1706</v>
      </c>
      <c r="AY434" t="s">
        <v>1746</v>
      </c>
      <c r="AZ434" t="s">
        <v>1706</v>
      </c>
      <c r="BA434" t="s">
        <v>1700</v>
      </c>
      <c r="BB434" t="s">
        <v>1706</v>
      </c>
      <c r="BC434" t="s">
        <v>1746</v>
      </c>
      <c r="BD434" t="s">
        <v>1706</v>
      </c>
      <c r="BE434" t="s">
        <v>1695</v>
      </c>
      <c r="BF434" t="s">
        <v>1694</v>
      </c>
      <c r="BG434" t="s">
        <v>1697</v>
      </c>
      <c r="BH434" s="14" t="s">
        <v>1698</v>
      </c>
      <c r="BI434" t="b">
        <v>0</v>
      </c>
      <c r="BJ434">
        <f t="shared" si="6"/>
        <v>0</v>
      </c>
    </row>
    <row r="435" spans="1:62" x14ac:dyDescent="0.2">
      <c r="A435" s="5" t="s">
        <v>98</v>
      </c>
      <c r="B435" s="6">
        <v>38434</v>
      </c>
      <c r="C435" s="7">
        <v>33.316161000000001</v>
      </c>
      <c r="D435" s="7">
        <v>-112.157228</v>
      </c>
      <c r="E435" s="17">
        <v>344</v>
      </c>
      <c r="F435" t="s">
        <v>1694</v>
      </c>
      <c r="G435" t="s">
        <v>1694</v>
      </c>
      <c r="H435" t="s">
        <v>1694</v>
      </c>
      <c r="I435">
        <v>0</v>
      </c>
      <c r="J435" s="8">
        <v>8.039013068076251</v>
      </c>
      <c r="K435" s="8">
        <v>80.880280811836201</v>
      </c>
      <c r="L435" s="8">
        <v>11.080706120087541</v>
      </c>
      <c r="M435" s="8">
        <v>2.161937165050011</v>
      </c>
      <c r="N435" s="8">
        <v>4.3349891964875233</v>
      </c>
      <c r="O435" s="8">
        <v>3.8297172638028769</v>
      </c>
      <c r="P435" s="8">
        <v>26.482139359256809</v>
      </c>
      <c r="Q435" s="8">
        <v>81.599177592443851</v>
      </c>
      <c r="R435" s="8">
        <v>14.409087145326279</v>
      </c>
      <c r="S435" s="8">
        <v>1.3460000000000001</v>
      </c>
      <c r="T435" s="8">
        <v>0.97299999999999998</v>
      </c>
      <c r="U435" s="8">
        <v>0.41799999999999998</v>
      </c>
      <c r="V435" s="8">
        <v>0.19800000000000001</v>
      </c>
      <c r="W435" s="8">
        <v>0.92800000000000016</v>
      </c>
      <c r="X435" s="8">
        <v>0.77499999999999991</v>
      </c>
      <c r="Y435" s="8">
        <v>2.9787234042553128</v>
      </c>
      <c r="Z435" s="8">
        <v>3.3519553072625725</v>
      </c>
      <c r="AA435" s="8">
        <v>7.98</v>
      </c>
      <c r="AB435">
        <v>0.20300000000000001</v>
      </c>
      <c r="AC435" s="8">
        <v>3.2978723404255375</v>
      </c>
      <c r="AD435" s="8">
        <v>3.770949720670385</v>
      </c>
      <c r="AE435" s="8">
        <v>0.10199999999999999</v>
      </c>
      <c r="AF435" s="8">
        <v>0.06</v>
      </c>
      <c r="AG435" s="8">
        <v>1.4911933973582303</v>
      </c>
      <c r="AH435" s="8">
        <v>13.19607843137255</v>
      </c>
      <c r="AI435" s="8">
        <v>9.5392156862745097</v>
      </c>
      <c r="AJ435" t="s">
        <v>1694</v>
      </c>
      <c r="AK435" t="s">
        <v>1694</v>
      </c>
      <c r="AL435" t="s">
        <v>1694</v>
      </c>
      <c r="AM435" t="s">
        <v>1694</v>
      </c>
      <c r="AN435" t="s">
        <v>1694</v>
      </c>
      <c r="AO435" t="s">
        <v>1694</v>
      </c>
      <c r="AP435" t="s">
        <v>1695</v>
      </c>
      <c r="AQ435" t="s">
        <v>1694</v>
      </c>
      <c r="AR435" t="s">
        <v>1694</v>
      </c>
      <c r="AS435" t="s">
        <v>1694</v>
      </c>
      <c r="AT435" t="s">
        <v>1694</v>
      </c>
      <c r="AU435" t="s">
        <v>1697</v>
      </c>
      <c r="AV435" t="s">
        <v>1697</v>
      </c>
      <c r="AW435" t="s">
        <v>1697</v>
      </c>
      <c r="AX435" t="s">
        <v>1706</v>
      </c>
      <c r="AY435" t="s">
        <v>1746</v>
      </c>
      <c r="AZ435" t="s">
        <v>1706</v>
      </c>
      <c r="BA435" t="s">
        <v>1700</v>
      </c>
      <c r="BB435" t="s">
        <v>1706</v>
      </c>
      <c r="BC435" t="s">
        <v>1746</v>
      </c>
      <c r="BD435" t="s">
        <v>1706</v>
      </c>
      <c r="BE435" t="s">
        <v>1695</v>
      </c>
      <c r="BF435" t="s">
        <v>1694</v>
      </c>
      <c r="BG435" t="s">
        <v>1697</v>
      </c>
      <c r="BH435" s="14" t="s">
        <v>1698</v>
      </c>
      <c r="BI435" t="b">
        <v>0</v>
      </c>
      <c r="BJ435">
        <f t="shared" si="6"/>
        <v>0</v>
      </c>
    </row>
    <row r="436" spans="1:62" x14ac:dyDescent="0.2">
      <c r="A436" s="5" t="s">
        <v>98</v>
      </c>
      <c r="B436" s="6">
        <v>40281</v>
      </c>
      <c r="C436" s="7">
        <v>33.316161000000001</v>
      </c>
      <c r="D436" s="7">
        <v>-112.157228</v>
      </c>
      <c r="E436" s="17">
        <v>344</v>
      </c>
      <c r="F436" t="s">
        <v>1694</v>
      </c>
      <c r="G436" t="s">
        <v>1694</v>
      </c>
      <c r="H436" t="s">
        <v>1694</v>
      </c>
      <c r="I436">
        <v>0</v>
      </c>
      <c r="J436" s="8" t="s">
        <v>1697</v>
      </c>
      <c r="K436" s="8" t="s">
        <v>1697</v>
      </c>
      <c r="L436" s="8" t="s">
        <v>1697</v>
      </c>
      <c r="M436" s="8">
        <v>0.78265943318922904</v>
      </c>
      <c r="N436" s="8">
        <v>1.0026275805828575</v>
      </c>
      <c r="O436" s="8">
        <v>9.5574757706761613</v>
      </c>
      <c r="P436" s="8">
        <v>36.663247349671657</v>
      </c>
      <c r="Q436" s="8">
        <v>29.792988470975772</v>
      </c>
      <c r="R436" s="8">
        <v>13.571031055900621</v>
      </c>
      <c r="S436" s="8">
        <v>0.84799999999999998</v>
      </c>
      <c r="T436" s="8">
        <v>0.55100000000000005</v>
      </c>
      <c r="U436" s="8">
        <v>0.22900000000000001</v>
      </c>
      <c r="V436" s="8">
        <v>0.374</v>
      </c>
      <c r="W436" s="8">
        <v>0.61899999999999999</v>
      </c>
      <c r="X436" s="8">
        <v>0.17700000000000005</v>
      </c>
      <c r="Y436" s="8">
        <v>3.0395136778115397</v>
      </c>
      <c r="Z436" s="8">
        <v>2.2608695652174049</v>
      </c>
      <c r="AA436" s="8" t="s">
        <v>1697</v>
      </c>
      <c r="AB436" t="s">
        <v>1697</v>
      </c>
      <c r="AC436" s="8">
        <v>1.4184397163120626</v>
      </c>
      <c r="AD436" s="8">
        <v>1.7391304347825871</v>
      </c>
      <c r="AE436" s="8">
        <v>7.5999999999999998E-2</v>
      </c>
      <c r="AF436" s="8">
        <v>4.3999999999999997E-2</v>
      </c>
      <c r="AG436" s="8" t="s">
        <v>1697</v>
      </c>
      <c r="AH436" s="8">
        <v>11.157894736842104</v>
      </c>
      <c r="AI436" s="8">
        <v>7.2500000000000009</v>
      </c>
      <c r="AJ436" t="s">
        <v>1694</v>
      </c>
      <c r="AK436" t="s">
        <v>1694</v>
      </c>
      <c r="AL436" t="s">
        <v>1694</v>
      </c>
      <c r="AM436" t="s">
        <v>1694</v>
      </c>
      <c r="AN436" t="s">
        <v>1694</v>
      </c>
      <c r="AO436" t="s">
        <v>1694</v>
      </c>
      <c r="AP436" t="s">
        <v>1695</v>
      </c>
      <c r="AQ436" t="s">
        <v>1694</v>
      </c>
      <c r="AR436" t="s">
        <v>1694</v>
      </c>
      <c r="AS436" t="s">
        <v>1694</v>
      </c>
      <c r="AT436" t="s">
        <v>1694</v>
      </c>
      <c r="AU436" t="s">
        <v>1697</v>
      </c>
      <c r="AV436" t="s">
        <v>1697</v>
      </c>
      <c r="AW436" t="s">
        <v>1697</v>
      </c>
      <c r="AX436" t="s">
        <v>1706</v>
      </c>
      <c r="AY436" t="s">
        <v>1746</v>
      </c>
      <c r="AZ436" t="s">
        <v>1706</v>
      </c>
      <c r="BA436" t="s">
        <v>1700</v>
      </c>
      <c r="BB436" t="s">
        <v>1706</v>
      </c>
      <c r="BC436" t="s">
        <v>1746</v>
      </c>
      <c r="BD436" t="s">
        <v>1706</v>
      </c>
      <c r="BE436" t="s">
        <v>1695</v>
      </c>
      <c r="BF436" t="s">
        <v>1694</v>
      </c>
      <c r="BG436" t="s">
        <v>1697</v>
      </c>
      <c r="BH436" s="14" t="s">
        <v>1698</v>
      </c>
      <c r="BI436" t="b">
        <v>1</v>
      </c>
      <c r="BJ436">
        <f t="shared" si="6"/>
        <v>1</v>
      </c>
    </row>
    <row r="437" spans="1:62" x14ac:dyDescent="0.2">
      <c r="A437" s="5" t="s">
        <v>98</v>
      </c>
      <c r="B437" s="6">
        <v>45054</v>
      </c>
      <c r="C437" s="7">
        <v>33.316161000000001</v>
      </c>
      <c r="D437" s="7">
        <v>-112.157228</v>
      </c>
      <c r="E437" s="17">
        <v>344</v>
      </c>
      <c r="F437" t="s">
        <v>1694</v>
      </c>
      <c r="G437" t="s">
        <v>1694</v>
      </c>
      <c r="H437" t="s">
        <v>1694</v>
      </c>
      <c r="I437">
        <v>0</v>
      </c>
      <c r="J437" s="6" t="s">
        <v>1697</v>
      </c>
      <c r="K437" s="6" t="s">
        <v>1697</v>
      </c>
      <c r="L437" s="6" t="s">
        <v>1697</v>
      </c>
      <c r="M437" s="6" t="s">
        <v>1697</v>
      </c>
      <c r="N437" s="6" t="s">
        <v>1697</v>
      </c>
      <c r="O437" s="6" t="s">
        <v>1697</v>
      </c>
      <c r="P437" s="6" t="s">
        <v>1697</v>
      </c>
      <c r="Q437" s="6" t="s">
        <v>1697</v>
      </c>
      <c r="R437" s="6" t="s">
        <v>1697</v>
      </c>
      <c r="S437" s="6" t="s">
        <v>1697</v>
      </c>
      <c r="T437" s="6" t="s">
        <v>1697</v>
      </c>
      <c r="U437" s="6" t="s">
        <v>1697</v>
      </c>
      <c r="V437" s="6" t="s">
        <v>1697</v>
      </c>
      <c r="W437" s="6" t="s">
        <v>1697</v>
      </c>
      <c r="X437" s="6" t="s">
        <v>1697</v>
      </c>
      <c r="Y437" s="6" t="s">
        <v>1697</v>
      </c>
      <c r="Z437" s="6" t="s">
        <v>1697</v>
      </c>
      <c r="AA437" s="6" t="s">
        <v>1697</v>
      </c>
      <c r="AB437" s="6" t="s">
        <v>1697</v>
      </c>
      <c r="AC437" s="6" t="s">
        <v>1697</v>
      </c>
      <c r="AD437" s="6" t="s">
        <v>1697</v>
      </c>
      <c r="AE437" s="6" t="s">
        <v>1697</v>
      </c>
      <c r="AF437" s="6" t="s">
        <v>1697</v>
      </c>
      <c r="AG437" s="6" t="s">
        <v>1697</v>
      </c>
      <c r="AH437" s="6" t="s">
        <v>1697</v>
      </c>
      <c r="AI437" s="6" t="s">
        <v>1697</v>
      </c>
      <c r="AJ437" t="s">
        <v>1694</v>
      </c>
      <c r="AK437" t="s">
        <v>1694</v>
      </c>
      <c r="AL437" t="s">
        <v>1694</v>
      </c>
      <c r="AM437" t="s">
        <v>1694</v>
      </c>
      <c r="AN437" t="s">
        <v>1694</v>
      </c>
      <c r="AO437" t="s">
        <v>1694</v>
      </c>
      <c r="AP437" t="s">
        <v>1695</v>
      </c>
      <c r="AQ437" t="s">
        <v>1694</v>
      </c>
      <c r="AR437" t="s">
        <v>1694</v>
      </c>
      <c r="AS437" t="s">
        <v>1694</v>
      </c>
      <c r="AT437" t="s">
        <v>1694</v>
      </c>
      <c r="AU437" t="s">
        <v>1697</v>
      </c>
      <c r="AV437" t="s">
        <v>1697</v>
      </c>
      <c r="AW437" t="s">
        <v>1697</v>
      </c>
      <c r="AX437" t="s">
        <v>1706</v>
      </c>
      <c r="AY437" t="s">
        <v>1746</v>
      </c>
      <c r="AZ437" t="s">
        <v>1706</v>
      </c>
      <c r="BA437" t="s">
        <v>1700</v>
      </c>
      <c r="BB437" t="s">
        <v>1706</v>
      </c>
      <c r="BC437" t="s">
        <v>1746</v>
      </c>
      <c r="BD437" t="s">
        <v>1706</v>
      </c>
      <c r="BE437" t="s">
        <v>1695</v>
      </c>
      <c r="BF437" t="s">
        <v>1694</v>
      </c>
      <c r="BG437" s="6" t="s">
        <v>1697</v>
      </c>
      <c r="BH437" s="6" t="s">
        <v>1697</v>
      </c>
      <c r="BI437" t="b">
        <v>1</v>
      </c>
      <c r="BJ437">
        <f t="shared" si="6"/>
        <v>1</v>
      </c>
    </row>
    <row r="438" spans="1:62" x14ac:dyDescent="0.2">
      <c r="A438" s="5" t="s">
        <v>877</v>
      </c>
      <c r="B438" s="6">
        <v>36619</v>
      </c>
      <c r="C438" s="7">
        <v>33.768864000000001</v>
      </c>
      <c r="D438" s="7">
        <v>-112.14324999999999</v>
      </c>
      <c r="E438" s="17">
        <v>482</v>
      </c>
      <c r="F438" t="s">
        <v>1694</v>
      </c>
      <c r="G438" t="s">
        <v>1694</v>
      </c>
      <c r="H438" t="s">
        <v>1694</v>
      </c>
      <c r="I438">
        <v>0</v>
      </c>
      <c r="J438" s="8">
        <v>30.95658815559003</v>
      </c>
      <c r="K438" s="8">
        <v>48.387329982599354</v>
      </c>
      <c r="L438" s="8">
        <v>20.65608186181062</v>
      </c>
      <c r="M438" s="8">
        <v>15.496837520102753</v>
      </c>
      <c r="N438" s="8">
        <v>5.9255336765643314</v>
      </c>
      <c r="O438" s="8">
        <v>23.931365480568694</v>
      </c>
      <c r="P438" s="8">
        <v>7.9580080820865025</v>
      </c>
      <c r="Q438" s="8">
        <v>37.564948292936315</v>
      </c>
      <c r="R438" s="8">
        <v>3.1626494726657484</v>
      </c>
      <c r="S438" s="8">
        <v>1.325</v>
      </c>
      <c r="T438" s="8">
        <v>0.56200000000000006</v>
      </c>
      <c r="U438" s="8">
        <v>4.2000000000000003E-2</v>
      </c>
      <c r="V438" s="8">
        <v>0.223</v>
      </c>
      <c r="W438" s="8">
        <v>1.2829999999999999</v>
      </c>
      <c r="X438" s="8">
        <v>0.33900000000000002</v>
      </c>
      <c r="Y438" s="8">
        <v>3.5178799999999999</v>
      </c>
      <c r="Z438" s="8">
        <v>3.4572699999999998</v>
      </c>
      <c r="AA438" s="9">
        <v>7.77</v>
      </c>
      <c r="AB438" s="10">
        <v>0.48249999999999998</v>
      </c>
      <c r="AC438" s="8">
        <v>5.1724100000000002</v>
      </c>
      <c r="AD438" s="8">
        <v>9.4978200000000008</v>
      </c>
      <c r="AE438" s="8">
        <v>0.152</v>
      </c>
      <c r="AF438" s="8">
        <v>0.08</v>
      </c>
      <c r="AG438" s="8">
        <v>1.3110852203690093</v>
      </c>
      <c r="AH438" s="8">
        <v>8.7171052631578938</v>
      </c>
      <c r="AI438" s="8">
        <v>3.6973684210526319</v>
      </c>
      <c r="AJ438" t="s">
        <v>1694</v>
      </c>
      <c r="AK438" t="s">
        <v>1694</v>
      </c>
      <c r="AL438" t="s">
        <v>1694</v>
      </c>
      <c r="AM438" t="s">
        <v>1694</v>
      </c>
      <c r="AN438" t="s">
        <v>1694</v>
      </c>
      <c r="AO438" t="s">
        <v>1694</v>
      </c>
      <c r="AP438" t="s">
        <v>1695</v>
      </c>
      <c r="AQ438" t="s">
        <v>1694</v>
      </c>
      <c r="AR438" t="s">
        <v>1694</v>
      </c>
      <c r="AS438" t="s">
        <v>1694</v>
      </c>
      <c r="AT438" t="s">
        <v>1694</v>
      </c>
      <c r="AU438" t="s">
        <v>1695</v>
      </c>
      <c r="AV438" t="s">
        <v>1694</v>
      </c>
      <c r="AW438" t="s">
        <v>1694</v>
      </c>
      <c r="AX438" t="s">
        <v>1695</v>
      </c>
      <c r="AY438" t="s">
        <v>1694</v>
      </c>
      <c r="AZ438" t="s">
        <v>1694</v>
      </c>
      <c r="BA438" t="s">
        <v>1694</v>
      </c>
      <c r="BB438" t="s">
        <v>1695</v>
      </c>
      <c r="BC438" t="s">
        <v>1694</v>
      </c>
      <c r="BD438" t="s">
        <v>1694</v>
      </c>
      <c r="BE438" t="s">
        <v>1695</v>
      </c>
      <c r="BF438" t="s">
        <v>1694</v>
      </c>
      <c r="BG438" t="s">
        <v>1697</v>
      </c>
      <c r="BH438" t="s">
        <v>1698</v>
      </c>
      <c r="BI438" t="b">
        <v>0</v>
      </c>
      <c r="BJ438">
        <f t="shared" si="6"/>
        <v>0</v>
      </c>
    </row>
    <row r="439" spans="1:62" x14ac:dyDescent="0.2">
      <c r="A439" s="5" t="s">
        <v>877</v>
      </c>
      <c r="B439" s="6">
        <v>38448</v>
      </c>
      <c r="C439" s="7">
        <v>33.768864000000001</v>
      </c>
      <c r="D439" s="7">
        <v>-112.14324999999999</v>
      </c>
      <c r="E439" s="17">
        <v>482</v>
      </c>
      <c r="F439" t="s">
        <v>1694</v>
      </c>
      <c r="G439" t="s">
        <v>1694</v>
      </c>
      <c r="H439" t="s">
        <v>1694</v>
      </c>
      <c r="I439">
        <v>0</v>
      </c>
      <c r="J439" s="8" t="s">
        <v>1697</v>
      </c>
      <c r="K439" s="8" t="s">
        <v>1697</v>
      </c>
      <c r="L439" s="8" t="s">
        <v>1697</v>
      </c>
      <c r="M439" s="8">
        <v>4.1807617812462787</v>
      </c>
      <c r="N439" s="8">
        <v>3.4360308080118274</v>
      </c>
      <c r="O439" s="8">
        <v>1.7660114420781701</v>
      </c>
      <c r="P439" s="8">
        <v>0.61250983968906481</v>
      </c>
      <c r="Q439" s="8">
        <v>13.143576023760067</v>
      </c>
      <c r="R439" s="8">
        <v>1.4475131896985238</v>
      </c>
      <c r="S439" s="8">
        <v>0.78</v>
      </c>
      <c r="T439" s="8">
        <v>0.55600000000000005</v>
      </c>
      <c r="U439" s="8">
        <v>9.8000000000000004E-2</v>
      </c>
      <c r="V439" s="8">
        <v>0.26800000000000002</v>
      </c>
      <c r="W439" s="8">
        <v>0.68200000000000005</v>
      </c>
      <c r="X439" s="8">
        <v>0.28800000000000003</v>
      </c>
      <c r="Y439" s="8">
        <v>3.475513428120045</v>
      </c>
      <c r="Z439" s="8">
        <v>3.0664395229983059</v>
      </c>
      <c r="AA439" s="8">
        <v>7.86</v>
      </c>
      <c r="AB439">
        <v>0.41899999999999998</v>
      </c>
      <c r="AC439" s="8">
        <v>6.6350710900473926</v>
      </c>
      <c r="AD439" s="8">
        <v>10.391822827938659</v>
      </c>
      <c r="AE439" s="8">
        <v>0.09</v>
      </c>
      <c r="AF439" s="8">
        <v>4.4999999999999998E-2</v>
      </c>
      <c r="AG439" s="8">
        <v>1.3448259935024351</v>
      </c>
      <c r="AH439" s="8">
        <v>8.6666666666666679</v>
      </c>
      <c r="AI439" s="8">
        <v>6.1777777777777789</v>
      </c>
      <c r="AJ439" t="s">
        <v>1694</v>
      </c>
      <c r="AK439" t="s">
        <v>1694</v>
      </c>
      <c r="AL439" t="s">
        <v>1694</v>
      </c>
      <c r="AM439" t="s">
        <v>1694</v>
      </c>
      <c r="AN439" t="s">
        <v>1694</v>
      </c>
      <c r="AO439" t="s">
        <v>1694</v>
      </c>
      <c r="AP439" t="s">
        <v>1695</v>
      </c>
      <c r="AQ439" t="s">
        <v>1694</v>
      </c>
      <c r="AR439" t="s">
        <v>1694</v>
      </c>
      <c r="AS439" t="s">
        <v>1694</v>
      </c>
      <c r="AT439" t="s">
        <v>1694</v>
      </c>
      <c r="AU439" t="s">
        <v>1695</v>
      </c>
      <c r="AV439" t="s">
        <v>1694</v>
      </c>
      <c r="AW439" t="s">
        <v>1694</v>
      </c>
      <c r="AX439" t="s">
        <v>1695</v>
      </c>
      <c r="AY439" t="s">
        <v>1694</v>
      </c>
      <c r="AZ439" t="s">
        <v>1694</v>
      </c>
      <c r="BA439" t="s">
        <v>1694</v>
      </c>
      <c r="BB439" t="s">
        <v>1695</v>
      </c>
      <c r="BC439" t="s">
        <v>1694</v>
      </c>
      <c r="BD439" t="s">
        <v>1694</v>
      </c>
      <c r="BE439" t="s">
        <v>1695</v>
      </c>
      <c r="BF439" t="s">
        <v>1694</v>
      </c>
      <c r="BG439" t="s">
        <v>1697</v>
      </c>
      <c r="BH439" t="s">
        <v>1698</v>
      </c>
      <c r="BI439" t="b">
        <v>1</v>
      </c>
      <c r="BJ439">
        <f t="shared" si="6"/>
        <v>1</v>
      </c>
    </row>
    <row r="440" spans="1:62" x14ac:dyDescent="0.2">
      <c r="A440" s="5" t="s">
        <v>877</v>
      </c>
      <c r="B440" s="6">
        <v>42102</v>
      </c>
      <c r="C440" s="7">
        <v>33.768864000000001</v>
      </c>
      <c r="D440" s="7">
        <v>-112.14324999999999</v>
      </c>
      <c r="E440" s="17">
        <v>482</v>
      </c>
      <c r="F440" t="s">
        <v>1714</v>
      </c>
      <c r="G440" t="s">
        <v>1714</v>
      </c>
      <c r="H440" t="s">
        <v>1754</v>
      </c>
      <c r="I440">
        <v>1</v>
      </c>
      <c r="J440">
        <v>19.1610709910818</v>
      </c>
      <c r="K440">
        <v>54.291051818404597</v>
      </c>
      <c r="L440">
        <v>26.5478771905135</v>
      </c>
      <c r="M440">
        <v>5.7155603502108203</v>
      </c>
      <c r="N440">
        <v>3.4361286064430399</v>
      </c>
      <c r="O440">
        <v>6.56380605589582</v>
      </c>
      <c r="P440">
        <v>39.209811091926703</v>
      </c>
      <c r="Q440">
        <v>3.1839061024551301</v>
      </c>
      <c r="R440">
        <v>2.50647420234437</v>
      </c>
      <c r="S440">
        <v>1.383</v>
      </c>
      <c r="T440">
        <v>1.0660000000000001</v>
      </c>
      <c r="U440">
        <v>1.232</v>
      </c>
      <c r="V440">
        <v>0.92800000000000005</v>
      </c>
      <c r="W440">
        <v>0.151</v>
      </c>
      <c r="X440">
        <v>0.13800000000000001</v>
      </c>
      <c r="Y440">
        <v>2.0576131687242798</v>
      </c>
      <c r="Z440">
        <v>2.2222222222222201</v>
      </c>
      <c r="AA440">
        <v>8.33</v>
      </c>
      <c r="AB440">
        <v>0.38300000000000001</v>
      </c>
      <c r="AC440">
        <v>4.9407114624505901</v>
      </c>
      <c r="AD440">
        <v>6.1538461538461702</v>
      </c>
      <c r="AE440">
        <v>3.3000000000000002E-2</v>
      </c>
      <c r="AF440">
        <v>4.2999999999999997E-2</v>
      </c>
      <c r="AG440">
        <v>1.6601398739269011</v>
      </c>
      <c r="AH440">
        <v>41.909090909090899</v>
      </c>
      <c r="AI440">
        <v>24.790697674418599</v>
      </c>
      <c r="AJ440" t="s">
        <v>1694</v>
      </c>
      <c r="AK440" t="s">
        <v>1694</v>
      </c>
      <c r="AL440" t="s">
        <v>1694</v>
      </c>
      <c r="AM440" t="s">
        <v>1694</v>
      </c>
      <c r="AN440" t="s">
        <v>1694</v>
      </c>
      <c r="AO440" t="s">
        <v>1694</v>
      </c>
      <c r="AP440" t="s">
        <v>1697</v>
      </c>
      <c r="AQ440" t="s">
        <v>1697</v>
      </c>
      <c r="AR440" t="s">
        <v>1694</v>
      </c>
      <c r="AS440" t="s">
        <v>1694</v>
      </c>
      <c r="AT440" t="s">
        <v>1694</v>
      </c>
      <c r="AU440" t="s">
        <v>1695</v>
      </c>
      <c r="AV440" t="s">
        <v>1694</v>
      </c>
      <c r="AW440" t="s">
        <v>1694</v>
      </c>
      <c r="AX440" t="s">
        <v>1695</v>
      </c>
      <c r="AY440" t="s">
        <v>1694</v>
      </c>
      <c r="AZ440" t="s">
        <v>1694</v>
      </c>
      <c r="BA440" t="s">
        <v>1694</v>
      </c>
      <c r="BB440" t="s">
        <v>1695</v>
      </c>
      <c r="BC440" t="s">
        <v>1694</v>
      </c>
      <c r="BD440" t="s">
        <v>1694</v>
      </c>
      <c r="BE440" t="s">
        <v>1695</v>
      </c>
      <c r="BF440" t="s">
        <v>1694</v>
      </c>
      <c r="BG440">
        <v>5</v>
      </c>
      <c r="BH440" t="s">
        <v>1708</v>
      </c>
      <c r="BI440" t="b">
        <v>1</v>
      </c>
      <c r="BJ440">
        <f t="shared" si="6"/>
        <v>1</v>
      </c>
    </row>
    <row r="441" spans="1:62" x14ac:dyDescent="0.2">
      <c r="A441" s="5" t="s">
        <v>99</v>
      </c>
      <c r="B441" s="6">
        <v>38432</v>
      </c>
      <c r="C441" s="7">
        <v>33.648122000000001</v>
      </c>
      <c r="D441" s="7">
        <v>-112.133261</v>
      </c>
      <c r="E441" s="17">
        <v>404</v>
      </c>
      <c r="F441" t="s">
        <v>1706</v>
      </c>
      <c r="G441" t="s">
        <v>1728</v>
      </c>
      <c r="H441" t="s">
        <v>1728</v>
      </c>
      <c r="I441">
        <v>1</v>
      </c>
      <c r="J441" s="8">
        <v>15.838135181299961</v>
      </c>
      <c r="K441" s="8">
        <v>58.629406465363751</v>
      </c>
      <c r="L441" s="8">
        <v>25.532458353336295</v>
      </c>
      <c r="M441" s="8">
        <v>7.1512778469288509</v>
      </c>
      <c r="N441" s="8">
        <v>3.4971263495481737</v>
      </c>
      <c r="O441" s="8">
        <v>4.4244354529597185</v>
      </c>
      <c r="P441" s="8">
        <v>0.9765560372323201</v>
      </c>
      <c r="Q441" s="8">
        <v>8.2382297291686317</v>
      </c>
      <c r="R441" s="8">
        <v>0.78945030465047883</v>
      </c>
      <c r="S441" s="8">
        <v>2.113</v>
      </c>
      <c r="T441" s="8">
        <v>1.2010000000000001</v>
      </c>
      <c r="U441" s="8">
        <v>0.95599999999999996</v>
      </c>
      <c r="V441" s="8">
        <v>0.85499999999999998</v>
      </c>
      <c r="W441" s="8">
        <v>1.157</v>
      </c>
      <c r="X441" s="8">
        <v>0.34600000000000009</v>
      </c>
      <c r="Y441" s="8">
        <v>4.692082111436954</v>
      </c>
      <c r="Z441" s="8">
        <v>3.2659409020217587</v>
      </c>
      <c r="AA441" s="8">
        <v>8.2100000000000009</v>
      </c>
      <c r="AB441">
        <v>0.255</v>
      </c>
      <c r="AC441" s="8">
        <v>12.609970674486796</v>
      </c>
      <c r="AD441" s="8">
        <v>11.508553654743395</v>
      </c>
      <c r="AE441" s="8">
        <v>9.7000000000000003E-2</v>
      </c>
      <c r="AF441" s="8">
        <v>3.6999999999999998E-2</v>
      </c>
      <c r="AG441" s="8">
        <v>1.1825291014806687</v>
      </c>
      <c r="AH441" s="8">
        <v>21.783505154639176</v>
      </c>
      <c r="AI441" s="8">
        <v>12.381443298969073</v>
      </c>
      <c r="AJ441" t="s">
        <v>1694</v>
      </c>
      <c r="AK441" t="s">
        <v>1694</v>
      </c>
      <c r="AL441" t="s">
        <v>1694</v>
      </c>
      <c r="AM441" t="s">
        <v>1694</v>
      </c>
      <c r="AN441" t="s">
        <v>1694</v>
      </c>
      <c r="AO441" t="s">
        <v>1694</v>
      </c>
      <c r="AP441" t="s">
        <v>1695</v>
      </c>
      <c r="AQ441" t="s">
        <v>1694</v>
      </c>
      <c r="AR441" t="s">
        <v>1694</v>
      </c>
      <c r="AS441" t="s">
        <v>1694</v>
      </c>
      <c r="AT441" t="s">
        <v>1694</v>
      </c>
      <c r="AU441" t="s">
        <v>1706</v>
      </c>
      <c r="AV441" t="s">
        <v>1723</v>
      </c>
      <c r="AW441" t="s">
        <v>1706</v>
      </c>
      <c r="AX441" t="s">
        <v>1706</v>
      </c>
      <c r="AY441" t="s">
        <v>1723</v>
      </c>
      <c r="AZ441" t="s">
        <v>1706</v>
      </c>
      <c r="BA441" t="s">
        <v>1700</v>
      </c>
      <c r="BB441" t="s">
        <v>1706</v>
      </c>
      <c r="BC441" t="s">
        <v>1723</v>
      </c>
      <c r="BD441" t="s">
        <v>1706</v>
      </c>
      <c r="BE441" t="s">
        <v>1706</v>
      </c>
      <c r="BF441" t="s">
        <v>1723</v>
      </c>
      <c r="BG441">
        <v>30</v>
      </c>
      <c r="BH441" s="12" t="s">
        <v>1709</v>
      </c>
      <c r="BI441" t="b">
        <v>0</v>
      </c>
      <c r="BJ441">
        <f t="shared" si="6"/>
        <v>0</v>
      </c>
    </row>
    <row r="442" spans="1:62" x14ac:dyDescent="0.2">
      <c r="A442" s="5" t="s">
        <v>99</v>
      </c>
      <c r="B442" s="6">
        <v>40319</v>
      </c>
      <c r="C442" s="7">
        <v>33.648122000000001</v>
      </c>
      <c r="D442" s="7">
        <v>-112.133261</v>
      </c>
      <c r="E442" s="17">
        <v>404</v>
      </c>
      <c r="F442" t="s">
        <v>1697</v>
      </c>
      <c r="G442" t="s">
        <v>1697</v>
      </c>
      <c r="H442" t="s">
        <v>1697</v>
      </c>
      <c r="I442" t="s">
        <v>1697</v>
      </c>
      <c r="J442" t="s">
        <v>1697</v>
      </c>
      <c r="K442" t="s">
        <v>1697</v>
      </c>
      <c r="L442" t="s">
        <v>1697</v>
      </c>
      <c r="M442" t="s">
        <v>1697</v>
      </c>
      <c r="N442" t="s">
        <v>1697</v>
      </c>
      <c r="O442" t="s">
        <v>1697</v>
      </c>
      <c r="P442" t="s">
        <v>1697</v>
      </c>
      <c r="Q442" t="s">
        <v>1697</v>
      </c>
      <c r="R442" t="s">
        <v>1697</v>
      </c>
      <c r="S442" t="s">
        <v>1697</v>
      </c>
      <c r="T442" t="s">
        <v>1697</v>
      </c>
      <c r="U442" t="s">
        <v>1697</v>
      </c>
      <c r="V442" t="s">
        <v>1697</v>
      </c>
      <c r="W442" t="s">
        <v>1697</v>
      </c>
      <c r="X442" t="s">
        <v>1697</v>
      </c>
      <c r="Y442" t="s">
        <v>1697</v>
      </c>
      <c r="Z442" t="s">
        <v>1697</v>
      </c>
      <c r="AA442" t="s">
        <v>1697</v>
      </c>
      <c r="AB442" t="s">
        <v>1697</v>
      </c>
      <c r="AC442" t="s">
        <v>1697</v>
      </c>
      <c r="AD442" t="s">
        <v>1697</v>
      </c>
      <c r="AE442" t="s">
        <v>1697</v>
      </c>
      <c r="AF442" t="s">
        <v>1697</v>
      </c>
      <c r="AG442" t="s">
        <v>1697</v>
      </c>
      <c r="AH442" t="s">
        <v>1697</v>
      </c>
      <c r="AI442" t="s">
        <v>1697</v>
      </c>
      <c r="AJ442" t="s">
        <v>1694</v>
      </c>
      <c r="AK442" t="s">
        <v>1694</v>
      </c>
      <c r="AL442" t="s">
        <v>1694</v>
      </c>
      <c r="AM442" t="s">
        <v>1694</v>
      </c>
      <c r="AN442" t="s">
        <v>1694</v>
      </c>
      <c r="AO442" t="s">
        <v>1694</v>
      </c>
      <c r="AP442" t="s">
        <v>1695</v>
      </c>
      <c r="AQ442" t="s">
        <v>1694</v>
      </c>
      <c r="AR442" t="s">
        <v>1694</v>
      </c>
      <c r="AS442" t="s">
        <v>1694</v>
      </c>
      <c r="AT442" t="s">
        <v>1694</v>
      </c>
      <c r="AU442" t="s">
        <v>1706</v>
      </c>
      <c r="AV442" t="s">
        <v>1723</v>
      </c>
      <c r="AW442" t="s">
        <v>1706</v>
      </c>
      <c r="AX442" t="s">
        <v>1706</v>
      </c>
      <c r="AY442" t="s">
        <v>1723</v>
      </c>
      <c r="AZ442" t="s">
        <v>1706</v>
      </c>
      <c r="BA442" t="s">
        <v>1700</v>
      </c>
      <c r="BB442" t="s">
        <v>1706</v>
      </c>
      <c r="BC442" t="s">
        <v>1723</v>
      </c>
      <c r="BD442" t="s">
        <v>1706</v>
      </c>
      <c r="BE442" t="s">
        <v>1706</v>
      </c>
      <c r="BF442" t="s">
        <v>1723</v>
      </c>
      <c r="BG442" s="6" t="s">
        <v>1697</v>
      </c>
      <c r="BH442" s="6" t="s">
        <v>1697</v>
      </c>
      <c r="BI442" t="b">
        <v>0</v>
      </c>
      <c r="BJ442">
        <f t="shared" si="6"/>
        <v>0</v>
      </c>
    </row>
    <row r="443" spans="1:62" x14ac:dyDescent="0.2">
      <c r="A443" s="5" t="s">
        <v>99</v>
      </c>
      <c r="B443" s="6">
        <v>42137</v>
      </c>
      <c r="C443" s="7">
        <v>33.648122000000001</v>
      </c>
      <c r="D443" s="7">
        <v>-112.133261</v>
      </c>
      <c r="E443" s="17">
        <v>404</v>
      </c>
      <c r="F443" t="s">
        <v>1706</v>
      </c>
      <c r="G443" t="s">
        <v>1728</v>
      </c>
      <c r="H443" t="s">
        <v>1728</v>
      </c>
      <c r="I443">
        <v>0</v>
      </c>
      <c r="J443">
        <v>16.823408253485798</v>
      </c>
      <c r="K443">
        <v>57.864901374780999</v>
      </c>
      <c r="L443">
        <v>25.311690371733199</v>
      </c>
      <c r="M443" t="s">
        <v>1697</v>
      </c>
      <c r="N443" t="s">
        <v>1697</v>
      </c>
      <c r="O443" t="s">
        <v>1697</v>
      </c>
      <c r="P443" t="s">
        <v>1697</v>
      </c>
      <c r="Q443" t="s">
        <v>1697</v>
      </c>
      <c r="R443" t="s">
        <v>1697</v>
      </c>
      <c r="S443" t="s">
        <v>1697</v>
      </c>
      <c r="T443" t="s">
        <v>1697</v>
      </c>
      <c r="U443" t="s">
        <v>1697</v>
      </c>
      <c r="V443" t="s">
        <v>1697</v>
      </c>
      <c r="W443" t="s">
        <v>1697</v>
      </c>
      <c r="X443" t="s">
        <v>1697</v>
      </c>
      <c r="Y443" t="s">
        <v>1697</v>
      </c>
      <c r="Z443" t="s">
        <v>1697</v>
      </c>
      <c r="AA443">
        <v>8.35</v>
      </c>
      <c r="AB443">
        <v>0.36799999999999999</v>
      </c>
      <c r="AC443" t="s">
        <v>1697</v>
      </c>
      <c r="AD443" t="s">
        <v>1697</v>
      </c>
      <c r="AE443" t="s">
        <v>1697</v>
      </c>
      <c r="AF443" t="s">
        <v>1697</v>
      </c>
      <c r="AG443">
        <v>1.5576471125012137</v>
      </c>
      <c r="AH443" t="s">
        <v>1697</v>
      </c>
      <c r="AI443" t="s">
        <v>1697</v>
      </c>
      <c r="AJ443" t="s">
        <v>1694</v>
      </c>
      <c r="AK443" t="s">
        <v>1694</v>
      </c>
      <c r="AL443" t="s">
        <v>1694</v>
      </c>
      <c r="AM443" t="s">
        <v>1694</v>
      </c>
      <c r="AN443" t="s">
        <v>1694</v>
      </c>
      <c r="AO443" t="s">
        <v>1694</v>
      </c>
      <c r="AP443" t="s">
        <v>1697</v>
      </c>
      <c r="AQ443" t="s">
        <v>1697</v>
      </c>
      <c r="AR443" t="s">
        <v>1694</v>
      </c>
      <c r="AS443" t="s">
        <v>1694</v>
      </c>
      <c r="AT443" t="s">
        <v>1694</v>
      </c>
      <c r="AU443" t="s">
        <v>1706</v>
      </c>
      <c r="AV443" t="s">
        <v>1723</v>
      </c>
      <c r="AW443" t="s">
        <v>1706</v>
      </c>
      <c r="AX443" t="s">
        <v>1706</v>
      </c>
      <c r="AY443" t="s">
        <v>1723</v>
      </c>
      <c r="AZ443" t="s">
        <v>1706</v>
      </c>
      <c r="BA443" t="s">
        <v>1700</v>
      </c>
      <c r="BB443" t="s">
        <v>1706</v>
      </c>
      <c r="BC443" t="s">
        <v>1723</v>
      </c>
      <c r="BD443" t="s">
        <v>1706</v>
      </c>
      <c r="BE443" t="s">
        <v>1706</v>
      </c>
      <c r="BF443" t="s">
        <v>1723</v>
      </c>
      <c r="BG443">
        <v>40</v>
      </c>
      <c r="BH443" s="12" t="s">
        <v>1709</v>
      </c>
      <c r="BI443" t="b">
        <v>0</v>
      </c>
      <c r="BJ443">
        <f t="shared" si="6"/>
        <v>0</v>
      </c>
    </row>
    <row r="444" spans="1:62" x14ac:dyDescent="0.2">
      <c r="A444" s="5" t="s">
        <v>100</v>
      </c>
      <c r="B444" s="6">
        <v>38493</v>
      </c>
      <c r="C444" s="7">
        <v>33.624817</v>
      </c>
      <c r="D444" s="7">
        <v>-112.134247</v>
      </c>
      <c r="E444" s="17">
        <v>393</v>
      </c>
      <c r="F444" t="s">
        <v>1706</v>
      </c>
      <c r="G444" t="s">
        <v>1710</v>
      </c>
      <c r="H444" t="s">
        <v>1710</v>
      </c>
      <c r="I444">
        <v>1</v>
      </c>
      <c r="J444" s="8">
        <v>15.420816154593339</v>
      </c>
      <c r="K444" s="8">
        <v>62.578197337660363</v>
      </c>
      <c r="L444" s="8">
        <v>22.00098650774629</v>
      </c>
      <c r="M444" s="8">
        <v>1.8620398367334192</v>
      </c>
      <c r="N444" s="8">
        <v>4.1771790584284592</v>
      </c>
      <c r="O444" s="8">
        <v>4.5021463195304463</v>
      </c>
      <c r="P444" s="8">
        <v>23.239702539351981</v>
      </c>
      <c r="Q444" s="8">
        <v>61.386173005623533</v>
      </c>
      <c r="R444" s="8">
        <v>14.201524739596776</v>
      </c>
      <c r="S444" s="8">
        <v>0.94699999999999995</v>
      </c>
      <c r="T444" s="8">
        <v>0.38200000000000001</v>
      </c>
      <c r="U444" s="8">
        <v>0.03</v>
      </c>
      <c r="V444" s="8">
        <v>6.9000000000000006E-2</v>
      </c>
      <c r="W444" s="8">
        <v>0.91699999999999993</v>
      </c>
      <c r="X444" s="8">
        <v>0.313</v>
      </c>
      <c r="Y444" s="8">
        <v>4.761904761904769</v>
      </c>
      <c r="Z444" s="8">
        <v>2.9173419773095581</v>
      </c>
      <c r="AA444" s="8">
        <v>7.99</v>
      </c>
      <c r="AB444">
        <v>1.2749999999999999</v>
      </c>
      <c r="AC444" s="8">
        <v>8.4249084249084198</v>
      </c>
      <c r="AD444" s="8">
        <v>8.1037277147487838</v>
      </c>
      <c r="AE444" s="8">
        <v>8.5000000000000006E-2</v>
      </c>
      <c r="AF444" s="8">
        <v>4.4999999999999998E-2</v>
      </c>
      <c r="AG444" s="8">
        <v>1.2223439736948027</v>
      </c>
      <c r="AH444" s="8">
        <v>11.141176470588235</v>
      </c>
      <c r="AI444" s="8">
        <v>4.4941176470588236</v>
      </c>
      <c r="AJ444" t="s">
        <v>1694</v>
      </c>
      <c r="AK444" t="s">
        <v>1694</v>
      </c>
      <c r="AL444" t="s">
        <v>1694</v>
      </c>
      <c r="AM444" t="s">
        <v>1694</v>
      </c>
      <c r="AN444" t="s">
        <v>1694</v>
      </c>
      <c r="AO444" t="s">
        <v>1694</v>
      </c>
      <c r="AP444" t="s">
        <v>1695</v>
      </c>
      <c r="AQ444" t="s">
        <v>1694</v>
      </c>
      <c r="AR444" t="s">
        <v>1694</v>
      </c>
      <c r="AS444" t="s">
        <v>1700</v>
      </c>
      <c r="AT444" t="s">
        <v>1700</v>
      </c>
      <c r="AU444" t="s">
        <v>1706</v>
      </c>
      <c r="AV444" t="s">
        <v>1723</v>
      </c>
      <c r="AW444" t="s">
        <v>1706</v>
      </c>
      <c r="AX444" t="s">
        <v>1706</v>
      </c>
      <c r="AY444" t="s">
        <v>1723</v>
      </c>
      <c r="AZ444" t="s">
        <v>1706</v>
      </c>
      <c r="BA444" t="s">
        <v>1700</v>
      </c>
      <c r="BB444" t="s">
        <v>1706</v>
      </c>
      <c r="BC444" t="s">
        <v>1723</v>
      </c>
      <c r="BD444" t="s">
        <v>1706</v>
      </c>
      <c r="BE444" t="s">
        <v>1706</v>
      </c>
      <c r="BF444" t="s">
        <v>1723</v>
      </c>
      <c r="BG444">
        <v>30</v>
      </c>
      <c r="BH444" s="12" t="s">
        <v>1709</v>
      </c>
      <c r="BI444" t="b">
        <v>0</v>
      </c>
      <c r="BJ444">
        <f t="shared" si="6"/>
        <v>0</v>
      </c>
    </row>
    <row r="445" spans="1:62" x14ac:dyDescent="0.2">
      <c r="A445" s="5" t="s">
        <v>101</v>
      </c>
      <c r="B445" s="6">
        <v>38439</v>
      </c>
      <c r="C445" s="7">
        <v>33.572949999999999</v>
      </c>
      <c r="D445" s="7">
        <v>-112.138914</v>
      </c>
      <c r="E445" s="17">
        <v>373</v>
      </c>
      <c r="F445" t="s">
        <v>1706</v>
      </c>
      <c r="G445" t="s">
        <v>1710</v>
      </c>
      <c r="H445" t="s">
        <v>1710</v>
      </c>
      <c r="I445">
        <v>1</v>
      </c>
      <c r="J445" s="8">
        <v>18.922047928640453</v>
      </c>
      <c r="K445" s="8">
        <v>33.978157287323242</v>
      </c>
      <c r="L445" s="8">
        <v>47.099794784036305</v>
      </c>
      <c r="M445" s="8">
        <v>2.1480459004956596</v>
      </c>
      <c r="N445" s="8">
        <v>1.4930407886215922</v>
      </c>
      <c r="O445" s="8">
        <v>5.7030618658159762</v>
      </c>
      <c r="P445" s="8">
        <v>1.8027085077431075</v>
      </c>
      <c r="Q445" s="8">
        <v>5.642061533204811</v>
      </c>
      <c r="R445" s="8">
        <v>14.375933837036644</v>
      </c>
      <c r="S445" s="8">
        <v>1.615</v>
      </c>
      <c r="T445" s="8">
        <v>0.58299999999999996</v>
      </c>
      <c r="U445" s="8">
        <v>0.17599999999999999</v>
      </c>
      <c r="V445" s="8">
        <v>0.124</v>
      </c>
      <c r="W445" s="8">
        <v>1.4390000000000001</v>
      </c>
      <c r="X445" s="8">
        <v>0.45899999999999996</v>
      </c>
      <c r="Y445" s="8">
        <v>5.0847457627118713</v>
      </c>
      <c r="Z445" s="8">
        <v>4.1547277936962885</v>
      </c>
      <c r="AA445" s="8">
        <v>7.79</v>
      </c>
      <c r="AB445">
        <v>0.43099999999999999</v>
      </c>
      <c r="AC445" s="8">
        <v>11.082138200782264</v>
      </c>
      <c r="AD445" s="8">
        <v>14.613180515759305</v>
      </c>
      <c r="AE445" s="8">
        <v>0.14699999999999999</v>
      </c>
      <c r="AF445" s="8">
        <v>4.1000000000000002E-2</v>
      </c>
      <c r="AG445" s="8">
        <v>0.95954848127398917</v>
      </c>
      <c r="AH445" s="8">
        <v>10.986394557823131</v>
      </c>
      <c r="AI445" s="8">
        <v>3.9659863945578233</v>
      </c>
      <c r="AJ445" t="s">
        <v>1694</v>
      </c>
      <c r="AK445" t="s">
        <v>1694</v>
      </c>
      <c r="AL445" t="s">
        <v>1694</v>
      </c>
      <c r="AM445" t="s">
        <v>1694</v>
      </c>
      <c r="AN445" t="s">
        <v>1694</v>
      </c>
      <c r="AO445" t="s">
        <v>1694</v>
      </c>
      <c r="AP445" t="s">
        <v>1706</v>
      </c>
      <c r="AQ445" t="s">
        <v>1707</v>
      </c>
      <c r="AR445" t="s">
        <v>1706</v>
      </c>
      <c r="AS445" t="s">
        <v>1700</v>
      </c>
      <c r="AT445" t="s">
        <v>1700</v>
      </c>
      <c r="AU445" t="s">
        <v>1706</v>
      </c>
      <c r="AV445" t="s">
        <v>1723</v>
      </c>
      <c r="AW445" t="s">
        <v>1706</v>
      </c>
      <c r="AX445" t="s">
        <v>1706</v>
      </c>
      <c r="AY445" t="s">
        <v>1723</v>
      </c>
      <c r="AZ445" t="s">
        <v>1706</v>
      </c>
      <c r="BA445" t="s">
        <v>1700</v>
      </c>
      <c r="BB445" t="s">
        <v>1706</v>
      </c>
      <c r="BC445" t="s">
        <v>1723</v>
      </c>
      <c r="BD445" t="s">
        <v>1706</v>
      </c>
      <c r="BE445" t="s">
        <v>1706</v>
      </c>
      <c r="BF445" t="s">
        <v>1723</v>
      </c>
      <c r="BG445">
        <v>50</v>
      </c>
      <c r="BH445" s="12" t="s">
        <v>1729</v>
      </c>
      <c r="BI445" t="b">
        <v>0</v>
      </c>
      <c r="BJ445">
        <f t="shared" si="6"/>
        <v>0</v>
      </c>
    </row>
    <row r="446" spans="1:62" x14ac:dyDescent="0.2">
      <c r="A446" s="5" t="s">
        <v>101</v>
      </c>
      <c r="B446" s="6">
        <v>40325</v>
      </c>
      <c r="C446" s="7">
        <v>33.572949999999999</v>
      </c>
      <c r="D446" s="7">
        <v>-112.138914</v>
      </c>
      <c r="E446" s="17">
        <v>373</v>
      </c>
      <c r="F446" t="s">
        <v>1697</v>
      </c>
      <c r="G446" t="s">
        <v>1697</v>
      </c>
      <c r="H446" t="s">
        <v>1697</v>
      </c>
      <c r="I446" t="s">
        <v>1697</v>
      </c>
      <c r="J446" t="s">
        <v>1697</v>
      </c>
      <c r="K446" t="s">
        <v>1697</v>
      </c>
      <c r="L446" t="s">
        <v>1697</v>
      </c>
      <c r="M446" t="s">
        <v>1697</v>
      </c>
      <c r="N446" t="s">
        <v>1697</v>
      </c>
      <c r="O446" t="s">
        <v>1697</v>
      </c>
      <c r="P446" t="s">
        <v>1697</v>
      </c>
      <c r="Q446" t="s">
        <v>1697</v>
      </c>
      <c r="R446" t="s">
        <v>1697</v>
      </c>
      <c r="S446" t="s">
        <v>1697</v>
      </c>
      <c r="T446" t="s">
        <v>1697</v>
      </c>
      <c r="U446" t="s">
        <v>1697</v>
      </c>
      <c r="V446" t="s">
        <v>1697</v>
      </c>
      <c r="W446" t="s">
        <v>1697</v>
      </c>
      <c r="X446" t="s">
        <v>1697</v>
      </c>
      <c r="Y446" t="s">
        <v>1697</v>
      </c>
      <c r="Z446" t="s">
        <v>1697</v>
      </c>
      <c r="AA446" t="s">
        <v>1697</v>
      </c>
      <c r="AB446" t="s">
        <v>1697</v>
      </c>
      <c r="AC446" t="s">
        <v>1697</v>
      </c>
      <c r="AD446" t="s">
        <v>1697</v>
      </c>
      <c r="AE446" t="s">
        <v>1697</v>
      </c>
      <c r="AF446" t="s">
        <v>1697</v>
      </c>
      <c r="AG446" t="s">
        <v>1697</v>
      </c>
      <c r="AH446" t="s">
        <v>1697</v>
      </c>
      <c r="AI446" t="s">
        <v>1697</v>
      </c>
      <c r="AJ446" t="s">
        <v>1694</v>
      </c>
      <c r="AK446" t="s">
        <v>1694</v>
      </c>
      <c r="AL446" t="s">
        <v>1694</v>
      </c>
      <c r="AM446" t="s">
        <v>1694</v>
      </c>
      <c r="AN446" t="s">
        <v>1694</v>
      </c>
      <c r="AO446" t="s">
        <v>1694</v>
      </c>
      <c r="AP446" t="s">
        <v>1706</v>
      </c>
      <c r="AQ446" t="s">
        <v>1707</v>
      </c>
      <c r="AR446" t="s">
        <v>1706</v>
      </c>
      <c r="AS446" t="s">
        <v>1700</v>
      </c>
      <c r="AT446" t="s">
        <v>1700</v>
      </c>
      <c r="AU446" t="s">
        <v>1706</v>
      </c>
      <c r="AV446" t="s">
        <v>1723</v>
      </c>
      <c r="AW446" t="s">
        <v>1706</v>
      </c>
      <c r="AX446" t="s">
        <v>1706</v>
      </c>
      <c r="AY446" t="s">
        <v>1723</v>
      </c>
      <c r="AZ446" t="s">
        <v>1706</v>
      </c>
      <c r="BA446" t="s">
        <v>1700</v>
      </c>
      <c r="BB446" t="s">
        <v>1706</v>
      </c>
      <c r="BC446" t="s">
        <v>1723</v>
      </c>
      <c r="BD446" t="s">
        <v>1706</v>
      </c>
      <c r="BE446" t="s">
        <v>1706</v>
      </c>
      <c r="BF446" t="s">
        <v>1723</v>
      </c>
      <c r="BG446" s="6" t="s">
        <v>1697</v>
      </c>
      <c r="BH446" s="6" t="s">
        <v>1697</v>
      </c>
      <c r="BI446" t="b">
        <v>0</v>
      </c>
      <c r="BJ446">
        <f t="shared" si="6"/>
        <v>0</v>
      </c>
    </row>
    <row r="447" spans="1:62" x14ac:dyDescent="0.2">
      <c r="A447" s="5" t="s">
        <v>102</v>
      </c>
      <c r="B447" s="6">
        <v>36635</v>
      </c>
      <c r="C447" s="7">
        <v>33.549610999999999</v>
      </c>
      <c r="D447" s="7">
        <v>-112.101856</v>
      </c>
      <c r="E447" s="17">
        <v>363</v>
      </c>
      <c r="F447" s="11" t="s">
        <v>1741</v>
      </c>
      <c r="G447" s="11" t="s">
        <v>1741</v>
      </c>
      <c r="H447" t="s">
        <v>1742</v>
      </c>
      <c r="I447">
        <v>1</v>
      </c>
      <c r="J447" s="8">
        <v>16.024704631273401</v>
      </c>
      <c r="K447" s="8">
        <v>30.453881209618118</v>
      </c>
      <c r="L447" s="8">
        <v>53.521414159108481</v>
      </c>
      <c r="M447" s="8">
        <v>12.815996955637287</v>
      </c>
      <c r="N447" s="8">
        <v>7.5898625722836961</v>
      </c>
      <c r="O447" s="8">
        <v>2.7585607491554054</v>
      </c>
      <c r="P447" s="8">
        <v>0.45219158467072174</v>
      </c>
      <c r="Q447" s="8">
        <v>7.236768729299115</v>
      </c>
      <c r="R447" s="8">
        <v>1.267455646317583</v>
      </c>
      <c r="S447" s="8">
        <v>2.298</v>
      </c>
      <c r="T447" s="8">
        <v>0.72299999999999998</v>
      </c>
      <c r="U447" s="8">
        <v>0.26600000000000001</v>
      </c>
      <c r="V447" s="8">
        <v>0.34300000000000003</v>
      </c>
      <c r="W447" s="8">
        <v>2.032</v>
      </c>
      <c r="X447" s="8">
        <v>0.38</v>
      </c>
      <c r="Y447" s="8">
        <v>5.8962300000000001</v>
      </c>
      <c r="Z447" s="8">
        <v>2.7497699999999998</v>
      </c>
      <c r="AA447" s="9">
        <v>8.27</v>
      </c>
      <c r="AB447" s="10">
        <v>1.3360000000000001</v>
      </c>
      <c r="AC447" s="8">
        <v>25.363489999999999</v>
      </c>
      <c r="AD447" s="8">
        <v>14.711600000000001</v>
      </c>
      <c r="AE447" s="8">
        <v>0.20100000000000001</v>
      </c>
      <c r="AF447" s="8">
        <v>5.8000000000000003E-2</v>
      </c>
      <c r="AG447" s="8">
        <v>1.1926297073186005</v>
      </c>
      <c r="AH447" s="8">
        <v>11.432835820895521</v>
      </c>
      <c r="AI447" s="8">
        <v>3.5970149253731338</v>
      </c>
      <c r="AJ447" t="s">
        <v>1702</v>
      </c>
      <c r="AK447" t="s">
        <v>1703</v>
      </c>
      <c r="AL447" t="s">
        <v>1702</v>
      </c>
      <c r="AM447" t="s">
        <v>1703</v>
      </c>
      <c r="AN447" t="s">
        <v>1700</v>
      </c>
      <c r="AO447" t="s">
        <v>1700</v>
      </c>
      <c r="AP447" t="s">
        <v>1755</v>
      </c>
      <c r="AQ447" t="s">
        <v>1756</v>
      </c>
      <c r="AR447" t="s">
        <v>1700</v>
      </c>
      <c r="AS447" t="s">
        <v>1700</v>
      </c>
      <c r="AT447" t="s">
        <v>1700</v>
      </c>
      <c r="AU447" t="s">
        <v>1755</v>
      </c>
      <c r="AV447" t="s">
        <v>1756</v>
      </c>
      <c r="AW447" t="s">
        <v>1700</v>
      </c>
      <c r="AX447" t="s">
        <v>1755</v>
      </c>
      <c r="AY447" t="s">
        <v>1756</v>
      </c>
      <c r="AZ447" t="s">
        <v>1700</v>
      </c>
      <c r="BA447" t="s">
        <v>1700</v>
      </c>
      <c r="BB447" t="s">
        <v>1755</v>
      </c>
      <c r="BC447" t="s">
        <v>1756</v>
      </c>
      <c r="BD447" t="s">
        <v>1700</v>
      </c>
      <c r="BE447" t="s">
        <v>1755</v>
      </c>
      <c r="BF447" t="s">
        <v>1756</v>
      </c>
      <c r="BG447">
        <v>66</v>
      </c>
      <c r="BH447" s="12" t="s">
        <v>1712</v>
      </c>
      <c r="BI447" t="b">
        <v>0</v>
      </c>
      <c r="BJ447">
        <f t="shared" si="6"/>
        <v>0</v>
      </c>
    </row>
    <row r="448" spans="1:62" x14ac:dyDescent="0.2">
      <c r="A448" s="5" t="s">
        <v>102</v>
      </c>
      <c r="B448" s="6">
        <v>38421</v>
      </c>
      <c r="C448" s="7">
        <v>33.549610999999999</v>
      </c>
      <c r="D448" s="7">
        <v>-112.101856</v>
      </c>
      <c r="E448" s="17">
        <v>363</v>
      </c>
      <c r="F448" s="11" t="s">
        <v>1741</v>
      </c>
      <c r="G448" s="11" t="s">
        <v>1741</v>
      </c>
      <c r="H448" t="s">
        <v>1742</v>
      </c>
      <c r="I448">
        <v>1</v>
      </c>
      <c r="J448" s="8">
        <v>16.921958154034261</v>
      </c>
      <c r="K448" s="8">
        <v>30.908477663322486</v>
      </c>
      <c r="L448" s="8">
        <v>52.169564182643256</v>
      </c>
      <c r="M448" s="8">
        <v>3.6471380156198236</v>
      </c>
      <c r="N448" s="8">
        <v>2.2417325611991217</v>
      </c>
      <c r="O448" s="8">
        <v>8.2527099748792754</v>
      </c>
      <c r="P448" s="8">
        <v>2.3778377524147825</v>
      </c>
      <c r="Q448" s="8">
        <v>8.4562711664487544</v>
      </c>
      <c r="R448" s="8">
        <v>1.2582729703113438</v>
      </c>
      <c r="S448" s="8">
        <v>2.1659999999999999</v>
      </c>
      <c r="T448" s="8">
        <v>0.67400000000000004</v>
      </c>
      <c r="U448" s="8">
        <v>0.40100000000000002</v>
      </c>
      <c r="V448" s="8">
        <v>0.30399999999999999</v>
      </c>
      <c r="W448" s="8">
        <v>1.7649999999999999</v>
      </c>
      <c r="X448" s="8">
        <v>0.37000000000000005</v>
      </c>
      <c r="Y448" s="8">
        <v>5.9322033898305166</v>
      </c>
      <c r="Z448" s="8">
        <v>3.1249999999999973</v>
      </c>
      <c r="AA448" s="8">
        <v>8.36</v>
      </c>
      <c r="AB448">
        <v>0.58699999999999997</v>
      </c>
      <c r="AC448" s="8">
        <v>26.949152542372879</v>
      </c>
      <c r="AD448" s="8">
        <v>19.831730769230774</v>
      </c>
      <c r="AE448" s="8">
        <v>0.188</v>
      </c>
      <c r="AF448" s="8">
        <v>4.7E-2</v>
      </c>
      <c r="AG448" s="8">
        <v>1.3202698946459941</v>
      </c>
      <c r="AH448" s="8">
        <v>11.521276595744681</v>
      </c>
      <c r="AI448" s="8">
        <v>3.5851063829787235</v>
      </c>
      <c r="AJ448" t="s">
        <v>1702</v>
      </c>
      <c r="AK448" t="s">
        <v>1703</v>
      </c>
      <c r="AL448" t="s">
        <v>1702</v>
      </c>
      <c r="AM448" t="s">
        <v>1703</v>
      </c>
      <c r="AN448" t="s">
        <v>1700</v>
      </c>
      <c r="AO448" t="s">
        <v>1700</v>
      </c>
      <c r="AP448" t="s">
        <v>1755</v>
      </c>
      <c r="AQ448" t="s">
        <v>1756</v>
      </c>
      <c r="AR448" t="s">
        <v>1700</v>
      </c>
      <c r="AS448" t="s">
        <v>1700</v>
      </c>
      <c r="AT448" t="s">
        <v>1700</v>
      </c>
      <c r="AU448" t="s">
        <v>1755</v>
      </c>
      <c r="AV448" t="s">
        <v>1756</v>
      </c>
      <c r="AW448" t="s">
        <v>1700</v>
      </c>
      <c r="AX448" t="s">
        <v>1755</v>
      </c>
      <c r="AY448" t="s">
        <v>1756</v>
      </c>
      <c r="AZ448" t="s">
        <v>1700</v>
      </c>
      <c r="BA448" t="s">
        <v>1700</v>
      </c>
      <c r="BB448" t="s">
        <v>1755</v>
      </c>
      <c r="BC448" t="s">
        <v>1756</v>
      </c>
      <c r="BD448" t="s">
        <v>1700</v>
      </c>
      <c r="BE448" t="s">
        <v>1755</v>
      </c>
      <c r="BF448" t="s">
        <v>1756</v>
      </c>
      <c r="BG448">
        <v>71</v>
      </c>
      <c r="BH448" s="12" t="s">
        <v>1712</v>
      </c>
      <c r="BI448" t="b">
        <v>0</v>
      </c>
      <c r="BJ448">
        <f t="shared" si="6"/>
        <v>0</v>
      </c>
    </row>
    <row r="449" spans="1:62" x14ac:dyDescent="0.2">
      <c r="A449" s="5" t="s">
        <v>102</v>
      </c>
      <c r="B449" s="6">
        <v>40246</v>
      </c>
      <c r="C449" s="7">
        <v>33.549610999999999</v>
      </c>
      <c r="D449" s="7">
        <v>-112.101856</v>
      </c>
      <c r="E449" s="17">
        <v>363</v>
      </c>
      <c r="F449" s="11" t="s">
        <v>1741</v>
      </c>
      <c r="G449" s="11" t="s">
        <v>1741</v>
      </c>
      <c r="H449" t="s">
        <v>1742</v>
      </c>
      <c r="I449">
        <v>1</v>
      </c>
      <c r="J449" s="8">
        <v>19.915749150328544</v>
      </c>
      <c r="K449" s="8">
        <v>31.370323651842341</v>
      </c>
      <c r="L449" s="8">
        <v>48.713927197829115</v>
      </c>
      <c r="M449" s="8">
        <v>7.9791865050799364</v>
      </c>
      <c r="N449" s="8">
        <v>1.2251136255090418</v>
      </c>
      <c r="O449" s="8">
        <v>43.514179389278418</v>
      </c>
      <c r="P449" s="8">
        <v>7.516947173659049</v>
      </c>
      <c r="Q449" s="8">
        <v>25.123678427418515</v>
      </c>
      <c r="R449" s="8">
        <v>2.5000000000000001E-3</v>
      </c>
      <c r="S449" s="8">
        <v>2.6669999999999998</v>
      </c>
      <c r="T449" s="8">
        <v>0.73499999999999999</v>
      </c>
      <c r="U449" s="8">
        <v>0.375</v>
      </c>
      <c r="V449" s="8">
        <v>0.378</v>
      </c>
      <c r="W449" s="8">
        <v>2.2919999999999998</v>
      </c>
      <c r="X449" s="8">
        <v>0.35699999999999998</v>
      </c>
      <c r="Y449" s="8">
        <v>7.2832369942196618</v>
      </c>
      <c r="Z449" s="8">
        <v>3.4297963558413747</v>
      </c>
      <c r="AA449" s="8">
        <v>8.1300000000000008</v>
      </c>
      <c r="AB449">
        <v>2.82</v>
      </c>
      <c r="AC449" s="8">
        <v>32.254335260115596</v>
      </c>
      <c r="AD449" s="8">
        <v>19.399785637727764</v>
      </c>
      <c r="AE449" s="8">
        <v>0.23400000000000001</v>
      </c>
      <c r="AF449" s="8">
        <v>5.3999999999999999E-2</v>
      </c>
      <c r="AG449" s="8">
        <v>1.3886637118142209</v>
      </c>
      <c r="AH449" s="8">
        <v>11.397435897435896</v>
      </c>
      <c r="AI449" s="8">
        <v>3.141025641025641</v>
      </c>
      <c r="AJ449" t="s">
        <v>1702</v>
      </c>
      <c r="AK449" t="s">
        <v>1703</v>
      </c>
      <c r="AL449" t="s">
        <v>1702</v>
      </c>
      <c r="AM449" t="s">
        <v>1703</v>
      </c>
      <c r="AN449" t="s">
        <v>1700</v>
      </c>
      <c r="AO449" t="s">
        <v>1700</v>
      </c>
      <c r="AP449" t="s">
        <v>1755</v>
      </c>
      <c r="AQ449" t="s">
        <v>1756</v>
      </c>
      <c r="AR449" t="s">
        <v>1700</v>
      </c>
      <c r="AS449" t="s">
        <v>1700</v>
      </c>
      <c r="AT449" t="s">
        <v>1700</v>
      </c>
      <c r="AU449" t="s">
        <v>1755</v>
      </c>
      <c r="AV449" t="s">
        <v>1756</v>
      </c>
      <c r="AW449" t="s">
        <v>1700</v>
      </c>
      <c r="AX449" t="s">
        <v>1755</v>
      </c>
      <c r="AY449" t="s">
        <v>1756</v>
      </c>
      <c r="AZ449" t="s">
        <v>1700</v>
      </c>
      <c r="BA449" t="s">
        <v>1700</v>
      </c>
      <c r="BB449" t="s">
        <v>1755</v>
      </c>
      <c r="BC449" t="s">
        <v>1756</v>
      </c>
      <c r="BD449" t="s">
        <v>1700</v>
      </c>
      <c r="BE449" t="s">
        <v>1755</v>
      </c>
      <c r="BF449" t="s">
        <v>1756</v>
      </c>
      <c r="BG449">
        <v>76</v>
      </c>
      <c r="BH449" s="12" t="s">
        <v>1712</v>
      </c>
      <c r="BI449" t="b">
        <v>0</v>
      </c>
      <c r="BJ449">
        <f t="shared" si="6"/>
        <v>0</v>
      </c>
    </row>
    <row r="450" spans="1:62" x14ac:dyDescent="0.2">
      <c r="A450" s="5" t="s">
        <v>102</v>
      </c>
      <c r="B450" s="6">
        <v>42181</v>
      </c>
      <c r="C450" s="7">
        <v>33.549610999999999</v>
      </c>
      <c r="D450" s="7">
        <v>-112.101856</v>
      </c>
      <c r="E450" s="17">
        <v>363</v>
      </c>
      <c r="F450" t="s">
        <v>1741</v>
      </c>
      <c r="G450" t="s">
        <v>1743</v>
      </c>
      <c r="H450" t="s">
        <v>1757</v>
      </c>
      <c r="I450">
        <v>1</v>
      </c>
      <c r="J450">
        <v>12.964655996843099</v>
      </c>
      <c r="K450">
        <v>48.774111408868499</v>
      </c>
      <c r="L450">
        <v>38.261232594288401</v>
      </c>
      <c r="M450">
        <v>15.7967912474668</v>
      </c>
      <c r="N450">
        <v>17.343861292345501</v>
      </c>
      <c r="O450">
        <v>44.3230356360963</v>
      </c>
      <c r="P450">
        <v>17.189005387949599</v>
      </c>
      <c r="Q450">
        <v>5.4321735659002099</v>
      </c>
      <c r="R450">
        <v>1.2965922324727199</v>
      </c>
      <c r="S450">
        <v>2.3690000000000002</v>
      </c>
      <c r="T450">
        <v>1.014</v>
      </c>
      <c r="U450">
        <v>0.25900000000000001</v>
      </c>
      <c r="V450">
        <v>0.28499999999999998</v>
      </c>
      <c r="W450">
        <v>2.11</v>
      </c>
      <c r="X450">
        <v>0.72899999999999998</v>
      </c>
      <c r="Y450">
        <v>4.6579330422125196</v>
      </c>
      <c r="Z450">
        <v>2.2696929238985302</v>
      </c>
      <c r="AA450">
        <v>7.87</v>
      </c>
      <c r="AB450">
        <v>0.88700000000000001</v>
      </c>
      <c r="AC450">
        <v>31.533477321814299</v>
      </c>
      <c r="AD450">
        <v>24.5136186770428</v>
      </c>
      <c r="AE450">
        <v>0.191</v>
      </c>
      <c r="AF450">
        <v>7.3999999999999996E-2</v>
      </c>
      <c r="AG450">
        <v>1.2411937284627248</v>
      </c>
      <c r="AH450">
        <v>12.4031413612565</v>
      </c>
      <c r="AI450">
        <v>13.7027027027027</v>
      </c>
      <c r="AJ450" t="s">
        <v>1702</v>
      </c>
      <c r="AK450" t="s">
        <v>1703</v>
      </c>
      <c r="AL450" t="s">
        <v>1702</v>
      </c>
      <c r="AM450" t="s">
        <v>1703</v>
      </c>
      <c r="AN450" t="s">
        <v>1700</v>
      </c>
      <c r="AO450" t="s">
        <v>1700</v>
      </c>
      <c r="AP450" t="s">
        <v>1755</v>
      </c>
      <c r="AQ450" t="s">
        <v>1756</v>
      </c>
      <c r="AR450" t="s">
        <v>1700</v>
      </c>
      <c r="AS450" t="s">
        <v>1700</v>
      </c>
      <c r="AT450" t="s">
        <v>1700</v>
      </c>
      <c r="AU450" t="s">
        <v>1755</v>
      </c>
      <c r="AV450" t="s">
        <v>1756</v>
      </c>
      <c r="AW450" t="s">
        <v>1700</v>
      </c>
      <c r="AX450" t="s">
        <v>1755</v>
      </c>
      <c r="AY450" t="s">
        <v>1756</v>
      </c>
      <c r="AZ450" t="s">
        <v>1700</v>
      </c>
      <c r="BA450" t="s">
        <v>1700</v>
      </c>
      <c r="BB450" t="s">
        <v>1755</v>
      </c>
      <c r="BC450" t="s">
        <v>1756</v>
      </c>
      <c r="BD450" t="s">
        <v>1700</v>
      </c>
      <c r="BE450" t="s">
        <v>1755</v>
      </c>
      <c r="BF450" t="s">
        <v>1756</v>
      </c>
      <c r="BG450">
        <v>81</v>
      </c>
      <c r="BH450" t="s">
        <v>1713</v>
      </c>
      <c r="BI450" t="b">
        <v>0</v>
      </c>
      <c r="BJ450">
        <f t="shared" ref="BJ450:BJ513" si="7">COUNTIF(BI450:BI450,TRUE)</f>
        <v>0</v>
      </c>
    </row>
    <row r="451" spans="1:62" x14ac:dyDescent="0.2">
      <c r="A451" s="5" t="s">
        <v>102</v>
      </c>
      <c r="B451" s="6">
        <v>45092</v>
      </c>
      <c r="C451" s="7">
        <v>33.549610999999999</v>
      </c>
      <c r="D451" s="7">
        <v>-112.101856</v>
      </c>
      <c r="E451" s="17">
        <v>363</v>
      </c>
      <c r="F451" t="s">
        <v>1700</v>
      </c>
      <c r="G451" t="s">
        <v>1755</v>
      </c>
      <c r="H451" t="s">
        <v>1755</v>
      </c>
      <c r="I451">
        <v>1</v>
      </c>
      <c r="J451" t="s">
        <v>1697</v>
      </c>
      <c r="K451" t="s">
        <v>1697</v>
      </c>
      <c r="L451" t="s">
        <v>1697</v>
      </c>
      <c r="M451" t="s">
        <v>1697</v>
      </c>
      <c r="N451" t="s">
        <v>1697</v>
      </c>
      <c r="O451" t="s">
        <v>1697</v>
      </c>
      <c r="P451" t="s">
        <v>1697</v>
      </c>
      <c r="Q451" t="s">
        <v>1697</v>
      </c>
      <c r="R451" t="s">
        <v>1697</v>
      </c>
      <c r="S451" t="s">
        <v>1697</v>
      </c>
      <c r="T451" t="s">
        <v>1697</v>
      </c>
      <c r="U451" t="s">
        <v>1697</v>
      </c>
      <c r="V451" t="s">
        <v>1697</v>
      </c>
      <c r="W451" t="s">
        <v>1697</v>
      </c>
      <c r="X451" t="s">
        <v>1697</v>
      </c>
      <c r="Y451" t="s">
        <v>1697</v>
      </c>
      <c r="Z451" t="s">
        <v>1697</v>
      </c>
      <c r="AA451" t="s">
        <v>1697</v>
      </c>
      <c r="AB451" t="s">
        <v>1697</v>
      </c>
      <c r="AC451" t="s">
        <v>1697</v>
      </c>
      <c r="AD451" t="s">
        <v>1697</v>
      </c>
      <c r="AE451" t="s">
        <v>1697</v>
      </c>
      <c r="AF451" t="s">
        <v>1697</v>
      </c>
      <c r="AG451" t="s">
        <v>1697</v>
      </c>
      <c r="AH451" t="s">
        <v>1697</v>
      </c>
      <c r="AI451" t="s">
        <v>1697</v>
      </c>
      <c r="AJ451" t="s">
        <v>1702</v>
      </c>
      <c r="AK451" t="s">
        <v>1703</v>
      </c>
      <c r="AL451" t="s">
        <v>1702</v>
      </c>
      <c r="AM451" t="s">
        <v>1703</v>
      </c>
      <c r="AN451" t="s">
        <v>1700</v>
      </c>
      <c r="AO451" t="s">
        <v>1700</v>
      </c>
      <c r="AP451" t="s">
        <v>1755</v>
      </c>
      <c r="AQ451" t="s">
        <v>1756</v>
      </c>
      <c r="AR451" t="s">
        <v>1700</v>
      </c>
      <c r="AS451" t="s">
        <v>1700</v>
      </c>
      <c r="AT451" t="s">
        <v>1700</v>
      </c>
      <c r="AU451" t="s">
        <v>1755</v>
      </c>
      <c r="AV451" t="s">
        <v>1756</v>
      </c>
      <c r="AW451" t="s">
        <v>1700</v>
      </c>
      <c r="AX451" t="s">
        <v>1755</v>
      </c>
      <c r="AY451" t="s">
        <v>1756</v>
      </c>
      <c r="AZ451" t="s">
        <v>1700</v>
      </c>
      <c r="BA451" t="s">
        <v>1700</v>
      </c>
      <c r="BB451" t="s">
        <v>1755</v>
      </c>
      <c r="BC451" t="s">
        <v>1756</v>
      </c>
      <c r="BD451" t="s">
        <v>1700</v>
      </c>
      <c r="BE451" t="s">
        <v>1755</v>
      </c>
      <c r="BF451" t="s">
        <v>1756</v>
      </c>
      <c r="BG451" s="6" t="s">
        <v>1697</v>
      </c>
      <c r="BH451" s="6" t="s">
        <v>1697</v>
      </c>
      <c r="BI451" t="b">
        <v>0</v>
      </c>
      <c r="BJ451">
        <f t="shared" si="7"/>
        <v>0</v>
      </c>
    </row>
    <row r="452" spans="1:62" x14ac:dyDescent="0.2">
      <c r="A452" s="5" t="s">
        <v>103</v>
      </c>
      <c r="B452" s="6">
        <v>38467</v>
      </c>
      <c r="C452" s="7">
        <v>33.500106000000002</v>
      </c>
      <c r="D452" s="7">
        <v>-112.11153299999999</v>
      </c>
      <c r="E452" s="17">
        <v>344</v>
      </c>
      <c r="F452" t="s">
        <v>1706</v>
      </c>
      <c r="G452" t="s">
        <v>1724</v>
      </c>
      <c r="H452" t="s">
        <v>1724</v>
      </c>
      <c r="I452">
        <v>1</v>
      </c>
      <c r="J452" s="8">
        <v>12.720998566494188</v>
      </c>
      <c r="K452" s="8">
        <v>64.060041876778357</v>
      </c>
      <c r="L452" s="8">
        <v>23.218959556727455</v>
      </c>
      <c r="M452" s="8">
        <v>9.0378548941072445</v>
      </c>
      <c r="N452" s="8">
        <v>2.9685253835191441</v>
      </c>
      <c r="O452" s="8">
        <v>27.788221456107209</v>
      </c>
      <c r="P452" s="8">
        <v>45.096321783673801</v>
      </c>
      <c r="Q452" s="8">
        <v>10.434314267938527</v>
      </c>
      <c r="R452" s="8">
        <v>11.015602915549509</v>
      </c>
      <c r="S452" s="8">
        <v>1.56</v>
      </c>
      <c r="T452" s="8">
        <v>0.61</v>
      </c>
      <c r="U452" s="8">
        <v>0.222</v>
      </c>
      <c r="V452" s="8">
        <v>0.13100000000000001</v>
      </c>
      <c r="W452" s="8">
        <v>1.3380000000000001</v>
      </c>
      <c r="X452" s="8">
        <v>0.47899999999999998</v>
      </c>
      <c r="Y452" s="8">
        <v>4.5312500000000142</v>
      </c>
      <c r="Z452" s="8">
        <v>3.4883720930232704</v>
      </c>
      <c r="AA452" s="8">
        <v>8.32</v>
      </c>
      <c r="AB452">
        <v>0.24199999999999999</v>
      </c>
      <c r="AC452" s="8">
        <v>10.468749999999998</v>
      </c>
      <c r="AD452" s="8">
        <v>8.9700996677740736</v>
      </c>
      <c r="AE452" s="8">
        <v>0.127</v>
      </c>
      <c r="AF452" s="8">
        <v>5.1999999999999998E-2</v>
      </c>
      <c r="AG452" s="8">
        <v>1.1546199843019687</v>
      </c>
      <c r="AH452" s="8">
        <v>12.283464566929133</v>
      </c>
      <c r="AI452" s="8">
        <v>4.8031496062992121</v>
      </c>
      <c r="AJ452" t="s">
        <v>1694</v>
      </c>
      <c r="AK452" t="s">
        <v>1694</v>
      </c>
      <c r="AL452" t="s">
        <v>1702</v>
      </c>
      <c r="AM452" t="s">
        <v>1703</v>
      </c>
      <c r="AN452" t="s">
        <v>1700</v>
      </c>
      <c r="AO452" t="s">
        <v>1700</v>
      </c>
      <c r="AP452" t="s">
        <v>1706</v>
      </c>
      <c r="AQ452" t="s">
        <v>1735</v>
      </c>
      <c r="AR452" t="s">
        <v>1706</v>
      </c>
      <c r="AS452" t="s">
        <v>1700</v>
      </c>
      <c r="AT452" t="s">
        <v>1700</v>
      </c>
      <c r="AU452" t="s">
        <v>1706</v>
      </c>
      <c r="AV452" t="s">
        <v>1707</v>
      </c>
      <c r="AW452" t="s">
        <v>1706</v>
      </c>
      <c r="AX452" t="s">
        <v>1706</v>
      </c>
      <c r="AY452" t="s">
        <v>1723</v>
      </c>
      <c r="AZ452" t="s">
        <v>1706</v>
      </c>
      <c r="BA452" t="s">
        <v>1700</v>
      </c>
      <c r="BB452" t="s">
        <v>1706</v>
      </c>
      <c r="BC452" t="s">
        <v>1723</v>
      </c>
      <c r="BD452" t="s">
        <v>1706</v>
      </c>
      <c r="BE452" t="s">
        <v>1706</v>
      </c>
      <c r="BF452" t="s">
        <v>1707</v>
      </c>
      <c r="BG452">
        <v>71</v>
      </c>
      <c r="BH452" s="12" t="s">
        <v>1712</v>
      </c>
      <c r="BI452" t="b">
        <v>0</v>
      </c>
      <c r="BJ452">
        <f t="shared" si="7"/>
        <v>0</v>
      </c>
    </row>
    <row r="453" spans="1:62" x14ac:dyDescent="0.2">
      <c r="A453" s="5" t="s">
        <v>103</v>
      </c>
      <c r="B453" s="6">
        <v>40325</v>
      </c>
      <c r="C453" s="7">
        <v>33.500106000000002</v>
      </c>
      <c r="D453" s="7">
        <v>-112.11153299999999</v>
      </c>
      <c r="E453" s="17">
        <v>344</v>
      </c>
      <c r="F453" t="s">
        <v>1706</v>
      </c>
      <c r="G453" t="s">
        <v>1724</v>
      </c>
      <c r="H453" t="s">
        <v>1724</v>
      </c>
      <c r="I453">
        <v>1</v>
      </c>
      <c r="J453" s="8">
        <v>15.176900821392563</v>
      </c>
      <c r="K453" s="8">
        <v>51.789333265467</v>
      </c>
      <c r="L453" s="8">
        <v>33.033765913140442</v>
      </c>
      <c r="M453" s="8">
        <v>2.7830970786449458</v>
      </c>
      <c r="N453" s="8">
        <v>5.0000000000000001E-3</v>
      </c>
      <c r="O453" s="8">
        <v>322.67792216173291</v>
      </c>
      <c r="P453" s="8">
        <v>173.15211007798592</v>
      </c>
      <c r="Q453" s="8">
        <v>36.511006892600072</v>
      </c>
      <c r="R453" s="8">
        <v>27.466962290207849</v>
      </c>
      <c r="S453" s="8">
        <v>0.92600000000000005</v>
      </c>
      <c r="T453" s="8">
        <v>0.67500000000000004</v>
      </c>
      <c r="U453" s="8">
        <v>0.112</v>
      </c>
      <c r="V453" s="8">
        <v>0.16700000000000001</v>
      </c>
      <c r="W453" s="8">
        <v>0.81400000000000006</v>
      </c>
      <c r="X453" s="8">
        <v>0.50800000000000001</v>
      </c>
      <c r="Y453" s="8">
        <v>4.0665434380776295</v>
      </c>
      <c r="Z453" s="8">
        <v>3.6858974358974428</v>
      </c>
      <c r="AA453" s="8">
        <v>8</v>
      </c>
      <c r="AB453">
        <v>1.3260000000000001</v>
      </c>
      <c r="AC453" s="8">
        <v>3.88170055452865</v>
      </c>
      <c r="AD453" s="8">
        <v>6.570512820512822</v>
      </c>
      <c r="AE453" s="8">
        <v>0.10299999999999999</v>
      </c>
      <c r="AF453" s="8">
        <v>6.7000000000000004E-2</v>
      </c>
      <c r="AG453" s="8">
        <v>1.5754317618429996</v>
      </c>
      <c r="AH453" s="8">
        <v>8.9902912621359228</v>
      </c>
      <c r="AI453" s="8">
        <v>6.5533980582524283</v>
      </c>
      <c r="AJ453" t="s">
        <v>1694</v>
      </c>
      <c r="AK453" t="s">
        <v>1694</v>
      </c>
      <c r="AL453" t="s">
        <v>1702</v>
      </c>
      <c r="AM453" t="s">
        <v>1703</v>
      </c>
      <c r="AN453" t="s">
        <v>1700</v>
      </c>
      <c r="AO453" t="s">
        <v>1700</v>
      </c>
      <c r="AP453" t="s">
        <v>1706</v>
      </c>
      <c r="AQ453" t="s">
        <v>1735</v>
      </c>
      <c r="AR453" t="s">
        <v>1706</v>
      </c>
      <c r="AS453" t="s">
        <v>1700</v>
      </c>
      <c r="AT453" t="s">
        <v>1700</v>
      </c>
      <c r="AU453" t="s">
        <v>1706</v>
      </c>
      <c r="AV453" t="s">
        <v>1707</v>
      </c>
      <c r="AW453" t="s">
        <v>1706</v>
      </c>
      <c r="AX453" t="s">
        <v>1706</v>
      </c>
      <c r="AY453" t="s">
        <v>1723</v>
      </c>
      <c r="AZ453" t="s">
        <v>1706</v>
      </c>
      <c r="BA453" t="s">
        <v>1700</v>
      </c>
      <c r="BB453" t="s">
        <v>1706</v>
      </c>
      <c r="BC453" t="s">
        <v>1723</v>
      </c>
      <c r="BD453" t="s">
        <v>1706</v>
      </c>
      <c r="BE453" t="s">
        <v>1706</v>
      </c>
      <c r="BF453" t="s">
        <v>1707</v>
      </c>
      <c r="BG453">
        <v>76</v>
      </c>
      <c r="BH453" s="12" t="s">
        <v>1712</v>
      </c>
      <c r="BI453" t="b">
        <v>0</v>
      </c>
      <c r="BJ453">
        <f t="shared" si="7"/>
        <v>0</v>
      </c>
    </row>
    <row r="454" spans="1:62" x14ac:dyDescent="0.2">
      <c r="A454" s="5" t="s">
        <v>104</v>
      </c>
      <c r="B454" s="6">
        <v>38453</v>
      </c>
      <c r="C454" s="7">
        <v>33.475391999999999</v>
      </c>
      <c r="D454" s="7">
        <v>-112.13403099999999</v>
      </c>
      <c r="E454" s="17">
        <v>331</v>
      </c>
      <c r="F454" t="s">
        <v>1700</v>
      </c>
      <c r="G454" t="s">
        <v>1699</v>
      </c>
      <c r="H454" t="s">
        <v>1701</v>
      </c>
      <c r="I454">
        <v>1</v>
      </c>
      <c r="J454" s="8">
        <v>34.297446927891812</v>
      </c>
      <c r="K454" s="8">
        <v>26.614120219439499</v>
      </c>
      <c r="L454" s="8">
        <v>39.088432852668689</v>
      </c>
      <c r="M454" s="8">
        <v>15.501117208244235</v>
      </c>
      <c r="N454" s="8">
        <v>1.1025546411230078</v>
      </c>
      <c r="O454" s="8">
        <v>14.651474382185659</v>
      </c>
      <c r="P454" s="8">
        <v>3.5212838850866071</v>
      </c>
      <c r="Q454" s="8">
        <v>20.18569411799924</v>
      </c>
      <c r="R454" s="8">
        <v>1.3178153091517857</v>
      </c>
      <c r="S454" s="8">
        <v>1.6759999999999999</v>
      </c>
      <c r="T454" s="8">
        <v>1.1279999999999999</v>
      </c>
      <c r="U454" s="8">
        <v>0.35599999999999998</v>
      </c>
      <c r="V454" s="8">
        <v>0.22800000000000001</v>
      </c>
      <c r="W454" s="8">
        <v>1.3199999999999998</v>
      </c>
      <c r="X454" s="8">
        <v>0.89999999999999991</v>
      </c>
      <c r="Y454" s="8">
        <v>5.676328502415446</v>
      </c>
      <c r="Z454" s="8">
        <v>5.1789077212805932</v>
      </c>
      <c r="AA454" s="8">
        <v>7.99</v>
      </c>
      <c r="AB454">
        <v>0.81200000000000006</v>
      </c>
      <c r="AC454" s="8">
        <v>10.628019323671507</v>
      </c>
      <c r="AD454" s="8">
        <v>17.890772128060267</v>
      </c>
      <c r="AE454" s="8">
        <v>0.121</v>
      </c>
      <c r="AF454" s="8">
        <v>8.4000000000000005E-2</v>
      </c>
      <c r="AG454" s="8">
        <v>1.1531995824726988</v>
      </c>
      <c r="AH454" s="8">
        <v>13.851239669421487</v>
      </c>
      <c r="AI454" s="8">
        <v>9.322314049586776</v>
      </c>
      <c r="AJ454" t="s">
        <v>1702</v>
      </c>
      <c r="AK454" t="s">
        <v>1703</v>
      </c>
      <c r="AL454" t="s">
        <v>1702</v>
      </c>
      <c r="AM454" t="s">
        <v>1703</v>
      </c>
      <c r="AN454" t="s">
        <v>1700</v>
      </c>
      <c r="AO454" t="s">
        <v>1700</v>
      </c>
      <c r="AP454" t="s">
        <v>1702</v>
      </c>
      <c r="AQ454" t="s">
        <v>1725</v>
      </c>
      <c r="AR454" t="s">
        <v>1703</v>
      </c>
      <c r="AS454" t="s">
        <v>1700</v>
      </c>
      <c r="AT454" t="s">
        <v>1700</v>
      </c>
      <c r="AU454" t="s">
        <v>1734</v>
      </c>
      <c r="AV454" t="s">
        <v>1734</v>
      </c>
      <c r="AW454" t="s">
        <v>1700</v>
      </c>
      <c r="AX454" t="s">
        <v>1732</v>
      </c>
      <c r="AY454" t="s">
        <v>1733</v>
      </c>
      <c r="AZ454" t="s">
        <v>1700</v>
      </c>
      <c r="BA454" t="s">
        <v>1700</v>
      </c>
      <c r="BB454" t="s">
        <v>1732</v>
      </c>
      <c r="BC454" t="s">
        <v>1733</v>
      </c>
      <c r="BD454" t="s">
        <v>1700</v>
      </c>
      <c r="BE454" t="s">
        <v>1732</v>
      </c>
      <c r="BF454" t="s">
        <v>1733</v>
      </c>
      <c r="BG454">
        <v>35</v>
      </c>
      <c r="BH454" s="12" t="s">
        <v>1709</v>
      </c>
      <c r="BI454" t="b">
        <v>0</v>
      </c>
      <c r="BJ454">
        <f t="shared" si="7"/>
        <v>0</v>
      </c>
    </row>
    <row r="455" spans="1:62" x14ac:dyDescent="0.2">
      <c r="A455" s="5" t="s">
        <v>104</v>
      </c>
      <c r="B455" s="6">
        <v>40255</v>
      </c>
      <c r="C455" s="7">
        <v>33.475391999999999</v>
      </c>
      <c r="D455" s="7">
        <v>-112.13403099999999</v>
      </c>
      <c r="E455" s="17">
        <v>331</v>
      </c>
      <c r="F455" t="s">
        <v>1700</v>
      </c>
      <c r="G455" t="s">
        <v>1699</v>
      </c>
      <c r="H455" t="s">
        <v>1701</v>
      </c>
      <c r="I455">
        <v>1</v>
      </c>
      <c r="J455" s="8">
        <v>17.373482085394834</v>
      </c>
      <c r="K455" s="8">
        <v>47.130309046407326</v>
      </c>
      <c r="L455" s="8">
        <v>35.49620886819784</v>
      </c>
      <c r="M455" s="8">
        <v>1.9327509572829016</v>
      </c>
      <c r="N455" s="8">
        <v>0.54837767271198323</v>
      </c>
      <c r="O455" s="8">
        <v>162.54516418990096</v>
      </c>
      <c r="P455" s="8">
        <v>46.599620139409801</v>
      </c>
      <c r="Q455" s="8">
        <v>20.152063318731194</v>
      </c>
      <c r="R455" s="8">
        <v>8.18198819478026</v>
      </c>
      <c r="S455" s="8">
        <v>1.3720000000000001</v>
      </c>
      <c r="T455" s="8">
        <v>0.997</v>
      </c>
      <c r="U455" s="8">
        <v>0.45600000000000002</v>
      </c>
      <c r="V455" s="8">
        <v>0.495</v>
      </c>
      <c r="W455" s="8">
        <v>0.91600000000000015</v>
      </c>
      <c r="X455" s="8">
        <v>0.502</v>
      </c>
      <c r="Y455" s="8">
        <v>5.027932960893847</v>
      </c>
      <c r="Z455" s="8">
        <v>4.8231511254019397</v>
      </c>
      <c r="AA455" s="8">
        <v>8.31</v>
      </c>
      <c r="AB455">
        <v>1.4730000000000001</v>
      </c>
      <c r="AC455" s="8">
        <v>5.307262569832413</v>
      </c>
      <c r="AD455" s="8">
        <v>7.0739549839228211</v>
      </c>
      <c r="AE455" s="8">
        <v>9.9000000000000005E-2</v>
      </c>
      <c r="AF455" s="8">
        <v>5.0999999999999997E-2</v>
      </c>
      <c r="AG455" s="8">
        <v>1.5174472842723723</v>
      </c>
      <c r="AH455" s="8">
        <v>13.85858585858586</v>
      </c>
      <c r="AI455" s="8">
        <v>10.070707070707071</v>
      </c>
      <c r="AJ455" t="s">
        <v>1702</v>
      </c>
      <c r="AK455" t="s">
        <v>1703</v>
      </c>
      <c r="AL455" t="s">
        <v>1702</v>
      </c>
      <c r="AM455" t="s">
        <v>1703</v>
      </c>
      <c r="AN455" t="s">
        <v>1700</v>
      </c>
      <c r="AO455" t="s">
        <v>1700</v>
      </c>
      <c r="AP455" t="s">
        <v>1702</v>
      </c>
      <c r="AQ455" t="s">
        <v>1725</v>
      </c>
      <c r="AR455" t="s">
        <v>1703</v>
      </c>
      <c r="AS455" t="s">
        <v>1700</v>
      </c>
      <c r="AT455" t="s">
        <v>1700</v>
      </c>
      <c r="AU455" t="s">
        <v>1734</v>
      </c>
      <c r="AV455" t="s">
        <v>1734</v>
      </c>
      <c r="AW455" t="s">
        <v>1700</v>
      </c>
      <c r="AX455" t="s">
        <v>1732</v>
      </c>
      <c r="AY455" t="s">
        <v>1733</v>
      </c>
      <c r="AZ455" t="s">
        <v>1700</v>
      </c>
      <c r="BA455" t="s">
        <v>1700</v>
      </c>
      <c r="BB455" t="s">
        <v>1732</v>
      </c>
      <c r="BC455" t="s">
        <v>1733</v>
      </c>
      <c r="BD455" t="s">
        <v>1700</v>
      </c>
      <c r="BE455" t="s">
        <v>1732</v>
      </c>
      <c r="BF455" t="s">
        <v>1733</v>
      </c>
      <c r="BG455">
        <v>40</v>
      </c>
      <c r="BH455" s="12" t="s">
        <v>1709</v>
      </c>
      <c r="BI455" t="b">
        <v>0</v>
      </c>
      <c r="BJ455">
        <f t="shared" si="7"/>
        <v>0</v>
      </c>
    </row>
    <row r="456" spans="1:62" x14ac:dyDescent="0.2">
      <c r="A456" s="5" t="s">
        <v>104</v>
      </c>
      <c r="B456" s="6">
        <v>42061</v>
      </c>
      <c r="C456" s="7">
        <v>33.475391999999999</v>
      </c>
      <c r="D456" s="7">
        <v>-112.13403099999999</v>
      </c>
      <c r="E456" s="17">
        <v>331</v>
      </c>
      <c r="F456" t="s">
        <v>1700</v>
      </c>
      <c r="G456" t="s">
        <v>1699</v>
      </c>
      <c r="H456" t="s">
        <v>1701</v>
      </c>
      <c r="I456">
        <v>1</v>
      </c>
      <c r="J456">
        <v>29.5794449030885</v>
      </c>
      <c r="K456">
        <v>24.6386557420016</v>
      </c>
      <c r="L456">
        <v>45.781899354909903</v>
      </c>
      <c r="M456">
        <v>2.2688863623576498</v>
      </c>
      <c r="N456">
        <v>2.2913767364667499</v>
      </c>
      <c r="O456">
        <v>112.841958906637</v>
      </c>
      <c r="P456">
        <v>19.950780205443301</v>
      </c>
      <c r="Q456">
        <v>8.2910914217752403</v>
      </c>
      <c r="R456">
        <v>0.93722301680598497</v>
      </c>
      <c r="S456">
        <v>1.9670000000000001</v>
      </c>
      <c r="T456">
        <v>0.73299999999999998</v>
      </c>
      <c r="U456">
        <v>0.25900000000000001</v>
      </c>
      <c r="V456">
        <v>0.42</v>
      </c>
      <c r="W456">
        <v>1.708</v>
      </c>
      <c r="X456">
        <v>0.313</v>
      </c>
      <c r="Y456">
        <v>4.1666666666666599</v>
      </c>
      <c r="Z456">
        <v>2.4691358024691299</v>
      </c>
      <c r="AA456">
        <v>8.24</v>
      </c>
      <c r="AB456">
        <v>0.85699999999999998</v>
      </c>
      <c r="AC456">
        <v>20.935412026725999</v>
      </c>
      <c r="AD456">
        <v>18.489065606361802</v>
      </c>
      <c r="AE456">
        <v>0.16200000000000001</v>
      </c>
      <c r="AF456">
        <v>2.5000000000000001E-2</v>
      </c>
      <c r="AG456">
        <v>1.3612867025435753</v>
      </c>
      <c r="AH456">
        <v>12.141975308641999</v>
      </c>
      <c r="AI456">
        <v>29.32</v>
      </c>
      <c r="AJ456" t="s">
        <v>1702</v>
      </c>
      <c r="AK456" t="s">
        <v>1703</v>
      </c>
      <c r="AL456" t="s">
        <v>1702</v>
      </c>
      <c r="AM456" t="s">
        <v>1703</v>
      </c>
      <c r="AN456" t="s">
        <v>1700</v>
      </c>
      <c r="AO456" t="s">
        <v>1700</v>
      </c>
      <c r="AP456" t="s">
        <v>1702</v>
      </c>
      <c r="AQ456" t="s">
        <v>1725</v>
      </c>
      <c r="AR456" t="s">
        <v>1703</v>
      </c>
      <c r="AS456" t="s">
        <v>1700</v>
      </c>
      <c r="AT456" t="s">
        <v>1700</v>
      </c>
      <c r="AU456" t="s">
        <v>1734</v>
      </c>
      <c r="AV456" t="s">
        <v>1734</v>
      </c>
      <c r="AW456" t="s">
        <v>1700</v>
      </c>
      <c r="AX456" t="s">
        <v>1732</v>
      </c>
      <c r="AY456" t="s">
        <v>1733</v>
      </c>
      <c r="AZ456" t="s">
        <v>1700</v>
      </c>
      <c r="BA456" t="s">
        <v>1700</v>
      </c>
      <c r="BB456" t="s">
        <v>1732</v>
      </c>
      <c r="BC456" t="s">
        <v>1733</v>
      </c>
      <c r="BD456" t="s">
        <v>1700</v>
      </c>
      <c r="BE456" t="s">
        <v>1732</v>
      </c>
      <c r="BF456" t="s">
        <v>1733</v>
      </c>
      <c r="BG456">
        <v>45</v>
      </c>
      <c r="BH456" t="s">
        <v>1729</v>
      </c>
      <c r="BI456" t="b">
        <v>0</v>
      </c>
      <c r="BJ456">
        <f t="shared" si="7"/>
        <v>0</v>
      </c>
    </row>
    <row r="457" spans="1:62" x14ac:dyDescent="0.2">
      <c r="A457" s="5" t="s">
        <v>104</v>
      </c>
      <c r="B457" s="6">
        <v>45058</v>
      </c>
      <c r="C457" s="7">
        <v>33.475391999999999</v>
      </c>
      <c r="D457" s="7">
        <v>-112.13403099999999</v>
      </c>
      <c r="E457" s="17">
        <v>331</v>
      </c>
      <c r="F457" t="s">
        <v>1700</v>
      </c>
      <c r="G457" t="s">
        <v>1699</v>
      </c>
      <c r="H457" t="s">
        <v>1701</v>
      </c>
      <c r="I457">
        <v>1</v>
      </c>
      <c r="J457" t="s">
        <v>1697</v>
      </c>
      <c r="K457" t="s">
        <v>1697</v>
      </c>
      <c r="L457" t="s">
        <v>1697</v>
      </c>
      <c r="M457" t="s">
        <v>1697</v>
      </c>
      <c r="N457" t="s">
        <v>1697</v>
      </c>
      <c r="O457" t="s">
        <v>1697</v>
      </c>
      <c r="P457" t="s">
        <v>1697</v>
      </c>
      <c r="Q457" t="s">
        <v>1697</v>
      </c>
      <c r="R457" t="s">
        <v>1697</v>
      </c>
      <c r="S457" t="s">
        <v>1697</v>
      </c>
      <c r="T457" t="s">
        <v>1697</v>
      </c>
      <c r="U457" t="s">
        <v>1697</v>
      </c>
      <c r="V457" t="s">
        <v>1697</v>
      </c>
      <c r="W457" t="s">
        <v>1697</v>
      </c>
      <c r="X457" t="s">
        <v>1697</v>
      </c>
      <c r="Y457" t="s">
        <v>1697</v>
      </c>
      <c r="Z457" t="s">
        <v>1697</v>
      </c>
      <c r="AA457" t="s">
        <v>1697</v>
      </c>
      <c r="AB457" t="s">
        <v>1697</v>
      </c>
      <c r="AC457" t="s">
        <v>1697</v>
      </c>
      <c r="AD457" t="s">
        <v>1697</v>
      </c>
      <c r="AE457" t="s">
        <v>1697</v>
      </c>
      <c r="AF457" t="s">
        <v>1697</v>
      </c>
      <c r="AG457" t="s">
        <v>1697</v>
      </c>
      <c r="AH457" t="s">
        <v>1697</v>
      </c>
      <c r="AI457" t="s">
        <v>1697</v>
      </c>
      <c r="AJ457" t="s">
        <v>1702</v>
      </c>
      <c r="AK457" t="s">
        <v>1703</v>
      </c>
      <c r="AL457" t="s">
        <v>1702</v>
      </c>
      <c r="AM457" t="s">
        <v>1703</v>
      </c>
      <c r="AN457" t="s">
        <v>1700</v>
      </c>
      <c r="AO457" t="s">
        <v>1700</v>
      </c>
      <c r="AP457" t="s">
        <v>1702</v>
      </c>
      <c r="AQ457" t="s">
        <v>1725</v>
      </c>
      <c r="AR457" t="s">
        <v>1703</v>
      </c>
      <c r="AS457" t="s">
        <v>1700</v>
      </c>
      <c r="AT457" t="s">
        <v>1700</v>
      </c>
      <c r="AU457" t="s">
        <v>1734</v>
      </c>
      <c r="AV457" t="s">
        <v>1734</v>
      </c>
      <c r="AW457" t="s">
        <v>1700</v>
      </c>
      <c r="AX457" t="s">
        <v>1732</v>
      </c>
      <c r="AY457" t="s">
        <v>1733</v>
      </c>
      <c r="AZ457" t="s">
        <v>1700</v>
      </c>
      <c r="BA457" t="s">
        <v>1700</v>
      </c>
      <c r="BB457" t="s">
        <v>1732</v>
      </c>
      <c r="BC457" t="s">
        <v>1733</v>
      </c>
      <c r="BD457" t="s">
        <v>1700</v>
      </c>
      <c r="BE457" t="s">
        <v>1732</v>
      </c>
      <c r="BF457" t="s">
        <v>1733</v>
      </c>
      <c r="BG457" s="6" t="s">
        <v>1697</v>
      </c>
      <c r="BH457" s="6" t="s">
        <v>1697</v>
      </c>
      <c r="BI457" t="b">
        <v>0</v>
      </c>
      <c r="BJ457">
        <f t="shared" si="7"/>
        <v>0</v>
      </c>
    </row>
    <row r="458" spans="1:62" x14ac:dyDescent="0.2">
      <c r="A458" s="5" t="s">
        <v>105</v>
      </c>
      <c r="B458" s="6">
        <v>38474</v>
      </c>
      <c r="C458" s="7">
        <v>33.455086000000001</v>
      </c>
      <c r="D458" s="7">
        <v>-112.13447499999999</v>
      </c>
      <c r="E458" s="17">
        <v>324</v>
      </c>
      <c r="F458" t="s">
        <v>1714</v>
      </c>
      <c r="G458" t="s">
        <v>1714</v>
      </c>
      <c r="H458" t="s">
        <v>1740</v>
      </c>
      <c r="I458">
        <v>1</v>
      </c>
      <c r="J458" s="8">
        <v>16.913506620220321</v>
      </c>
      <c r="K458" s="8">
        <v>65.213270746566806</v>
      </c>
      <c r="L458" s="8">
        <v>17.873222633212876</v>
      </c>
      <c r="M458" s="8">
        <v>6.287356824304668</v>
      </c>
      <c r="N458" s="8">
        <v>1.7937594682738995</v>
      </c>
      <c r="O458" s="8">
        <v>319.74618259506025</v>
      </c>
      <c r="P458" s="8">
        <v>166.73809602818744</v>
      </c>
      <c r="Q458" s="8">
        <v>35.535511452585339</v>
      </c>
      <c r="R458" s="8">
        <v>9.5736211931020048</v>
      </c>
      <c r="S458" s="8">
        <v>1.946</v>
      </c>
      <c r="T458" s="8">
        <v>1.0109999999999999</v>
      </c>
      <c r="U458" s="8">
        <v>0.45</v>
      </c>
      <c r="V458" s="8">
        <v>0.58199999999999996</v>
      </c>
      <c r="W458" s="8">
        <v>1.496</v>
      </c>
      <c r="X458" s="8">
        <v>0.42899999999999994</v>
      </c>
      <c r="Y458" s="8">
        <v>5.538461538461557</v>
      </c>
      <c r="Z458" s="8">
        <v>4.7556142668427928</v>
      </c>
      <c r="AA458" s="8">
        <v>8.1300000000000008</v>
      </c>
      <c r="AB458">
        <v>0.39400000000000002</v>
      </c>
      <c r="AC458" s="8">
        <v>5.3846153846153797</v>
      </c>
      <c r="AD458" s="8">
        <v>12.41743725231175</v>
      </c>
      <c r="AE458" s="8">
        <v>0.14099999999999999</v>
      </c>
      <c r="AF458" s="8">
        <v>4.9000000000000002E-2</v>
      </c>
      <c r="AG458" s="8">
        <v>1.4427068030121506</v>
      </c>
      <c r="AH458" s="8">
        <v>13.801418439716313</v>
      </c>
      <c r="AI458" s="8">
        <v>7.1702127659574471</v>
      </c>
      <c r="AJ458" t="s">
        <v>1702</v>
      </c>
      <c r="AK458" t="s">
        <v>1703</v>
      </c>
      <c r="AL458" t="s">
        <v>1702</v>
      </c>
      <c r="AM458" t="s">
        <v>1703</v>
      </c>
      <c r="AN458" t="s">
        <v>1700</v>
      </c>
      <c r="AO458" t="s">
        <v>1700</v>
      </c>
      <c r="AP458" t="s">
        <v>1755</v>
      </c>
      <c r="AQ458" t="s">
        <v>1756</v>
      </c>
      <c r="AR458" t="s">
        <v>1700</v>
      </c>
      <c r="AS458" t="s">
        <v>1700</v>
      </c>
      <c r="AT458" t="s">
        <v>1700</v>
      </c>
      <c r="AU458" t="s">
        <v>1755</v>
      </c>
      <c r="AV458" t="s">
        <v>1756</v>
      </c>
      <c r="AW458" t="s">
        <v>1700</v>
      </c>
      <c r="AX458" t="s">
        <v>1755</v>
      </c>
      <c r="AY458" t="s">
        <v>1756</v>
      </c>
      <c r="AZ458" t="s">
        <v>1700</v>
      </c>
      <c r="BA458" t="s">
        <v>1700</v>
      </c>
      <c r="BB458" t="s">
        <v>1755</v>
      </c>
      <c r="BC458" t="s">
        <v>1756</v>
      </c>
      <c r="BD458" t="s">
        <v>1700</v>
      </c>
      <c r="BE458" t="s">
        <v>1755</v>
      </c>
      <c r="BF458" t="s">
        <v>1756</v>
      </c>
      <c r="BG458">
        <v>71</v>
      </c>
      <c r="BH458" s="12" t="s">
        <v>1712</v>
      </c>
      <c r="BI458" t="b">
        <v>0</v>
      </c>
      <c r="BJ458">
        <f t="shared" si="7"/>
        <v>0</v>
      </c>
    </row>
    <row r="459" spans="1:62" x14ac:dyDescent="0.2">
      <c r="A459" s="5" t="s">
        <v>105</v>
      </c>
      <c r="B459" s="6">
        <v>40255</v>
      </c>
      <c r="C459" s="7">
        <v>33.455086000000001</v>
      </c>
      <c r="D459" s="7">
        <v>-112.13447499999999</v>
      </c>
      <c r="E459" s="17">
        <v>324</v>
      </c>
      <c r="F459" t="s">
        <v>1714</v>
      </c>
      <c r="G459" t="s">
        <v>1714</v>
      </c>
      <c r="H459" t="s">
        <v>1740</v>
      </c>
      <c r="I459">
        <v>1</v>
      </c>
      <c r="J459" s="8">
        <v>19.067100192712559</v>
      </c>
      <c r="K459" s="8">
        <v>28.605579153748295</v>
      </c>
      <c r="L459" s="8">
        <v>52.327320653539147</v>
      </c>
      <c r="M459" s="8">
        <v>1.2091400329498387</v>
      </c>
      <c r="N459" s="8">
        <v>2.2138941470787712</v>
      </c>
      <c r="O459" s="8">
        <v>57.479268730525909</v>
      </c>
      <c r="P459" s="8">
        <v>92.012056323737966</v>
      </c>
      <c r="Q459" s="8">
        <v>29.510646095264104</v>
      </c>
      <c r="R459" s="8">
        <v>23.157145951933646</v>
      </c>
      <c r="S459" s="8">
        <v>1.401</v>
      </c>
      <c r="T459" s="8">
        <v>1.2070000000000001</v>
      </c>
      <c r="U459" s="8">
        <v>0.432</v>
      </c>
      <c r="V459" s="8">
        <v>0.58199999999999996</v>
      </c>
      <c r="W459" s="8">
        <v>0.96900000000000008</v>
      </c>
      <c r="X459" s="8">
        <v>0.62500000000000011</v>
      </c>
      <c r="Y459" s="8">
        <v>4.8672566371681558</v>
      </c>
      <c r="Z459" s="8">
        <v>6.2500000000000098</v>
      </c>
      <c r="AA459" s="8">
        <v>7.96</v>
      </c>
      <c r="AB459">
        <v>2.2599999999999998</v>
      </c>
      <c r="AC459" s="8">
        <v>6.6371681415929151</v>
      </c>
      <c r="AD459" s="8">
        <v>9.9537037037036971</v>
      </c>
      <c r="AE459" s="8">
        <v>6.7000000000000004E-2</v>
      </c>
      <c r="AF459" s="8">
        <v>7.8E-2</v>
      </c>
      <c r="AG459" s="8">
        <v>1.6531370942512102</v>
      </c>
      <c r="AH459" s="8">
        <v>20.910447761194028</v>
      </c>
      <c r="AI459" s="8">
        <v>18.014925373134329</v>
      </c>
      <c r="AJ459" t="s">
        <v>1702</v>
      </c>
      <c r="AK459" t="s">
        <v>1703</v>
      </c>
      <c r="AL459" t="s">
        <v>1702</v>
      </c>
      <c r="AM459" t="s">
        <v>1703</v>
      </c>
      <c r="AN459" t="s">
        <v>1700</v>
      </c>
      <c r="AO459" t="s">
        <v>1700</v>
      </c>
      <c r="AP459" t="s">
        <v>1755</v>
      </c>
      <c r="AQ459" t="s">
        <v>1756</v>
      </c>
      <c r="AR459" t="s">
        <v>1700</v>
      </c>
      <c r="AS459" t="s">
        <v>1700</v>
      </c>
      <c r="AT459" t="s">
        <v>1700</v>
      </c>
      <c r="AU459" t="s">
        <v>1755</v>
      </c>
      <c r="AV459" t="s">
        <v>1756</v>
      </c>
      <c r="AW459" t="s">
        <v>1700</v>
      </c>
      <c r="AX459" t="s">
        <v>1755</v>
      </c>
      <c r="AY459" t="s">
        <v>1756</v>
      </c>
      <c r="AZ459" t="s">
        <v>1700</v>
      </c>
      <c r="BA459" t="s">
        <v>1700</v>
      </c>
      <c r="BB459" t="s">
        <v>1755</v>
      </c>
      <c r="BC459" t="s">
        <v>1756</v>
      </c>
      <c r="BD459" t="s">
        <v>1700</v>
      </c>
      <c r="BE459" t="s">
        <v>1755</v>
      </c>
      <c r="BF459" t="s">
        <v>1756</v>
      </c>
      <c r="BG459">
        <v>76</v>
      </c>
      <c r="BH459" s="12" t="s">
        <v>1712</v>
      </c>
      <c r="BI459" t="b">
        <v>0</v>
      </c>
      <c r="BJ459">
        <f t="shared" si="7"/>
        <v>0</v>
      </c>
    </row>
    <row r="460" spans="1:62" x14ac:dyDescent="0.2">
      <c r="A460" s="5" t="s">
        <v>105</v>
      </c>
      <c r="B460" s="6">
        <v>42065</v>
      </c>
      <c r="C460" s="7">
        <v>33.455086000000001</v>
      </c>
      <c r="D460" s="7">
        <v>-112.13447499999999</v>
      </c>
      <c r="E460" s="17">
        <v>324</v>
      </c>
      <c r="F460" t="s">
        <v>1697</v>
      </c>
      <c r="G460" t="s">
        <v>1697</v>
      </c>
      <c r="H460" t="s">
        <v>1697</v>
      </c>
      <c r="I460" t="s">
        <v>1697</v>
      </c>
      <c r="J460" t="s">
        <v>1697</v>
      </c>
      <c r="K460" t="s">
        <v>1697</v>
      </c>
      <c r="L460" t="s">
        <v>1697</v>
      </c>
      <c r="M460" t="s">
        <v>1697</v>
      </c>
      <c r="N460" t="s">
        <v>1697</v>
      </c>
      <c r="O460" t="s">
        <v>1697</v>
      </c>
      <c r="P460" t="s">
        <v>1697</v>
      </c>
      <c r="Q460" t="s">
        <v>1697</v>
      </c>
      <c r="R460" t="s">
        <v>1697</v>
      </c>
      <c r="S460" t="s">
        <v>1697</v>
      </c>
      <c r="T460" t="s">
        <v>1697</v>
      </c>
      <c r="U460" t="s">
        <v>1697</v>
      </c>
      <c r="V460" t="s">
        <v>1697</v>
      </c>
      <c r="W460" t="s">
        <v>1697</v>
      </c>
      <c r="X460" t="s">
        <v>1697</v>
      </c>
      <c r="Y460" t="s">
        <v>1697</v>
      </c>
      <c r="Z460" t="s">
        <v>1697</v>
      </c>
      <c r="AA460" t="s">
        <v>1697</v>
      </c>
      <c r="AB460" t="s">
        <v>1697</v>
      </c>
      <c r="AC460" t="s">
        <v>1697</v>
      </c>
      <c r="AD460" t="s">
        <v>1697</v>
      </c>
      <c r="AE460" t="s">
        <v>1697</v>
      </c>
      <c r="AF460" t="s">
        <v>1697</v>
      </c>
      <c r="AG460" t="s">
        <v>1697</v>
      </c>
      <c r="AH460" t="s">
        <v>1697</v>
      </c>
      <c r="AI460" t="s">
        <v>1697</v>
      </c>
      <c r="AJ460" t="s">
        <v>1702</v>
      </c>
      <c r="AK460" t="s">
        <v>1703</v>
      </c>
      <c r="AL460" t="s">
        <v>1702</v>
      </c>
      <c r="AM460" t="s">
        <v>1703</v>
      </c>
      <c r="AN460" t="s">
        <v>1700</v>
      </c>
      <c r="AO460" t="s">
        <v>1700</v>
      </c>
      <c r="AP460" t="s">
        <v>1755</v>
      </c>
      <c r="AQ460" t="s">
        <v>1756</v>
      </c>
      <c r="AR460" t="s">
        <v>1700</v>
      </c>
      <c r="AS460" t="s">
        <v>1700</v>
      </c>
      <c r="AT460" t="s">
        <v>1700</v>
      </c>
      <c r="AU460" t="s">
        <v>1755</v>
      </c>
      <c r="AV460" t="s">
        <v>1756</v>
      </c>
      <c r="AW460" t="s">
        <v>1700</v>
      </c>
      <c r="AX460" t="s">
        <v>1755</v>
      </c>
      <c r="AY460" t="s">
        <v>1756</v>
      </c>
      <c r="AZ460" t="s">
        <v>1700</v>
      </c>
      <c r="BA460" t="s">
        <v>1700</v>
      </c>
      <c r="BB460" t="s">
        <v>1755</v>
      </c>
      <c r="BC460" t="s">
        <v>1756</v>
      </c>
      <c r="BD460" t="s">
        <v>1700</v>
      </c>
      <c r="BE460" t="s">
        <v>1755</v>
      </c>
      <c r="BF460" t="s">
        <v>1756</v>
      </c>
      <c r="BG460">
        <v>81</v>
      </c>
      <c r="BH460" t="s">
        <v>1713</v>
      </c>
      <c r="BI460" t="b">
        <v>0</v>
      </c>
      <c r="BJ460">
        <f t="shared" si="7"/>
        <v>0</v>
      </c>
    </row>
    <row r="461" spans="1:62" x14ac:dyDescent="0.2">
      <c r="A461" s="5" t="s">
        <v>106</v>
      </c>
      <c r="B461" s="6">
        <v>36609</v>
      </c>
      <c r="C461" s="7">
        <v>33.406860999999999</v>
      </c>
      <c r="D461" s="7">
        <v>-112.112694</v>
      </c>
      <c r="E461" s="17">
        <v>319</v>
      </c>
      <c r="F461" t="s">
        <v>1700</v>
      </c>
      <c r="G461" t="s">
        <v>1699</v>
      </c>
      <c r="H461" t="s">
        <v>1701</v>
      </c>
      <c r="I461">
        <v>1</v>
      </c>
      <c r="J461" s="8">
        <v>11.373442025321578</v>
      </c>
      <c r="K461" s="8">
        <v>59.338257764187198</v>
      </c>
      <c r="L461" s="8">
        <v>29.288300210491229</v>
      </c>
      <c r="M461" s="8">
        <v>5.0823502072521993</v>
      </c>
      <c r="N461" s="8">
        <v>2.8276442136537301</v>
      </c>
      <c r="O461" s="8">
        <v>43.847574811112842</v>
      </c>
      <c r="P461" s="8">
        <v>42.617847576953885</v>
      </c>
      <c r="Q461" s="8">
        <v>10.876590527770503</v>
      </c>
      <c r="R461" s="8">
        <v>3.0090354233051499</v>
      </c>
      <c r="S461" s="8">
        <v>1.81</v>
      </c>
      <c r="T461" s="8">
        <v>1.3620000000000001</v>
      </c>
      <c r="U461" s="8">
        <v>0.60699999999999998</v>
      </c>
      <c r="V461" s="8">
        <v>1.1819999999999999</v>
      </c>
      <c r="W461" s="8">
        <v>1.2030000000000001</v>
      </c>
      <c r="X461" s="8">
        <v>0.18</v>
      </c>
      <c r="Y461" s="8">
        <v>2.4523199999999998</v>
      </c>
      <c r="Z461" s="8">
        <v>1.89036</v>
      </c>
      <c r="AA461" s="9">
        <v>8.8699999999999992</v>
      </c>
      <c r="AB461" s="10">
        <v>0.45</v>
      </c>
      <c r="AC461" s="8">
        <v>5.5585500000000003</v>
      </c>
      <c r="AD461" s="8">
        <v>9.8039199999999997</v>
      </c>
      <c r="AE461" s="8">
        <v>4.9000000000000002E-2</v>
      </c>
      <c r="AF461" s="8">
        <v>3.5999999999999997E-2</v>
      </c>
      <c r="AG461" s="8">
        <v>1.4753044232749524</v>
      </c>
      <c r="AH461" s="8">
        <v>36.938775510204081</v>
      </c>
      <c r="AI461" s="8">
        <v>27.795918367346939</v>
      </c>
      <c r="AJ461" t="s">
        <v>1694</v>
      </c>
      <c r="AK461" t="s">
        <v>1694</v>
      </c>
      <c r="AL461" t="s">
        <v>1702</v>
      </c>
      <c r="AM461" t="s">
        <v>1703</v>
      </c>
      <c r="AN461" t="s">
        <v>1700</v>
      </c>
      <c r="AO461" t="s">
        <v>1700</v>
      </c>
      <c r="AP461" t="s">
        <v>1697</v>
      </c>
      <c r="AQ461" t="s">
        <v>1697</v>
      </c>
      <c r="AR461" t="s">
        <v>1700</v>
      </c>
      <c r="AS461" t="s">
        <v>1700</v>
      </c>
      <c r="AT461" t="s">
        <v>1700</v>
      </c>
      <c r="AU461" t="s">
        <v>1704</v>
      </c>
      <c r="AV461" t="s">
        <v>1720</v>
      </c>
      <c r="AW461" t="s">
        <v>1703</v>
      </c>
      <c r="AX461" t="s">
        <v>1732</v>
      </c>
      <c r="AY461" t="s">
        <v>1733</v>
      </c>
      <c r="AZ461" t="s">
        <v>1700</v>
      </c>
      <c r="BA461" t="s">
        <v>1700</v>
      </c>
      <c r="BB461" t="s">
        <v>1732</v>
      </c>
      <c r="BC461" t="s">
        <v>1733</v>
      </c>
      <c r="BD461" t="s">
        <v>1700</v>
      </c>
      <c r="BE461" t="s">
        <v>1732</v>
      </c>
      <c r="BF461" t="s">
        <v>1733</v>
      </c>
      <c r="BG461">
        <v>20</v>
      </c>
      <c r="BH461" s="12" t="s">
        <v>1708</v>
      </c>
      <c r="BI461" t="b">
        <v>0</v>
      </c>
      <c r="BJ461">
        <f t="shared" si="7"/>
        <v>0</v>
      </c>
    </row>
    <row r="462" spans="1:62" x14ac:dyDescent="0.2">
      <c r="A462" s="5" t="s">
        <v>106</v>
      </c>
      <c r="B462" s="6">
        <v>38475</v>
      </c>
      <c r="C462" s="7">
        <v>33.406860999999999</v>
      </c>
      <c r="D462" s="7">
        <v>-112.112694</v>
      </c>
      <c r="E462" s="17">
        <v>319</v>
      </c>
      <c r="F462" t="s">
        <v>1700</v>
      </c>
      <c r="G462" t="s">
        <v>1699</v>
      </c>
      <c r="H462" t="s">
        <v>1701</v>
      </c>
      <c r="I462">
        <v>1</v>
      </c>
      <c r="J462" s="8">
        <v>9.3850975915874031</v>
      </c>
      <c r="K462" s="8">
        <v>72.735459643909422</v>
      </c>
      <c r="L462" s="8">
        <v>17.879442764503182</v>
      </c>
      <c r="M462" s="8">
        <v>2.018039595772311</v>
      </c>
      <c r="N462" s="8">
        <v>1.2839165646091433</v>
      </c>
      <c r="O462" s="8">
        <v>50.801953302268167</v>
      </c>
      <c r="P462" s="8">
        <v>71.073952683720435</v>
      </c>
      <c r="Q462" s="8">
        <v>13.487742070516495</v>
      </c>
      <c r="R462" s="8">
        <v>5.4000020217384552</v>
      </c>
      <c r="S462" s="8">
        <v>1.8560000000000001</v>
      </c>
      <c r="T462" s="8">
        <v>1.3220000000000001</v>
      </c>
      <c r="U462" s="8">
        <v>0.78200000000000003</v>
      </c>
      <c r="V462" s="8">
        <v>0.85299999999999998</v>
      </c>
      <c r="W462" s="8">
        <v>1.0740000000000001</v>
      </c>
      <c r="X462" s="8">
        <v>0.46900000000000008</v>
      </c>
      <c r="Y462" s="8">
        <v>3.0872483221476568</v>
      </c>
      <c r="Z462" s="8">
        <v>1.9490254872563568</v>
      </c>
      <c r="AA462" s="8">
        <v>7.99</v>
      </c>
      <c r="AB462">
        <v>0.65200000000000002</v>
      </c>
      <c r="AC462" s="8">
        <v>4.1610738255033617</v>
      </c>
      <c r="AD462" s="8">
        <v>8.5457271364317879</v>
      </c>
      <c r="AE462" s="8">
        <v>4.7E-2</v>
      </c>
      <c r="AF462" s="8">
        <v>2.5000000000000001E-2</v>
      </c>
      <c r="AG462" s="8">
        <v>1.6868510299055153</v>
      </c>
      <c r="AH462" s="8">
        <v>39.48936170212766</v>
      </c>
      <c r="AI462" s="8">
        <v>28.127659574468087</v>
      </c>
      <c r="AJ462" t="s">
        <v>1694</v>
      </c>
      <c r="AK462" t="s">
        <v>1694</v>
      </c>
      <c r="AL462" t="s">
        <v>1702</v>
      </c>
      <c r="AM462" t="s">
        <v>1703</v>
      </c>
      <c r="AN462" t="s">
        <v>1700</v>
      </c>
      <c r="AO462" t="s">
        <v>1700</v>
      </c>
      <c r="AP462" t="s">
        <v>1697</v>
      </c>
      <c r="AQ462" t="s">
        <v>1697</v>
      </c>
      <c r="AR462" t="s">
        <v>1700</v>
      </c>
      <c r="AS462" t="s">
        <v>1700</v>
      </c>
      <c r="AT462" t="s">
        <v>1700</v>
      </c>
      <c r="AU462" t="s">
        <v>1704</v>
      </c>
      <c r="AV462" t="s">
        <v>1720</v>
      </c>
      <c r="AW462" t="s">
        <v>1703</v>
      </c>
      <c r="AX462" t="s">
        <v>1732</v>
      </c>
      <c r="AY462" t="s">
        <v>1733</v>
      </c>
      <c r="AZ462" t="s">
        <v>1700</v>
      </c>
      <c r="BA462" t="s">
        <v>1700</v>
      </c>
      <c r="BB462" t="s">
        <v>1732</v>
      </c>
      <c r="BC462" t="s">
        <v>1733</v>
      </c>
      <c r="BD462" t="s">
        <v>1700</v>
      </c>
      <c r="BE462" t="s">
        <v>1732</v>
      </c>
      <c r="BF462" t="s">
        <v>1733</v>
      </c>
      <c r="BG462">
        <v>25</v>
      </c>
      <c r="BH462" s="12" t="s">
        <v>1709</v>
      </c>
      <c r="BI462" t="b">
        <v>0</v>
      </c>
      <c r="BJ462">
        <f t="shared" si="7"/>
        <v>0</v>
      </c>
    </row>
    <row r="463" spans="1:62" x14ac:dyDescent="0.2">
      <c r="A463" s="5" t="s">
        <v>106</v>
      </c>
      <c r="B463" s="6">
        <v>40277</v>
      </c>
      <c r="C463" s="7">
        <v>33.406860999999999</v>
      </c>
      <c r="D463" s="7">
        <v>-112.112694</v>
      </c>
      <c r="E463" s="17">
        <v>319</v>
      </c>
      <c r="F463" t="s">
        <v>1700</v>
      </c>
      <c r="G463" t="s">
        <v>1699</v>
      </c>
      <c r="H463" t="s">
        <v>1701</v>
      </c>
      <c r="I463">
        <v>1</v>
      </c>
      <c r="J463" s="8">
        <v>7.3695297770264521</v>
      </c>
      <c r="K463" s="8">
        <v>66.11347483104467</v>
      </c>
      <c r="L463" s="8">
        <v>26.516995391928873</v>
      </c>
      <c r="M463" s="8">
        <v>3.2844360035350726</v>
      </c>
      <c r="N463" s="8">
        <v>5.0000000000000001E-3</v>
      </c>
      <c r="O463" s="8">
        <v>158.92432275169705</v>
      </c>
      <c r="P463" s="8">
        <v>37.578298053317027</v>
      </c>
      <c r="Q463" s="8">
        <v>25.647344363620967</v>
      </c>
      <c r="R463" s="8">
        <v>13.986986835530274</v>
      </c>
      <c r="S463" s="8">
        <v>1.4510000000000001</v>
      </c>
      <c r="T463" s="8">
        <v>1.323</v>
      </c>
      <c r="U463" s="8">
        <v>0.60799999999999998</v>
      </c>
      <c r="V463" s="8">
        <v>0.77100000000000002</v>
      </c>
      <c r="W463" s="8">
        <v>0.84300000000000008</v>
      </c>
      <c r="X463" s="8">
        <v>0.55199999999999994</v>
      </c>
      <c r="Y463" s="8">
        <v>2.8919330289193228</v>
      </c>
      <c r="Z463" s="8">
        <v>2.3880597014925389</v>
      </c>
      <c r="AA463" s="8">
        <v>8.84</v>
      </c>
      <c r="AB463">
        <v>0.17799999999999999</v>
      </c>
      <c r="AC463" s="8">
        <v>5.0228310502283122</v>
      </c>
      <c r="AD463" s="8">
        <v>10.298507462686558</v>
      </c>
      <c r="AE463" s="8">
        <v>0.06</v>
      </c>
      <c r="AF463" s="8">
        <v>0.03</v>
      </c>
      <c r="AG463" s="8" t="s">
        <v>1697</v>
      </c>
      <c r="AH463" s="8">
        <v>24.183333333333337</v>
      </c>
      <c r="AI463" s="8">
        <v>22.05</v>
      </c>
      <c r="AJ463" t="s">
        <v>1694</v>
      </c>
      <c r="AK463" t="s">
        <v>1694</v>
      </c>
      <c r="AL463" t="s">
        <v>1702</v>
      </c>
      <c r="AM463" t="s">
        <v>1703</v>
      </c>
      <c r="AN463" t="s">
        <v>1700</v>
      </c>
      <c r="AO463" t="s">
        <v>1700</v>
      </c>
      <c r="AP463" t="s">
        <v>1697</v>
      </c>
      <c r="AQ463" t="s">
        <v>1697</v>
      </c>
      <c r="AR463" t="s">
        <v>1700</v>
      </c>
      <c r="AS463" t="s">
        <v>1700</v>
      </c>
      <c r="AT463" t="s">
        <v>1700</v>
      </c>
      <c r="AU463" t="s">
        <v>1704</v>
      </c>
      <c r="AV463" t="s">
        <v>1720</v>
      </c>
      <c r="AW463" t="s">
        <v>1703</v>
      </c>
      <c r="AX463" t="s">
        <v>1732</v>
      </c>
      <c r="AY463" t="s">
        <v>1733</v>
      </c>
      <c r="AZ463" t="s">
        <v>1700</v>
      </c>
      <c r="BA463" t="s">
        <v>1700</v>
      </c>
      <c r="BB463" t="s">
        <v>1732</v>
      </c>
      <c r="BC463" t="s">
        <v>1733</v>
      </c>
      <c r="BD463" t="s">
        <v>1700</v>
      </c>
      <c r="BE463" t="s">
        <v>1732</v>
      </c>
      <c r="BF463" t="s">
        <v>1733</v>
      </c>
      <c r="BG463">
        <v>30</v>
      </c>
      <c r="BH463" s="12" t="s">
        <v>1709</v>
      </c>
      <c r="BI463" t="b">
        <v>1</v>
      </c>
      <c r="BJ463">
        <f t="shared" si="7"/>
        <v>1</v>
      </c>
    </row>
    <row r="464" spans="1:62" x14ac:dyDescent="0.2">
      <c r="A464" s="5" t="s">
        <v>106</v>
      </c>
      <c r="B464" s="6">
        <v>42074</v>
      </c>
      <c r="C464" s="7">
        <v>33.406860999999999</v>
      </c>
      <c r="D464" s="7">
        <v>-112.112694</v>
      </c>
      <c r="E464" s="17">
        <v>319</v>
      </c>
      <c r="F464" t="s">
        <v>1700</v>
      </c>
      <c r="G464" t="s">
        <v>1699</v>
      </c>
      <c r="H464" t="s">
        <v>1701</v>
      </c>
      <c r="I464">
        <v>1</v>
      </c>
      <c r="J464">
        <v>4.8621174182265001</v>
      </c>
      <c r="K464">
        <v>78.680105027798803</v>
      </c>
      <c r="L464">
        <v>16.457777553974701</v>
      </c>
      <c r="M464">
        <v>9.8738417110027399</v>
      </c>
      <c r="N464">
        <v>1.8007626272835799</v>
      </c>
      <c r="O464">
        <v>253.578207578025</v>
      </c>
      <c r="P464">
        <v>131.48065084453901</v>
      </c>
      <c r="Q464">
        <v>9.63771599834255</v>
      </c>
      <c r="R464">
        <v>6.3249240494385903</v>
      </c>
      <c r="S464">
        <v>2.1539999999999999</v>
      </c>
      <c r="T464">
        <v>1.2669999999999999</v>
      </c>
      <c r="U464">
        <v>0.34100000000000003</v>
      </c>
      <c r="V464">
        <v>1.1930000000000001</v>
      </c>
      <c r="W464">
        <v>1.8129999999999999</v>
      </c>
      <c r="X464">
        <v>7.3999999999999802E-2</v>
      </c>
      <c r="Y464">
        <v>2.3228803716608502</v>
      </c>
      <c r="Z464">
        <v>1.5228426395939101</v>
      </c>
      <c r="AA464">
        <v>8.24</v>
      </c>
      <c r="AB464">
        <v>0.182</v>
      </c>
      <c r="AC464">
        <v>1.0971786833855799</v>
      </c>
      <c r="AD464">
        <v>1.8348623853211099</v>
      </c>
      <c r="AE464">
        <v>6.2E-2</v>
      </c>
      <c r="AF464">
        <v>3.1E-2</v>
      </c>
      <c r="AG464">
        <v>1.7503795959927735</v>
      </c>
      <c r="AH464">
        <v>34.741935483871003</v>
      </c>
      <c r="AI464">
        <v>40.870967741935502</v>
      </c>
      <c r="AJ464" t="s">
        <v>1694</v>
      </c>
      <c r="AK464" t="s">
        <v>1694</v>
      </c>
      <c r="AL464" t="s">
        <v>1702</v>
      </c>
      <c r="AM464" t="s">
        <v>1703</v>
      </c>
      <c r="AN464" t="s">
        <v>1700</v>
      </c>
      <c r="AO464" t="s">
        <v>1700</v>
      </c>
      <c r="AP464" t="s">
        <v>1697</v>
      </c>
      <c r="AQ464" t="s">
        <v>1697</v>
      </c>
      <c r="AR464" t="s">
        <v>1700</v>
      </c>
      <c r="AS464" t="s">
        <v>1700</v>
      </c>
      <c r="AT464" t="s">
        <v>1700</v>
      </c>
      <c r="AU464" t="s">
        <v>1704</v>
      </c>
      <c r="AV464" t="s">
        <v>1720</v>
      </c>
      <c r="AW464" t="s">
        <v>1703</v>
      </c>
      <c r="AX464" t="s">
        <v>1732</v>
      </c>
      <c r="AY464" t="s">
        <v>1733</v>
      </c>
      <c r="AZ464" t="s">
        <v>1700</v>
      </c>
      <c r="BA464" t="s">
        <v>1700</v>
      </c>
      <c r="BB464" t="s">
        <v>1732</v>
      </c>
      <c r="BC464" t="s">
        <v>1733</v>
      </c>
      <c r="BD464" t="s">
        <v>1700</v>
      </c>
      <c r="BE464" t="s">
        <v>1732</v>
      </c>
      <c r="BF464" t="s">
        <v>1733</v>
      </c>
      <c r="BG464">
        <v>35</v>
      </c>
      <c r="BH464" s="12" t="s">
        <v>1709</v>
      </c>
      <c r="BI464" t="b">
        <v>1</v>
      </c>
      <c r="BJ464">
        <f t="shared" si="7"/>
        <v>1</v>
      </c>
    </row>
    <row r="465" spans="1:62" x14ac:dyDescent="0.2">
      <c r="A465" s="5" t="s">
        <v>107</v>
      </c>
      <c r="B465" s="6">
        <v>38475</v>
      </c>
      <c r="C465" s="7">
        <v>33.380667000000003</v>
      </c>
      <c r="D465" s="7">
        <v>-112.12394999999999</v>
      </c>
      <c r="E465" s="17">
        <v>326</v>
      </c>
      <c r="F465" s="11" t="s">
        <v>1741</v>
      </c>
      <c r="G465" s="11" t="s">
        <v>1741</v>
      </c>
      <c r="H465" t="s">
        <v>1757</v>
      </c>
      <c r="I465">
        <v>1</v>
      </c>
      <c r="J465" s="8">
        <v>7.2324672138341866</v>
      </c>
      <c r="K465" s="8">
        <v>77.995642701525057</v>
      </c>
      <c r="L465" s="8">
        <v>14.771890084640759</v>
      </c>
      <c r="M465" s="8">
        <v>0.59675536861814571</v>
      </c>
      <c r="N465" s="8">
        <v>0.53970226431714929</v>
      </c>
      <c r="O465" s="8">
        <v>0.91502489854782354</v>
      </c>
      <c r="P465" s="8">
        <v>2.5000000000000001E-3</v>
      </c>
      <c r="Q465" s="8">
        <v>2.281181843057289</v>
      </c>
      <c r="R465" s="8">
        <v>1.6856620049188098</v>
      </c>
      <c r="S465" s="8">
        <v>0.86799999999999999</v>
      </c>
      <c r="T465" s="8">
        <v>1.095</v>
      </c>
      <c r="U465" s="8">
        <v>0.77200000000000002</v>
      </c>
      <c r="V465" s="8">
        <v>1.0820000000000001</v>
      </c>
      <c r="W465" s="8">
        <v>9.5999999999999974E-2</v>
      </c>
      <c r="X465" s="8">
        <v>1.2999999999999901E-2</v>
      </c>
      <c r="Y465" s="8">
        <v>2.2590361445783183</v>
      </c>
      <c r="Z465" s="8">
        <v>2.2108843537415095</v>
      </c>
      <c r="AA465" s="8">
        <v>8.6300000000000008</v>
      </c>
      <c r="AB465">
        <v>0.155</v>
      </c>
      <c r="AC465" s="8">
        <v>11.295180722891565</v>
      </c>
      <c r="AD465" s="8">
        <v>11.224489795918338</v>
      </c>
      <c r="AE465" s="8">
        <v>2.1000000000000001E-2</v>
      </c>
      <c r="AF465" s="8">
        <v>1.2999999999999999E-2</v>
      </c>
      <c r="AG465" s="8">
        <v>1.2014367624361928</v>
      </c>
      <c r="AH465" s="8">
        <v>41.333333333333329</v>
      </c>
      <c r="AI465" s="8">
        <v>52.142857142857139</v>
      </c>
      <c r="AJ465" t="s">
        <v>1702</v>
      </c>
      <c r="AK465" t="s">
        <v>1703</v>
      </c>
      <c r="AL465" t="s">
        <v>1702</v>
      </c>
      <c r="AM465" t="s">
        <v>1703</v>
      </c>
      <c r="AN465" t="s">
        <v>1702</v>
      </c>
      <c r="AO465" t="s">
        <v>1703</v>
      </c>
      <c r="AP465" t="s">
        <v>1702</v>
      </c>
      <c r="AQ465" t="s">
        <v>1725</v>
      </c>
      <c r="AR465" t="s">
        <v>1703</v>
      </c>
      <c r="AS465" t="s">
        <v>1702</v>
      </c>
      <c r="AT465" t="s">
        <v>1703</v>
      </c>
      <c r="AU465" t="s">
        <v>1704</v>
      </c>
      <c r="AV465" t="s">
        <v>1725</v>
      </c>
      <c r="AW465" t="s">
        <v>1703</v>
      </c>
      <c r="AX465" t="s">
        <v>1704</v>
      </c>
      <c r="AY465" t="s">
        <v>1725</v>
      </c>
      <c r="AZ465" t="s">
        <v>1703</v>
      </c>
      <c r="BA465" t="s">
        <v>1702</v>
      </c>
      <c r="BB465" t="s">
        <v>1704</v>
      </c>
      <c r="BC465" t="s">
        <v>1725</v>
      </c>
      <c r="BD465" t="s">
        <v>1703</v>
      </c>
      <c r="BE465" t="s">
        <v>1704</v>
      </c>
      <c r="BF465" t="s">
        <v>1725</v>
      </c>
      <c r="BG465">
        <v>5</v>
      </c>
      <c r="BH465" s="12" t="s">
        <v>1708</v>
      </c>
      <c r="BI465" t="b">
        <v>0</v>
      </c>
      <c r="BJ465">
        <f t="shared" si="7"/>
        <v>0</v>
      </c>
    </row>
    <row r="466" spans="1:62" x14ac:dyDescent="0.2">
      <c r="A466" s="5" t="s">
        <v>107</v>
      </c>
      <c r="B466" s="6">
        <v>40317</v>
      </c>
      <c r="C466" s="7">
        <v>33.380667000000003</v>
      </c>
      <c r="D466" s="7">
        <v>-112.12394999999999</v>
      </c>
      <c r="E466" s="17">
        <v>326</v>
      </c>
      <c r="F466" s="11" t="s">
        <v>1741</v>
      </c>
      <c r="G466" s="11" t="s">
        <v>1741</v>
      </c>
      <c r="H466" t="s">
        <v>1757</v>
      </c>
      <c r="I466">
        <v>1</v>
      </c>
      <c r="J466" s="8">
        <v>19.890126198014428</v>
      </c>
      <c r="K466" s="8">
        <v>71.515763730326185</v>
      </c>
      <c r="L466" s="8">
        <v>8.5941100716593866</v>
      </c>
      <c r="M466" s="8">
        <v>2.7412792330969644</v>
      </c>
      <c r="N466" s="8">
        <v>5.0000000000000001E-3</v>
      </c>
      <c r="O466" s="8">
        <v>9.3007688265789845</v>
      </c>
      <c r="P466" s="8">
        <v>5.2437060784071807</v>
      </c>
      <c r="Q466" s="8">
        <v>11.983682911169076</v>
      </c>
      <c r="R466" s="8">
        <v>6.4785363342762441</v>
      </c>
      <c r="S466" s="8">
        <v>1.046</v>
      </c>
      <c r="T466" s="8">
        <v>1.3240000000000001</v>
      </c>
      <c r="U466" s="8">
        <v>0.82499999999999996</v>
      </c>
      <c r="V466" s="8">
        <v>1.0549999999999999</v>
      </c>
      <c r="W466" s="8">
        <v>0.22100000000000009</v>
      </c>
      <c r="X466" s="8">
        <v>0.26900000000000013</v>
      </c>
      <c r="Y466" s="8">
        <v>3.125</v>
      </c>
      <c r="Z466" s="8">
        <v>3.2761310452418231</v>
      </c>
      <c r="AA466" s="8">
        <v>8.9499999999999993</v>
      </c>
      <c r="AB466">
        <v>0.32900000000000001</v>
      </c>
      <c r="AC466" s="8">
        <v>3.6250000000000115</v>
      </c>
      <c r="AD466" s="8">
        <v>5.9282371294851917</v>
      </c>
      <c r="AE466" s="8">
        <v>3.5000000000000003E-2</v>
      </c>
      <c r="AF466" s="8">
        <v>1.7000000000000001E-2</v>
      </c>
      <c r="AG466" s="8">
        <v>1.5634603462263628</v>
      </c>
      <c r="AH466" s="8">
        <v>29.885714285714283</v>
      </c>
      <c r="AI466" s="8">
        <v>37.828571428571429</v>
      </c>
      <c r="AJ466" t="s">
        <v>1702</v>
      </c>
      <c r="AK466" t="s">
        <v>1703</v>
      </c>
      <c r="AL466" t="s">
        <v>1702</v>
      </c>
      <c r="AM466" t="s">
        <v>1703</v>
      </c>
      <c r="AN466" t="s">
        <v>1702</v>
      </c>
      <c r="AO466" t="s">
        <v>1703</v>
      </c>
      <c r="AP466" t="s">
        <v>1702</v>
      </c>
      <c r="AQ466" t="s">
        <v>1725</v>
      </c>
      <c r="AR466" t="s">
        <v>1703</v>
      </c>
      <c r="AS466" t="s">
        <v>1702</v>
      </c>
      <c r="AT466" t="s">
        <v>1703</v>
      </c>
      <c r="AU466" t="s">
        <v>1704</v>
      </c>
      <c r="AV466" t="s">
        <v>1725</v>
      </c>
      <c r="AW466" t="s">
        <v>1703</v>
      </c>
      <c r="AX466" t="s">
        <v>1704</v>
      </c>
      <c r="AY466" t="s">
        <v>1725</v>
      </c>
      <c r="AZ466" t="s">
        <v>1703</v>
      </c>
      <c r="BA466" t="s">
        <v>1702</v>
      </c>
      <c r="BB466" t="s">
        <v>1704</v>
      </c>
      <c r="BC466" t="s">
        <v>1725</v>
      </c>
      <c r="BD466" t="s">
        <v>1703</v>
      </c>
      <c r="BE466" t="s">
        <v>1704</v>
      </c>
      <c r="BF466" t="s">
        <v>1725</v>
      </c>
      <c r="BG466">
        <v>10</v>
      </c>
      <c r="BH466" s="12" t="s">
        <v>1708</v>
      </c>
      <c r="BI466" t="b">
        <v>0</v>
      </c>
      <c r="BJ466">
        <f t="shared" si="7"/>
        <v>0</v>
      </c>
    </row>
    <row r="467" spans="1:62" x14ac:dyDescent="0.2">
      <c r="A467" s="5" t="s">
        <v>107</v>
      </c>
      <c r="B467" s="6">
        <v>42132</v>
      </c>
      <c r="C467" s="7">
        <v>33.380667000000003</v>
      </c>
      <c r="D467" s="7">
        <v>-112.12394999999999</v>
      </c>
      <c r="E467" s="17">
        <v>326</v>
      </c>
      <c r="F467" t="s">
        <v>1741</v>
      </c>
      <c r="G467" t="s">
        <v>1743</v>
      </c>
      <c r="H467" t="s">
        <v>1757</v>
      </c>
      <c r="I467">
        <v>1</v>
      </c>
      <c r="J467">
        <v>16.366633100699801</v>
      </c>
      <c r="K467">
        <v>72.249072370520693</v>
      </c>
      <c r="L467">
        <v>11.384294528779501</v>
      </c>
      <c r="M467">
        <v>13.869073744171899</v>
      </c>
      <c r="N467">
        <v>6.2172207756680402</v>
      </c>
      <c r="O467">
        <v>19.536724072319</v>
      </c>
      <c r="P467">
        <v>1.1087751130613801</v>
      </c>
      <c r="Q467">
        <v>6.8375669955175304</v>
      </c>
      <c r="R467">
        <v>6.0208874813172403E-3</v>
      </c>
      <c r="S467">
        <v>1.8859999999999999</v>
      </c>
      <c r="T467">
        <v>2.2589999999999999</v>
      </c>
      <c r="U467">
        <v>0.8</v>
      </c>
      <c r="V467">
        <v>1.66</v>
      </c>
      <c r="W467">
        <v>1.0860000000000001</v>
      </c>
      <c r="X467">
        <v>0.59899999999999998</v>
      </c>
      <c r="Y467">
        <v>2.0134228187919501</v>
      </c>
      <c r="Z467">
        <v>1.9005847953216399</v>
      </c>
      <c r="AA467">
        <v>8.3000000000000007</v>
      </c>
      <c r="AB467">
        <v>0.59599999999999997</v>
      </c>
      <c r="AC467">
        <v>6.6489361702127701</v>
      </c>
      <c r="AD467">
        <v>3.9045553145336198</v>
      </c>
      <c r="AE467">
        <v>8.4000000000000005E-2</v>
      </c>
      <c r="AF467">
        <v>1.7999999999999999E-2</v>
      </c>
      <c r="AG467">
        <v>1.7120941480421519</v>
      </c>
      <c r="AH467">
        <v>22.452380952380899</v>
      </c>
      <c r="AI467">
        <v>125.5</v>
      </c>
      <c r="AJ467" t="s">
        <v>1702</v>
      </c>
      <c r="AK467" t="s">
        <v>1703</v>
      </c>
      <c r="AL467" t="s">
        <v>1702</v>
      </c>
      <c r="AM467" t="s">
        <v>1703</v>
      </c>
      <c r="AN467" t="s">
        <v>1702</v>
      </c>
      <c r="AO467" t="s">
        <v>1703</v>
      </c>
      <c r="AP467" t="s">
        <v>1702</v>
      </c>
      <c r="AQ467" t="s">
        <v>1725</v>
      </c>
      <c r="AR467" t="s">
        <v>1703</v>
      </c>
      <c r="AS467" t="s">
        <v>1702</v>
      </c>
      <c r="AT467" t="s">
        <v>1703</v>
      </c>
      <c r="AU467" t="s">
        <v>1704</v>
      </c>
      <c r="AV467" t="s">
        <v>1725</v>
      </c>
      <c r="AW467" t="s">
        <v>1703</v>
      </c>
      <c r="AX467" t="s">
        <v>1704</v>
      </c>
      <c r="AY467" t="s">
        <v>1725</v>
      </c>
      <c r="AZ467" t="s">
        <v>1703</v>
      </c>
      <c r="BA467" t="s">
        <v>1702</v>
      </c>
      <c r="BB467" t="s">
        <v>1704</v>
      </c>
      <c r="BC467" t="s">
        <v>1725</v>
      </c>
      <c r="BD467" t="s">
        <v>1703</v>
      </c>
      <c r="BE467" t="s">
        <v>1704</v>
      </c>
      <c r="BF467" t="s">
        <v>1725</v>
      </c>
      <c r="BG467">
        <v>15</v>
      </c>
      <c r="BH467" s="12" t="s">
        <v>1708</v>
      </c>
      <c r="BI467" t="b">
        <v>0</v>
      </c>
      <c r="BJ467">
        <f t="shared" si="7"/>
        <v>0</v>
      </c>
    </row>
    <row r="468" spans="1:62" x14ac:dyDescent="0.2">
      <c r="A468" s="5" t="s">
        <v>107</v>
      </c>
      <c r="B468" s="6">
        <v>45069</v>
      </c>
      <c r="C468" s="7">
        <v>33.380667000000003</v>
      </c>
      <c r="D468" s="7">
        <v>-112.12394999999999</v>
      </c>
      <c r="E468" s="17">
        <v>326</v>
      </c>
      <c r="F468" t="s">
        <v>1741</v>
      </c>
      <c r="G468" t="s">
        <v>1743</v>
      </c>
      <c r="H468" t="s">
        <v>1757</v>
      </c>
      <c r="I468">
        <v>1</v>
      </c>
      <c r="J468" t="s">
        <v>1697</v>
      </c>
      <c r="K468" t="s">
        <v>1697</v>
      </c>
      <c r="L468" t="s">
        <v>1697</v>
      </c>
      <c r="M468" t="s">
        <v>1697</v>
      </c>
      <c r="N468" t="s">
        <v>1697</v>
      </c>
      <c r="O468" t="s">
        <v>1697</v>
      </c>
      <c r="P468" t="s">
        <v>1697</v>
      </c>
      <c r="Q468" t="s">
        <v>1697</v>
      </c>
      <c r="R468" t="s">
        <v>1697</v>
      </c>
      <c r="S468" t="s">
        <v>1697</v>
      </c>
      <c r="T468" t="s">
        <v>1697</v>
      </c>
      <c r="U468" t="s">
        <v>1697</v>
      </c>
      <c r="V468" t="s">
        <v>1697</v>
      </c>
      <c r="W468" t="s">
        <v>1697</v>
      </c>
      <c r="X468" t="s">
        <v>1697</v>
      </c>
      <c r="Y468" t="s">
        <v>1697</v>
      </c>
      <c r="Z468" t="s">
        <v>1697</v>
      </c>
      <c r="AA468" t="s">
        <v>1697</v>
      </c>
      <c r="AB468" t="s">
        <v>1697</v>
      </c>
      <c r="AC468" t="s">
        <v>1697</v>
      </c>
      <c r="AD468" t="s">
        <v>1697</v>
      </c>
      <c r="AE468" t="s">
        <v>1697</v>
      </c>
      <c r="AF468" t="s">
        <v>1697</v>
      </c>
      <c r="AG468" t="s">
        <v>1697</v>
      </c>
      <c r="AH468" t="s">
        <v>1697</v>
      </c>
      <c r="AI468" t="s">
        <v>1697</v>
      </c>
      <c r="AJ468" t="s">
        <v>1702</v>
      </c>
      <c r="AK468" t="s">
        <v>1703</v>
      </c>
      <c r="AL468" t="s">
        <v>1702</v>
      </c>
      <c r="AM468" t="s">
        <v>1703</v>
      </c>
      <c r="AN468" t="s">
        <v>1702</v>
      </c>
      <c r="AO468" t="s">
        <v>1703</v>
      </c>
      <c r="AP468" t="s">
        <v>1702</v>
      </c>
      <c r="AQ468" t="s">
        <v>1725</v>
      </c>
      <c r="AR468" t="s">
        <v>1703</v>
      </c>
      <c r="AS468" t="s">
        <v>1702</v>
      </c>
      <c r="AT468" t="s">
        <v>1703</v>
      </c>
      <c r="AU468" t="s">
        <v>1704</v>
      </c>
      <c r="AV468" t="s">
        <v>1725</v>
      </c>
      <c r="AW468" t="s">
        <v>1703</v>
      </c>
      <c r="AX468" t="s">
        <v>1704</v>
      </c>
      <c r="AY468" t="s">
        <v>1725</v>
      </c>
      <c r="AZ468" t="s">
        <v>1703</v>
      </c>
      <c r="BA468" t="s">
        <v>1702</v>
      </c>
      <c r="BB468" t="s">
        <v>1704</v>
      </c>
      <c r="BC468" t="s">
        <v>1725</v>
      </c>
      <c r="BD468" t="s">
        <v>1703</v>
      </c>
      <c r="BE468" t="s">
        <v>1704</v>
      </c>
      <c r="BF468" t="s">
        <v>1725</v>
      </c>
      <c r="BG468" s="6" t="s">
        <v>1697</v>
      </c>
      <c r="BH468" s="6" t="s">
        <v>1697</v>
      </c>
      <c r="BI468" t="b">
        <v>1</v>
      </c>
      <c r="BJ468">
        <f t="shared" si="7"/>
        <v>1</v>
      </c>
    </row>
    <row r="469" spans="1:62" x14ac:dyDescent="0.2">
      <c r="A469" s="5" t="s">
        <v>108</v>
      </c>
      <c r="B469" s="6">
        <v>38492</v>
      </c>
      <c r="C469" s="7">
        <v>33.343513999999999</v>
      </c>
      <c r="D469" s="7">
        <v>-112.129114</v>
      </c>
      <c r="E469" s="17">
        <v>381</v>
      </c>
      <c r="F469" t="s">
        <v>1694</v>
      </c>
      <c r="G469" t="s">
        <v>1694</v>
      </c>
      <c r="H469" t="s">
        <v>1694</v>
      </c>
      <c r="I469">
        <v>0</v>
      </c>
      <c r="J469" s="8">
        <v>5.7072798577085102</v>
      </c>
      <c r="K469" s="8">
        <v>70.502318688050309</v>
      </c>
      <c r="L469" s="8">
        <v>23.790401454241177</v>
      </c>
      <c r="M469" s="8">
        <v>1.6963121763186919</v>
      </c>
      <c r="N469" s="8">
        <v>1.0373874653010369</v>
      </c>
      <c r="O469" s="8">
        <v>2.901586617387236</v>
      </c>
      <c r="P469" s="8">
        <v>1.461773246560552</v>
      </c>
      <c r="Q469" s="8">
        <v>14.399955320797122</v>
      </c>
      <c r="R469" s="8">
        <v>13.294654779557332</v>
      </c>
      <c r="S469" s="8">
        <v>0.73899999999999999</v>
      </c>
      <c r="T469" s="8">
        <v>0.68200000000000005</v>
      </c>
      <c r="U469" s="8">
        <v>0.23300000000000001</v>
      </c>
      <c r="V469" s="8">
        <v>0.27</v>
      </c>
      <c r="W469" s="8">
        <v>0.50600000000000001</v>
      </c>
      <c r="X469" s="8">
        <v>0.41200000000000003</v>
      </c>
      <c r="Y469" s="8">
        <v>2.4179620034542411</v>
      </c>
      <c r="Z469" s="8">
        <v>1.9955654101995532</v>
      </c>
      <c r="AA469" s="8">
        <v>8.3000000000000007</v>
      </c>
      <c r="AB469">
        <v>0.124</v>
      </c>
      <c r="AC469" s="8">
        <v>0.34542314335059704</v>
      </c>
      <c r="AD469" s="8">
        <v>0.66518847006650472</v>
      </c>
      <c r="AE469" s="8">
        <v>5.3999999999999999E-2</v>
      </c>
      <c r="AF469" s="8">
        <v>2.8000000000000001E-2</v>
      </c>
      <c r="AG469" s="8">
        <v>1.7657799462206243</v>
      </c>
      <c r="AH469" s="8">
        <v>13.685185185185185</v>
      </c>
      <c r="AI469" s="8">
        <v>12.629629629629632</v>
      </c>
      <c r="AJ469" t="s">
        <v>1694</v>
      </c>
      <c r="AK469" t="s">
        <v>1694</v>
      </c>
      <c r="AL469" t="s">
        <v>1694</v>
      </c>
      <c r="AM469" t="s">
        <v>1694</v>
      </c>
      <c r="AN469" t="s">
        <v>1694</v>
      </c>
      <c r="AO469" t="s">
        <v>1694</v>
      </c>
      <c r="AP469" t="s">
        <v>1695</v>
      </c>
      <c r="AQ469" t="s">
        <v>1711</v>
      </c>
      <c r="AR469" t="s">
        <v>1694</v>
      </c>
      <c r="AS469" t="s">
        <v>1694</v>
      </c>
      <c r="AT469" t="s">
        <v>1694</v>
      </c>
      <c r="AU469" t="s">
        <v>1697</v>
      </c>
      <c r="AV469" t="s">
        <v>1697</v>
      </c>
      <c r="AW469" t="s">
        <v>1694</v>
      </c>
      <c r="AX469" t="s">
        <v>1695</v>
      </c>
      <c r="AY469" t="s">
        <v>1711</v>
      </c>
      <c r="AZ469" t="s">
        <v>1694</v>
      </c>
      <c r="BA469" t="s">
        <v>1700</v>
      </c>
      <c r="BB469" t="s">
        <v>1695</v>
      </c>
      <c r="BC469" t="s">
        <v>1711</v>
      </c>
      <c r="BD469" t="s">
        <v>1694</v>
      </c>
      <c r="BE469" t="s">
        <v>1695</v>
      </c>
      <c r="BF469" t="s">
        <v>1711</v>
      </c>
      <c r="BG469" t="s">
        <v>1697</v>
      </c>
      <c r="BH469" t="s">
        <v>1698</v>
      </c>
      <c r="BI469" t="b">
        <v>0</v>
      </c>
      <c r="BJ469">
        <f t="shared" si="7"/>
        <v>0</v>
      </c>
    </row>
    <row r="470" spans="1:62" x14ac:dyDescent="0.2">
      <c r="A470" s="5" t="s">
        <v>108</v>
      </c>
      <c r="B470" s="6">
        <v>40303</v>
      </c>
      <c r="C470" s="7">
        <v>33.343513999999999</v>
      </c>
      <c r="D470" s="7">
        <v>-112.129114</v>
      </c>
      <c r="E470" s="17">
        <v>381</v>
      </c>
      <c r="F470" t="s">
        <v>1694</v>
      </c>
      <c r="G470" t="s">
        <v>1694</v>
      </c>
      <c r="H470" t="s">
        <v>1694</v>
      </c>
      <c r="I470">
        <v>0</v>
      </c>
      <c r="J470" s="8">
        <v>4.6190167236890565</v>
      </c>
      <c r="K470" s="8">
        <v>73.10658938397431</v>
      </c>
      <c r="L470" s="8">
        <v>22.274393892336633</v>
      </c>
      <c r="M470" s="8">
        <v>0.32677801322584532</v>
      </c>
      <c r="N470" s="8">
        <v>0.11302056965028434</v>
      </c>
      <c r="O470" s="8">
        <v>1.8197817502996176</v>
      </c>
      <c r="P470" s="8">
        <v>5.5541537085282595</v>
      </c>
      <c r="Q470" s="8">
        <v>23.517459578765745</v>
      </c>
      <c r="R470" s="8">
        <v>18.788908545421311</v>
      </c>
      <c r="S470" s="8">
        <v>0.77800000000000002</v>
      </c>
      <c r="T470" s="8">
        <v>0.71699999999999997</v>
      </c>
      <c r="U470" s="8">
        <v>0.254</v>
      </c>
      <c r="V470" s="8">
        <v>0.35399999999999998</v>
      </c>
      <c r="W470" s="8">
        <v>0.52400000000000002</v>
      </c>
      <c r="X470" s="8">
        <v>0.36299999999999999</v>
      </c>
      <c r="Y470" s="8">
        <v>2.4747937671860636</v>
      </c>
      <c r="Z470" s="8">
        <v>2.3976023976023995</v>
      </c>
      <c r="AA470" s="8">
        <v>8.5399999999999991</v>
      </c>
      <c r="AB470">
        <v>0.16300000000000001</v>
      </c>
      <c r="AC470" s="8">
        <v>0.91659028414298482</v>
      </c>
      <c r="AD470" s="8">
        <v>1.098901098901093</v>
      </c>
      <c r="AE470" s="8">
        <v>6.0999999999999999E-2</v>
      </c>
      <c r="AF470" s="8">
        <v>4.3999999999999997E-2</v>
      </c>
      <c r="AG470" s="8">
        <v>1.3170403777690687</v>
      </c>
      <c r="AH470" s="8">
        <v>12.754098360655739</v>
      </c>
      <c r="AI470" s="8">
        <v>11.754098360655737</v>
      </c>
      <c r="AJ470" t="s">
        <v>1694</v>
      </c>
      <c r="AK470" t="s">
        <v>1694</v>
      </c>
      <c r="AL470" t="s">
        <v>1694</v>
      </c>
      <c r="AM470" t="s">
        <v>1694</v>
      </c>
      <c r="AN470" t="s">
        <v>1694</v>
      </c>
      <c r="AO470" t="s">
        <v>1694</v>
      </c>
      <c r="AP470" t="s">
        <v>1695</v>
      </c>
      <c r="AQ470" t="s">
        <v>1711</v>
      </c>
      <c r="AR470" t="s">
        <v>1694</v>
      </c>
      <c r="AS470" t="s">
        <v>1694</v>
      </c>
      <c r="AT470" t="s">
        <v>1694</v>
      </c>
      <c r="AU470" t="s">
        <v>1697</v>
      </c>
      <c r="AV470" t="s">
        <v>1697</v>
      </c>
      <c r="AW470" t="s">
        <v>1694</v>
      </c>
      <c r="AX470" t="s">
        <v>1695</v>
      </c>
      <c r="AY470" t="s">
        <v>1711</v>
      </c>
      <c r="AZ470" t="s">
        <v>1694</v>
      </c>
      <c r="BA470" t="s">
        <v>1700</v>
      </c>
      <c r="BB470" t="s">
        <v>1695</v>
      </c>
      <c r="BC470" t="s">
        <v>1711</v>
      </c>
      <c r="BD470" t="s">
        <v>1694</v>
      </c>
      <c r="BE470" t="s">
        <v>1695</v>
      </c>
      <c r="BF470" t="s">
        <v>1711</v>
      </c>
      <c r="BG470" t="s">
        <v>1697</v>
      </c>
      <c r="BH470" t="s">
        <v>1698</v>
      </c>
      <c r="BI470" t="b">
        <v>0</v>
      </c>
      <c r="BJ470">
        <f t="shared" si="7"/>
        <v>0</v>
      </c>
    </row>
    <row r="471" spans="1:62" x14ac:dyDescent="0.2">
      <c r="A471" s="5" t="s">
        <v>108</v>
      </c>
      <c r="B471" s="6">
        <v>42074</v>
      </c>
      <c r="C471" s="7">
        <v>33.343513999999999</v>
      </c>
      <c r="D471" s="7">
        <v>-112.129114</v>
      </c>
      <c r="E471" s="17">
        <v>381</v>
      </c>
      <c r="F471" t="s">
        <v>1694</v>
      </c>
      <c r="G471" t="s">
        <v>1694</v>
      </c>
      <c r="H471" t="s">
        <v>1694</v>
      </c>
      <c r="I471">
        <v>0</v>
      </c>
      <c r="J471">
        <v>6.9771490180927103</v>
      </c>
      <c r="K471">
        <v>77.889363051050793</v>
      </c>
      <c r="L471">
        <v>15.1334879308565</v>
      </c>
      <c r="M471">
        <v>4.20419489905359</v>
      </c>
      <c r="N471">
        <v>2.5235692606649298</v>
      </c>
      <c r="O471">
        <v>9.4834350690980607</v>
      </c>
      <c r="P471">
        <v>9.0848493383937594</v>
      </c>
      <c r="Q471">
        <v>12.259436231748801</v>
      </c>
      <c r="R471">
        <v>11.255430678286601</v>
      </c>
      <c r="S471">
        <v>0.95099999999999996</v>
      </c>
      <c r="T471">
        <v>0.78200000000000003</v>
      </c>
      <c r="U471">
        <v>0.36099999999999999</v>
      </c>
      <c r="V471">
        <v>0.55800000000000005</v>
      </c>
      <c r="W471">
        <v>0.59</v>
      </c>
      <c r="X471">
        <v>0.224</v>
      </c>
      <c r="Y471">
        <v>2.3188405797101499</v>
      </c>
      <c r="Z471">
        <v>1.6753926701570701</v>
      </c>
      <c r="AA471">
        <v>8.09</v>
      </c>
      <c r="AB471">
        <v>0.18099999999999999</v>
      </c>
      <c r="AC471">
        <v>1.35970333745366</v>
      </c>
      <c r="AD471">
        <v>0.68306010928960303</v>
      </c>
      <c r="AE471">
        <v>6.5000000000000002E-2</v>
      </c>
      <c r="AF471">
        <v>3.5000000000000003E-2</v>
      </c>
      <c r="AG471">
        <v>1.6680653708207365</v>
      </c>
      <c r="AH471">
        <v>14.6307692307692</v>
      </c>
      <c r="AI471">
        <v>22.342857142857099</v>
      </c>
      <c r="AJ471" t="s">
        <v>1694</v>
      </c>
      <c r="AK471" t="s">
        <v>1694</v>
      </c>
      <c r="AL471" t="s">
        <v>1694</v>
      </c>
      <c r="AM471" t="s">
        <v>1694</v>
      </c>
      <c r="AN471" t="s">
        <v>1694</v>
      </c>
      <c r="AO471" t="s">
        <v>1694</v>
      </c>
      <c r="AP471" t="s">
        <v>1695</v>
      </c>
      <c r="AQ471" t="s">
        <v>1711</v>
      </c>
      <c r="AR471" t="s">
        <v>1694</v>
      </c>
      <c r="AS471" t="s">
        <v>1694</v>
      </c>
      <c r="AT471" t="s">
        <v>1694</v>
      </c>
      <c r="AU471" t="s">
        <v>1697</v>
      </c>
      <c r="AV471" t="s">
        <v>1697</v>
      </c>
      <c r="AW471" t="s">
        <v>1694</v>
      </c>
      <c r="AX471" t="s">
        <v>1695</v>
      </c>
      <c r="AY471" t="s">
        <v>1711</v>
      </c>
      <c r="AZ471" t="s">
        <v>1694</v>
      </c>
      <c r="BA471" t="s">
        <v>1700</v>
      </c>
      <c r="BB471" t="s">
        <v>1695</v>
      </c>
      <c r="BC471" t="s">
        <v>1711</v>
      </c>
      <c r="BD471" t="s">
        <v>1694</v>
      </c>
      <c r="BE471" t="s">
        <v>1695</v>
      </c>
      <c r="BF471" t="s">
        <v>1711</v>
      </c>
      <c r="BG471" t="s">
        <v>1697</v>
      </c>
      <c r="BH471" t="s">
        <v>1698</v>
      </c>
      <c r="BI471" t="b">
        <v>0</v>
      </c>
      <c r="BJ471">
        <f t="shared" si="7"/>
        <v>0</v>
      </c>
    </row>
    <row r="472" spans="1:62" x14ac:dyDescent="0.2">
      <c r="A472" s="5" t="s">
        <v>108</v>
      </c>
      <c r="B472" s="6">
        <v>45037</v>
      </c>
      <c r="C472" s="7">
        <v>33.343513999999999</v>
      </c>
      <c r="D472" s="7">
        <v>-112.129114</v>
      </c>
      <c r="E472" s="17">
        <v>381</v>
      </c>
      <c r="F472" t="s">
        <v>1694</v>
      </c>
      <c r="G472" t="s">
        <v>1694</v>
      </c>
      <c r="H472" t="s">
        <v>1694</v>
      </c>
      <c r="I472">
        <v>0</v>
      </c>
      <c r="J472" s="6" t="s">
        <v>1697</v>
      </c>
      <c r="K472" s="6" t="s">
        <v>1697</v>
      </c>
      <c r="L472" s="6" t="s">
        <v>1697</v>
      </c>
      <c r="M472" s="6" t="s">
        <v>1697</v>
      </c>
      <c r="N472" s="6" t="s">
        <v>1697</v>
      </c>
      <c r="O472" s="6" t="s">
        <v>1697</v>
      </c>
      <c r="P472" s="6" t="s">
        <v>1697</v>
      </c>
      <c r="Q472" s="6" t="s">
        <v>1697</v>
      </c>
      <c r="R472" s="6" t="s">
        <v>1697</v>
      </c>
      <c r="S472" s="6" t="s">
        <v>1697</v>
      </c>
      <c r="T472" s="6" t="s">
        <v>1697</v>
      </c>
      <c r="U472" s="6" t="s">
        <v>1697</v>
      </c>
      <c r="V472" s="6" t="s">
        <v>1697</v>
      </c>
      <c r="W472" s="6" t="s">
        <v>1697</v>
      </c>
      <c r="X472" s="6" t="s">
        <v>1697</v>
      </c>
      <c r="Y472" s="6" t="s">
        <v>1697</v>
      </c>
      <c r="Z472" s="6" t="s">
        <v>1697</v>
      </c>
      <c r="AA472" s="6" t="s">
        <v>1697</v>
      </c>
      <c r="AB472" s="6" t="s">
        <v>1697</v>
      </c>
      <c r="AC472" s="6" t="s">
        <v>1697</v>
      </c>
      <c r="AD472" s="6" t="s">
        <v>1697</v>
      </c>
      <c r="AE472" s="6" t="s">
        <v>1697</v>
      </c>
      <c r="AF472" s="6" t="s">
        <v>1697</v>
      </c>
      <c r="AG472" s="6" t="s">
        <v>1697</v>
      </c>
      <c r="AH472" s="6" t="s">
        <v>1697</v>
      </c>
      <c r="AI472" s="6" t="s">
        <v>1697</v>
      </c>
      <c r="AJ472" t="s">
        <v>1694</v>
      </c>
      <c r="AK472" t="s">
        <v>1694</v>
      </c>
      <c r="AL472" t="s">
        <v>1694</v>
      </c>
      <c r="AM472" t="s">
        <v>1694</v>
      </c>
      <c r="AN472" t="s">
        <v>1694</v>
      </c>
      <c r="AO472" t="s">
        <v>1694</v>
      </c>
      <c r="AP472" t="s">
        <v>1695</v>
      </c>
      <c r="AQ472" t="s">
        <v>1711</v>
      </c>
      <c r="AR472" t="s">
        <v>1694</v>
      </c>
      <c r="AS472" t="s">
        <v>1694</v>
      </c>
      <c r="AT472" t="s">
        <v>1694</v>
      </c>
      <c r="AU472" t="s">
        <v>1697</v>
      </c>
      <c r="AV472" t="s">
        <v>1697</v>
      </c>
      <c r="AW472" t="s">
        <v>1694</v>
      </c>
      <c r="AX472" t="s">
        <v>1695</v>
      </c>
      <c r="AY472" t="s">
        <v>1711</v>
      </c>
      <c r="AZ472" t="s">
        <v>1694</v>
      </c>
      <c r="BA472" t="s">
        <v>1700</v>
      </c>
      <c r="BB472" t="s">
        <v>1695</v>
      </c>
      <c r="BC472" t="s">
        <v>1711</v>
      </c>
      <c r="BD472" t="s">
        <v>1694</v>
      </c>
      <c r="BE472" t="s">
        <v>1695</v>
      </c>
      <c r="BF472" t="s">
        <v>1711</v>
      </c>
      <c r="BG472" s="6" t="s">
        <v>1697</v>
      </c>
      <c r="BH472" s="6" t="s">
        <v>1697</v>
      </c>
      <c r="BI472" t="b">
        <v>1</v>
      </c>
      <c r="BJ472">
        <f t="shared" si="7"/>
        <v>1</v>
      </c>
    </row>
    <row r="473" spans="1:62" x14ac:dyDescent="0.2">
      <c r="A473" s="5" t="s">
        <v>109</v>
      </c>
      <c r="B473" s="6">
        <v>36641</v>
      </c>
      <c r="C473" s="7">
        <v>33.307822000000002</v>
      </c>
      <c r="D473" s="7">
        <v>-112.134186</v>
      </c>
      <c r="E473" s="17">
        <v>398</v>
      </c>
      <c r="F473" t="s">
        <v>1694</v>
      </c>
      <c r="G473" t="s">
        <v>1694</v>
      </c>
      <c r="H473" t="s">
        <v>1694</v>
      </c>
      <c r="I473">
        <v>0</v>
      </c>
      <c r="J473" s="8">
        <v>14.865440221843528</v>
      </c>
      <c r="K473" s="8">
        <v>67.37727454615893</v>
      </c>
      <c r="L473" s="8">
        <v>17.757285231997542</v>
      </c>
      <c r="M473" s="8">
        <v>1.6250433319911215</v>
      </c>
      <c r="N473" s="8">
        <v>1.3918547332488311</v>
      </c>
      <c r="O473" s="8">
        <v>2.3897717568770425</v>
      </c>
      <c r="P473" s="8">
        <v>1.4181282173630441</v>
      </c>
      <c r="Q473" s="8">
        <v>10.853746324743669</v>
      </c>
      <c r="R473" s="8">
        <v>3.7674932937304058</v>
      </c>
      <c r="S473" s="8">
        <v>0.82399999999999995</v>
      </c>
      <c r="T473" s="8">
        <v>1.1040000000000001</v>
      </c>
      <c r="U473" s="8">
        <v>0.40600000000000003</v>
      </c>
      <c r="V473" s="8">
        <v>0.83</v>
      </c>
      <c r="W473" s="8">
        <v>0.41799999999999998</v>
      </c>
      <c r="X473" s="8">
        <v>0.27400000000000002</v>
      </c>
      <c r="Y473" s="8">
        <v>1.3519600000000001</v>
      </c>
      <c r="Z473" s="8">
        <v>1.0960099999999999</v>
      </c>
      <c r="AA473" s="9">
        <v>8.36</v>
      </c>
      <c r="AB473" s="10">
        <v>0.29949999999999999</v>
      </c>
      <c r="AC473" s="8">
        <v>1.3328800000000001</v>
      </c>
      <c r="AD473" s="8">
        <v>1.8847799999999999</v>
      </c>
      <c r="AE473" s="8">
        <v>4.3999999999999997E-2</v>
      </c>
      <c r="AF473" s="8">
        <v>1.0999999999999999E-2</v>
      </c>
      <c r="AG473" s="8">
        <v>1.8193533977861349</v>
      </c>
      <c r="AH473" s="8">
        <v>18.727272727272727</v>
      </c>
      <c r="AI473" s="8">
        <v>25.090909090909093</v>
      </c>
      <c r="AJ473" t="s">
        <v>1694</v>
      </c>
      <c r="AK473" t="s">
        <v>1694</v>
      </c>
      <c r="AL473" t="s">
        <v>1726</v>
      </c>
      <c r="AM473" t="s">
        <v>1694</v>
      </c>
      <c r="AN473" t="s">
        <v>1726</v>
      </c>
      <c r="AO473" t="s">
        <v>1694</v>
      </c>
      <c r="AP473" t="s">
        <v>1695</v>
      </c>
      <c r="AQ473" t="s">
        <v>1694</v>
      </c>
      <c r="AR473" t="s">
        <v>1694</v>
      </c>
      <c r="AS473" t="s">
        <v>1726</v>
      </c>
      <c r="AT473" t="s">
        <v>1694</v>
      </c>
      <c r="AU473" t="s">
        <v>1695</v>
      </c>
      <c r="AV473" t="s">
        <v>1694</v>
      </c>
      <c r="AW473" t="s">
        <v>1694</v>
      </c>
      <c r="AX473" t="s">
        <v>1695</v>
      </c>
      <c r="AY473" t="s">
        <v>1694</v>
      </c>
      <c r="AZ473" t="s">
        <v>1694</v>
      </c>
      <c r="BA473" t="s">
        <v>1726</v>
      </c>
      <c r="BB473" t="s">
        <v>1695</v>
      </c>
      <c r="BC473" t="s">
        <v>1694</v>
      </c>
      <c r="BD473" t="s">
        <v>1694</v>
      </c>
      <c r="BE473" t="s">
        <v>1695</v>
      </c>
      <c r="BF473" t="s">
        <v>1694</v>
      </c>
      <c r="BG473" t="s">
        <v>1697</v>
      </c>
      <c r="BH473" t="s">
        <v>1698</v>
      </c>
      <c r="BI473" t="b">
        <v>0</v>
      </c>
      <c r="BJ473">
        <f t="shared" si="7"/>
        <v>0</v>
      </c>
    </row>
    <row r="474" spans="1:62" x14ac:dyDescent="0.2">
      <c r="A474" s="5" t="s">
        <v>109</v>
      </c>
      <c r="B474" s="6">
        <v>38436</v>
      </c>
      <c r="C474" s="7">
        <v>33.307822000000002</v>
      </c>
      <c r="D474" s="7">
        <v>-112.134186</v>
      </c>
      <c r="E474" s="17">
        <v>398</v>
      </c>
      <c r="F474" t="s">
        <v>1694</v>
      </c>
      <c r="G474" t="s">
        <v>1694</v>
      </c>
      <c r="H474" t="s">
        <v>1694</v>
      </c>
      <c r="I474">
        <v>0</v>
      </c>
      <c r="J474" s="8">
        <v>9.4595709892740807</v>
      </c>
      <c r="K474" s="8">
        <v>71.51250357946553</v>
      </c>
      <c r="L474" s="8">
        <v>19.027925431260385</v>
      </c>
      <c r="M474" s="8">
        <v>1.5362642611512465</v>
      </c>
      <c r="N474" s="8">
        <v>1.9151115107601149</v>
      </c>
      <c r="O474" s="8">
        <v>0.71692332187058172</v>
      </c>
      <c r="P474" s="8">
        <v>1.3184806170233097</v>
      </c>
      <c r="Q474" s="8">
        <v>1.6107620038283055</v>
      </c>
      <c r="R474" s="8">
        <v>2.4216373160296496</v>
      </c>
      <c r="S474" s="8">
        <v>1.016</v>
      </c>
      <c r="T474" s="8">
        <v>0.86799999999999999</v>
      </c>
      <c r="U474" s="8">
        <v>0.439</v>
      </c>
      <c r="V474" s="8">
        <v>0.79600000000000004</v>
      </c>
      <c r="W474" s="8">
        <v>0.57699999999999996</v>
      </c>
      <c r="X474" s="8">
        <v>7.1999999999999953E-2</v>
      </c>
      <c r="Y474" s="8">
        <v>2.5503355704697919</v>
      </c>
      <c r="Z474" s="8">
        <v>1.8062397372742109</v>
      </c>
      <c r="AA474" s="8">
        <v>8.42</v>
      </c>
      <c r="AB474">
        <v>0.21099999999999999</v>
      </c>
      <c r="AC474" s="8">
        <v>2.4161073825503316</v>
      </c>
      <c r="AD474" s="8">
        <v>3.1198686371100086</v>
      </c>
      <c r="AE474" s="8">
        <v>3.9E-2</v>
      </c>
      <c r="AF474" s="8">
        <v>8.9999999999999993E-3</v>
      </c>
      <c r="AG474" s="8">
        <v>1.4267100277041349</v>
      </c>
      <c r="AH474" s="8">
        <v>26.051282051282051</v>
      </c>
      <c r="AI474" s="8">
        <v>22.256410256410255</v>
      </c>
      <c r="AJ474" t="s">
        <v>1694</v>
      </c>
      <c r="AK474" t="s">
        <v>1694</v>
      </c>
      <c r="AL474" t="s">
        <v>1726</v>
      </c>
      <c r="AM474" t="s">
        <v>1694</v>
      </c>
      <c r="AN474" t="s">
        <v>1726</v>
      </c>
      <c r="AO474" t="s">
        <v>1694</v>
      </c>
      <c r="AP474" t="s">
        <v>1695</v>
      </c>
      <c r="AQ474" t="s">
        <v>1694</v>
      </c>
      <c r="AR474" t="s">
        <v>1694</v>
      </c>
      <c r="AS474" t="s">
        <v>1726</v>
      </c>
      <c r="AT474" t="s">
        <v>1694</v>
      </c>
      <c r="AU474" t="s">
        <v>1695</v>
      </c>
      <c r="AV474" t="s">
        <v>1694</v>
      </c>
      <c r="AW474" t="s">
        <v>1694</v>
      </c>
      <c r="AX474" t="s">
        <v>1695</v>
      </c>
      <c r="AY474" t="s">
        <v>1694</v>
      </c>
      <c r="AZ474" t="s">
        <v>1694</v>
      </c>
      <c r="BA474" t="s">
        <v>1726</v>
      </c>
      <c r="BB474" t="s">
        <v>1695</v>
      </c>
      <c r="BC474" t="s">
        <v>1694</v>
      </c>
      <c r="BD474" t="s">
        <v>1694</v>
      </c>
      <c r="BE474" t="s">
        <v>1695</v>
      </c>
      <c r="BF474" t="s">
        <v>1694</v>
      </c>
      <c r="BG474" t="s">
        <v>1697</v>
      </c>
      <c r="BH474" t="s">
        <v>1698</v>
      </c>
      <c r="BI474" t="b">
        <v>0</v>
      </c>
      <c r="BJ474">
        <f t="shared" si="7"/>
        <v>0</v>
      </c>
    </row>
    <row r="475" spans="1:62" x14ac:dyDescent="0.2">
      <c r="A475" s="5" t="s">
        <v>109</v>
      </c>
      <c r="B475" s="6">
        <v>40281</v>
      </c>
      <c r="C475" s="7">
        <v>33.307822000000002</v>
      </c>
      <c r="D475" s="7">
        <v>-112.134186</v>
      </c>
      <c r="E475" s="17">
        <v>398</v>
      </c>
      <c r="F475" t="s">
        <v>1694</v>
      </c>
      <c r="G475" t="s">
        <v>1694</v>
      </c>
      <c r="H475" t="s">
        <v>1694</v>
      </c>
      <c r="I475">
        <v>0</v>
      </c>
      <c r="J475" s="8">
        <v>8.9889326542895738</v>
      </c>
      <c r="K475" s="8">
        <v>70.792329246186512</v>
      </c>
      <c r="L475" s="8">
        <v>20.218738099523918</v>
      </c>
      <c r="M475" s="8">
        <v>0.28354476452644822</v>
      </c>
      <c r="N475" s="8">
        <v>1.7280243373202355E-2</v>
      </c>
      <c r="O475" s="8">
        <v>0.60951517960548229</v>
      </c>
      <c r="P475" s="8">
        <v>0.74763501941202037</v>
      </c>
      <c r="Q475" s="8">
        <v>11.63173270473958</v>
      </c>
      <c r="R475" s="8">
        <v>2.5000000000000001E-3</v>
      </c>
      <c r="S475" s="8">
        <v>0.442</v>
      </c>
      <c r="T475" s="8">
        <v>0.20599999999999999</v>
      </c>
      <c r="U475" s="8">
        <v>0.23400000000000001</v>
      </c>
      <c r="V475" s="8">
        <v>0.155</v>
      </c>
      <c r="W475" s="8">
        <v>0.20799999999999999</v>
      </c>
      <c r="X475" s="8">
        <v>5.099999999999999E-2</v>
      </c>
      <c r="Y475" s="8">
        <v>2.1978021978021944</v>
      </c>
      <c r="Z475" s="8">
        <v>1.4796547472256378</v>
      </c>
      <c r="AA475" s="8">
        <v>8.2100000000000009</v>
      </c>
      <c r="AB475">
        <v>0.20599999999999999</v>
      </c>
      <c r="AC475" s="8">
        <v>1.4652014652014775</v>
      </c>
      <c r="AD475" s="8">
        <v>1.1097410604192339</v>
      </c>
      <c r="AE475" s="8">
        <v>2.9000000000000001E-2</v>
      </c>
      <c r="AF475" s="8">
        <v>7.0000000000000001E-3</v>
      </c>
      <c r="AG475" s="8">
        <v>1.4032474906342942</v>
      </c>
      <c r="AH475" s="8">
        <v>15.241379310344827</v>
      </c>
      <c r="AI475" s="8">
        <v>7.1034482758620685</v>
      </c>
      <c r="AJ475" t="s">
        <v>1694</v>
      </c>
      <c r="AK475" t="s">
        <v>1694</v>
      </c>
      <c r="AL475" t="s">
        <v>1726</v>
      </c>
      <c r="AM475" t="s">
        <v>1694</v>
      </c>
      <c r="AN475" t="s">
        <v>1726</v>
      </c>
      <c r="AO475" t="s">
        <v>1694</v>
      </c>
      <c r="AP475" t="s">
        <v>1695</v>
      </c>
      <c r="AQ475" t="s">
        <v>1694</v>
      </c>
      <c r="AR475" t="s">
        <v>1694</v>
      </c>
      <c r="AS475" t="s">
        <v>1726</v>
      </c>
      <c r="AT475" t="s">
        <v>1694</v>
      </c>
      <c r="AU475" t="s">
        <v>1695</v>
      </c>
      <c r="AV475" t="s">
        <v>1694</v>
      </c>
      <c r="AW475" t="s">
        <v>1694</v>
      </c>
      <c r="AX475" t="s">
        <v>1695</v>
      </c>
      <c r="AY475" t="s">
        <v>1694</v>
      </c>
      <c r="AZ475" t="s">
        <v>1694</v>
      </c>
      <c r="BA475" t="s">
        <v>1726</v>
      </c>
      <c r="BB475" t="s">
        <v>1695</v>
      </c>
      <c r="BC475" t="s">
        <v>1694</v>
      </c>
      <c r="BD475" t="s">
        <v>1694</v>
      </c>
      <c r="BE475" t="s">
        <v>1695</v>
      </c>
      <c r="BF475" t="s">
        <v>1694</v>
      </c>
      <c r="BG475" t="s">
        <v>1697</v>
      </c>
      <c r="BH475" t="s">
        <v>1698</v>
      </c>
      <c r="BI475" t="b">
        <v>0</v>
      </c>
      <c r="BJ475">
        <f t="shared" si="7"/>
        <v>0</v>
      </c>
    </row>
    <row r="476" spans="1:62" x14ac:dyDescent="0.2">
      <c r="A476" s="5" t="s">
        <v>109</v>
      </c>
      <c r="B476" s="6">
        <v>42136</v>
      </c>
      <c r="C476" s="7">
        <v>33.307822000000002</v>
      </c>
      <c r="D476" s="7">
        <v>-112.134186</v>
      </c>
      <c r="E476" s="17">
        <v>398</v>
      </c>
      <c r="F476" t="s">
        <v>1694</v>
      </c>
      <c r="G476" t="s">
        <v>1694</v>
      </c>
      <c r="H476" t="s">
        <v>1694</v>
      </c>
      <c r="I476">
        <v>0</v>
      </c>
      <c r="J476">
        <v>5.7215482417209502</v>
      </c>
      <c r="K476">
        <v>83.652555195904895</v>
      </c>
      <c r="L476">
        <v>10.6258965623741</v>
      </c>
      <c r="M476">
        <v>3.17121495321978</v>
      </c>
      <c r="N476">
        <v>2.0882260774291401</v>
      </c>
      <c r="O476">
        <v>8.9958954795418098</v>
      </c>
      <c r="P476">
        <v>12.6357628889024</v>
      </c>
      <c r="Q476">
        <v>13.2306135280199</v>
      </c>
      <c r="R476">
        <v>8.0196584103606199</v>
      </c>
      <c r="S476">
        <v>1.0389999999999999</v>
      </c>
      <c r="T476">
        <v>0.39700000000000002</v>
      </c>
      <c r="U476">
        <v>0.68200000000000005</v>
      </c>
      <c r="V476">
        <v>0.39800000000000002</v>
      </c>
      <c r="W476">
        <v>0.35699999999999998</v>
      </c>
      <c r="X476">
        <v>-1E-3</v>
      </c>
      <c r="Y476">
        <v>2.0506634499396901</v>
      </c>
      <c r="Z476">
        <v>1.4739229024943401</v>
      </c>
      <c r="AA476">
        <v>7.92</v>
      </c>
      <c r="AB476">
        <v>0.17199999999999999</v>
      </c>
      <c r="AC476">
        <v>1.1608623548922099</v>
      </c>
      <c r="AD476">
        <v>1.0638297872340501</v>
      </c>
      <c r="AE476">
        <v>7.0000000000000007E-2</v>
      </c>
      <c r="AF476">
        <v>1.9E-2</v>
      </c>
      <c r="AG476">
        <v>1.8527947193810135</v>
      </c>
      <c r="AH476">
        <v>14.842857142857101</v>
      </c>
      <c r="AI476">
        <v>20.894736842105299</v>
      </c>
      <c r="AJ476" t="s">
        <v>1694</v>
      </c>
      <c r="AK476" t="s">
        <v>1694</v>
      </c>
      <c r="AL476" t="s">
        <v>1726</v>
      </c>
      <c r="AM476" t="s">
        <v>1694</v>
      </c>
      <c r="AN476" t="s">
        <v>1726</v>
      </c>
      <c r="AO476" t="s">
        <v>1694</v>
      </c>
      <c r="AP476" t="s">
        <v>1695</v>
      </c>
      <c r="AQ476" t="s">
        <v>1694</v>
      </c>
      <c r="AR476" t="s">
        <v>1694</v>
      </c>
      <c r="AS476" t="s">
        <v>1726</v>
      </c>
      <c r="AT476" t="s">
        <v>1694</v>
      </c>
      <c r="AU476" t="s">
        <v>1695</v>
      </c>
      <c r="AV476" t="s">
        <v>1694</v>
      </c>
      <c r="AW476" t="s">
        <v>1694</v>
      </c>
      <c r="AX476" t="s">
        <v>1695</v>
      </c>
      <c r="AY476" t="s">
        <v>1694</v>
      </c>
      <c r="AZ476" t="s">
        <v>1694</v>
      </c>
      <c r="BA476" t="s">
        <v>1726</v>
      </c>
      <c r="BB476" t="s">
        <v>1695</v>
      </c>
      <c r="BC476" t="s">
        <v>1694</v>
      </c>
      <c r="BD476" t="s">
        <v>1694</v>
      </c>
      <c r="BE476" t="s">
        <v>1695</v>
      </c>
      <c r="BF476" t="s">
        <v>1694</v>
      </c>
      <c r="BG476" t="s">
        <v>1697</v>
      </c>
      <c r="BH476" t="s">
        <v>1698</v>
      </c>
      <c r="BI476" t="b">
        <v>0</v>
      </c>
      <c r="BJ476">
        <f t="shared" si="7"/>
        <v>0</v>
      </c>
    </row>
    <row r="477" spans="1:62" x14ac:dyDescent="0.2">
      <c r="A477" s="5" t="s">
        <v>109</v>
      </c>
      <c r="B477" s="6">
        <v>45026</v>
      </c>
      <c r="C477" s="7">
        <v>33.307822000000002</v>
      </c>
      <c r="D477" s="7">
        <v>-112.134186</v>
      </c>
      <c r="E477" s="17">
        <v>398</v>
      </c>
      <c r="F477" t="s">
        <v>1694</v>
      </c>
      <c r="G477" t="s">
        <v>1694</v>
      </c>
      <c r="H477" t="s">
        <v>1694</v>
      </c>
      <c r="I477">
        <v>0</v>
      </c>
      <c r="J477" s="6" t="s">
        <v>1697</v>
      </c>
      <c r="K477" s="6" t="s">
        <v>1697</v>
      </c>
      <c r="L477" s="6" t="s">
        <v>1697</v>
      </c>
      <c r="M477" s="6" t="s">
        <v>1697</v>
      </c>
      <c r="N477" s="6" t="s">
        <v>1697</v>
      </c>
      <c r="O477" s="6" t="s">
        <v>1697</v>
      </c>
      <c r="P477" s="6" t="s">
        <v>1697</v>
      </c>
      <c r="Q477" s="6" t="s">
        <v>1697</v>
      </c>
      <c r="R477" s="6" t="s">
        <v>1697</v>
      </c>
      <c r="S477" s="6" t="s">
        <v>1697</v>
      </c>
      <c r="T477" s="6" t="s">
        <v>1697</v>
      </c>
      <c r="U477" s="6" t="s">
        <v>1697</v>
      </c>
      <c r="V477" s="6" t="s">
        <v>1697</v>
      </c>
      <c r="W477" s="6" t="s">
        <v>1697</v>
      </c>
      <c r="X477" s="6" t="s">
        <v>1697</v>
      </c>
      <c r="Y477" s="6" t="s">
        <v>1697</v>
      </c>
      <c r="Z477" s="6" t="s">
        <v>1697</v>
      </c>
      <c r="AA477" s="6" t="s">
        <v>1697</v>
      </c>
      <c r="AB477" s="6" t="s">
        <v>1697</v>
      </c>
      <c r="AC477" s="6" t="s">
        <v>1697</v>
      </c>
      <c r="AD477" s="6" t="s">
        <v>1697</v>
      </c>
      <c r="AE477" s="6" t="s">
        <v>1697</v>
      </c>
      <c r="AF477" s="6" t="s">
        <v>1697</v>
      </c>
      <c r="AG477" s="6" t="s">
        <v>1697</v>
      </c>
      <c r="AH477" s="6" t="s">
        <v>1697</v>
      </c>
      <c r="AI477" s="6" t="s">
        <v>1697</v>
      </c>
      <c r="AJ477" t="s">
        <v>1694</v>
      </c>
      <c r="AK477" t="s">
        <v>1694</v>
      </c>
      <c r="AL477" t="s">
        <v>1726</v>
      </c>
      <c r="AM477" t="s">
        <v>1694</v>
      </c>
      <c r="AN477" t="s">
        <v>1726</v>
      </c>
      <c r="AO477" t="s">
        <v>1694</v>
      </c>
      <c r="AP477" t="s">
        <v>1695</v>
      </c>
      <c r="AQ477" t="s">
        <v>1694</v>
      </c>
      <c r="AR477" t="s">
        <v>1694</v>
      </c>
      <c r="AS477" t="s">
        <v>1726</v>
      </c>
      <c r="AT477" t="s">
        <v>1694</v>
      </c>
      <c r="AU477" t="s">
        <v>1695</v>
      </c>
      <c r="AV477" t="s">
        <v>1694</v>
      </c>
      <c r="AW477" t="s">
        <v>1694</v>
      </c>
      <c r="AX477" t="s">
        <v>1695</v>
      </c>
      <c r="AY477" t="s">
        <v>1694</v>
      </c>
      <c r="AZ477" t="s">
        <v>1694</v>
      </c>
      <c r="BA477" t="s">
        <v>1726</v>
      </c>
      <c r="BB477" t="s">
        <v>1695</v>
      </c>
      <c r="BC477" t="s">
        <v>1694</v>
      </c>
      <c r="BD477" t="s">
        <v>1694</v>
      </c>
      <c r="BE477" t="s">
        <v>1695</v>
      </c>
      <c r="BF477" t="s">
        <v>1694</v>
      </c>
      <c r="BG477" s="6" t="s">
        <v>1697</v>
      </c>
      <c r="BH477" s="6" t="s">
        <v>1697</v>
      </c>
      <c r="BI477" t="b">
        <v>1</v>
      </c>
      <c r="BJ477">
        <f t="shared" si="7"/>
        <v>1</v>
      </c>
    </row>
    <row r="478" spans="1:62" x14ac:dyDescent="0.2">
      <c r="A478" s="5" t="s">
        <v>878</v>
      </c>
      <c r="B478" s="6">
        <v>36619</v>
      </c>
      <c r="C478" s="7">
        <v>33.825428000000002</v>
      </c>
      <c r="D478" s="7">
        <v>-112.102733</v>
      </c>
      <c r="E478" s="17">
        <v>547</v>
      </c>
      <c r="F478" s="11" t="s">
        <v>1694</v>
      </c>
      <c r="G478" t="s">
        <v>1694</v>
      </c>
      <c r="H478" t="s">
        <v>1694</v>
      </c>
      <c r="I478">
        <v>0</v>
      </c>
      <c r="J478" s="8">
        <v>37.327064343767923</v>
      </c>
      <c r="K478" s="8">
        <v>26.62078384603555</v>
      </c>
      <c r="L478" s="8">
        <v>36.052151810196527</v>
      </c>
      <c r="M478" s="8">
        <v>4.682581197952902</v>
      </c>
      <c r="N478" s="8">
        <v>4.7196327765937225</v>
      </c>
      <c r="O478" s="8">
        <v>5.7971846095233319</v>
      </c>
      <c r="P478" s="8">
        <v>26.648434177758418</v>
      </c>
      <c r="Q478" s="8">
        <v>11.356204947631587</v>
      </c>
      <c r="R478" s="8">
        <v>4.6752833449510645</v>
      </c>
      <c r="S478" s="8">
        <v>1.536</v>
      </c>
      <c r="T478" s="8">
        <v>2.6349999999999998</v>
      </c>
      <c r="U478" s="8">
        <v>0.95799999999999996</v>
      </c>
      <c r="V478" s="8">
        <v>1.9990000000000001</v>
      </c>
      <c r="W478" s="8">
        <v>0.57799999999999996</v>
      </c>
      <c r="X478" s="8">
        <v>0.63600000000000001</v>
      </c>
      <c r="Y478" s="8">
        <v>3.12046</v>
      </c>
      <c r="Z478" s="8">
        <v>2.9780600000000002</v>
      </c>
      <c r="AA478" s="9">
        <v>7.99</v>
      </c>
      <c r="AB478" s="10">
        <v>0.59799999999999998</v>
      </c>
      <c r="AC478" s="8">
        <v>6.8690100000000003</v>
      </c>
      <c r="AD478" s="8">
        <v>8.9142899999999994</v>
      </c>
      <c r="AE478" s="8">
        <v>9.2999999999999999E-2</v>
      </c>
      <c r="AF478" s="8">
        <v>7.2999999999999995E-2</v>
      </c>
      <c r="AG478" s="8">
        <v>1.200681313551025</v>
      </c>
      <c r="AH478" s="8">
        <v>16.516129032258064</v>
      </c>
      <c r="AI478" s="8">
        <v>28.333333333333332</v>
      </c>
      <c r="AJ478" t="s">
        <v>1694</v>
      </c>
      <c r="AK478" t="s">
        <v>1694</v>
      </c>
      <c r="AL478" t="s">
        <v>1694</v>
      </c>
      <c r="AM478" t="s">
        <v>1694</v>
      </c>
      <c r="AN478" t="s">
        <v>1694</v>
      </c>
      <c r="AO478" t="s">
        <v>1694</v>
      </c>
      <c r="AP478" t="s">
        <v>1695</v>
      </c>
      <c r="AQ478" t="s">
        <v>1694</v>
      </c>
      <c r="AR478" t="s">
        <v>1694</v>
      </c>
      <c r="AS478" t="s">
        <v>1694</v>
      </c>
      <c r="AT478" t="s">
        <v>1694</v>
      </c>
      <c r="AU478" t="s">
        <v>1695</v>
      </c>
      <c r="AV478" t="s">
        <v>1694</v>
      </c>
      <c r="AW478" t="s">
        <v>1694</v>
      </c>
      <c r="AX478" t="s">
        <v>1695</v>
      </c>
      <c r="AY478" t="s">
        <v>1694</v>
      </c>
      <c r="AZ478" t="s">
        <v>1694</v>
      </c>
      <c r="BA478" t="s">
        <v>1694</v>
      </c>
      <c r="BB478" t="s">
        <v>1695</v>
      </c>
      <c r="BC478" t="s">
        <v>1694</v>
      </c>
      <c r="BD478" t="s">
        <v>1694</v>
      </c>
      <c r="BE478" t="s">
        <v>1695</v>
      </c>
      <c r="BF478" t="s">
        <v>1694</v>
      </c>
      <c r="BG478" t="s">
        <v>1697</v>
      </c>
      <c r="BH478" t="s">
        <v>1698</v>
      </c>
      <c r="BI478" t="b">
        <v>0</v>
      </c>
      <c r="BJ478">
        <f t="shared" si="7"/>
        <v>0</v>
      </c>
    </row>
    <row r="479" spans="1:62" x14ac:dyDescent="0.2">
      <c r="A479" s="5" t="s">
        <v>878</v>
      </c>
      <c r="B479" s="6">
        <v>38448</v>
      </c>
      <c r="C479" s="7">
        <v>33.825428000000002</v>
      </c>
      <c r="D479" s="7">
        <v>-112.102733</v>
      </c>
      <c r="E479" s="17">
        <v>547</v>
      </c>
      <c r="F479" s="11" t="s">
        <v>1694</v>
      </c>
      <c r="G479" t="s">
        <v>1694</v>
      </c>
      <c r="H479" t="s">
        <v>1694</v>
      </c>
      <c r="I479">
        <v>0</v>
      </c>
      <c r="J479" s="8">
        <v>28.267956393018231</v>
      </c>
      <c r="K479" s="8">
        <v>32.371363691949952</v>
      </c>
      <c r="L479" s="8">
        <v>39.360679915031817</v>
      </c>
      <c r="M479" s="8">
        <v>2.1912698152709069</v>
      </c>
      <c r="N479" s="8">
        <v>1.9174029917181865</v>
      </c>
      <c r="O479" s="8">
        <v>0.65112017368049824</v>
      </c>
      <c r="P479" s="8">
        <v>0.78613522660445645</v>
      </c>
      <c r="Q479" s="8">
        <v>5.9923987511169612</v>
      </c>
      <c r="R479" s="8">
        <v>3.0164621647050254</v>
      </c>
      <c r="S479" s="8">
        <v>1.48</v>
      </c>
      <c r="T479" s="8">
        <v>1.7669999999999999</v>
      </c>
      <c r="U479" s="8">
        <v>0.872</v>
      </c>
      <c r="V479" s="8">
        <v>1.43</v>
      </c>
      <c r="W479" s="8">
        <v>0.60799999999999998</v>
      </c>
      <c r="X479" s="8">
        <v>0.33699999999999997</v>
      </c>
      <c r="Y479" s="8">
        <v>2.6978417266186954</v>
      </c>
      <c r="Z479" s="8">
        <v>3.2928942807625567</v>
      </c>
      <c r="AA479" s="8">
        <v>8.41</v>
      </c>
      <c r="AB479">
        <v>0.495</v>
      </c>
      <c r="AC479" s="8">
        <v>7.5539568345323893</v>
      </c>
      <c r="AD479" s="8">
        <v>9.3587521663778332</v>
      </c>
      <c r="AE479" s="8">
        <v>6.3E-2</v>
      </c>
      <c r="AF479" s="8">
        <v>4.9000000000000002E-2</v>
      </c>
      <c r="AG479" s="8">
        <v>1.1574031633971869</v>
      </c>
      <c r="AH479" s="8">
        <v>23.49206349206349</v>
      </c>
      <c r="AI479" s="8">
        <v>28.047619047619047</v>
      </c>
      <c r="AJ479" t="s">
        <v>1694</v>
      </c>
      <c r="AK479" t="s">
        <v>1694</v>
      </c>
      <c r="AL479" t="s">
        <v>1694</v>
      </c>
      <c r="AM479" t="s">
        <v>1694</v>
      </c>
      <c r="AN479" t="s">
        <v>1694</v>
      </c>
      <c r="AO479" t="s">
        <v>1694</v>
      </c>
      <c r="AP479" t="s">
        <v>1695</v>
      </c>
      <c r="AQ479" t="s">
        <v>1694</v>
      </c>
      <c r="AR479" t="s">
        <v>1694</v>
      </c>
      <c r="AS479" t="s">
        <v>1694</v>
      </c>
      <c r="AT479" t="s">
        <v>1694</v>
      </c>
      <c r="AU479" t="s">
        <v>1695</v>
      </c>
      <c r="AV479" t="s">
        <v>1694</v>
      </c>
      <c r="AW479" t="s">
        <v>1694</v>
      </c>
      <c r="AX479" t="s">
        <v>1695</v>
      </c>
      <c r="AY479" t="s">
        <v>1694</v>
      </c>
      <c r="AZ479" t="s">
        <v>1694</v>
      </c>
      <c r="BA479" t="s">
        <v>1694</v>
      </c>
      <c r="BB479" t="s">
        <v>1695</v>
      </c>
      <c r="BC479" t="s">
        <v>1694</v>
      </c>
      <c r="BD479" t="s">
        <v>1694</v>
      </c>
      <c r="BE479" t="s">
        <v>1695</v>
      </c>
      <c r="BF479" t="s">
        <v>1694</v>
      </c>
      <c r="BG479" t="s">
        <v>1697</v>
      </c>
      <c r="BH479" t="s">
        <v>1698</v>
      </c>
      <c r="BI479" t="b">
        <v>1</v>
      </c>
      <c r="BJ479">
        <f t="shared" si="7"/>
        <v>1</v>
      </c>
    </row>
    <row r="480" spans="1:62" x14ac:dyDescent="0.2">
      <c r="A480" s="5" t="s">
        <v>878</v>
      </c>
      <c r="B480" s="6">
        <v>40241</v>
      </c>
      <c r="C480" s="7">
        <v>33.825428000000002</v>
      </c>
      <c r="D480" s="7">
        <v>-112.102733</v>
      </c>
      <c r="E480" s="17">
        <v>547</v>
      </c>
      <c r="F480" s="11" t="s">
        <v>1694</v>
      </c>
      <c r="G480" t="s">
        <v>1694</v>
      </c>
      <c r="H480" t="s">
        <v>1694</v>
      </c>
      <c r="I480">
        <v>0</v>
      </c>
      <c r="J480" s="8">
        <v>39.375079322561625</v>
      </c>
      <c r="K480" s="8">
        <v>28.876285793576855</v>
      </c>
      <c r="L480" s="8">
        <v>31.748634883861513</v>
      </c>
      <c r="M480" s="8">
        <v>5.0000000000000001E-3</v>
      </c>
      <c r="N480" s="8">
        <v>1.8434976719153565E-2</v>
      </c>
      <c r="O480" s="8">
        <v>9.4008403241912575</v>
      </c>
      <c r="P480" s="8">
        <v>0.83521731258205933</v>
      </c>
      <c r="Q480" s="8">
        <v>20.109747094095674</v>
      </c>
      <c r="R480" s="8">
        <v>6.2230238872063355</v>
      </c>
      <c r="S480" s="8">
        <v>1.9730000000000001</v>
      </c>
      <c r="T480" s="8">
        <v>2.8559999999999999</v>
      </c>
      <c r="U480" s="8">
        <v>1.5960000000000001</v>
      </c>
      <c r="V480" s="8">
        <v>2.0699999999999998</v>
      </c>
      <c r="W480" s="8">
        <v>0.377</v>
      </c>
      <c r="X480" s="8">
        <v>0.78600000000000003</v>
      </c>
      <c r="Y480" s="8">
        <v>3.5961272475795272</v>
      </c>
      <c r="Z480" s="8">
        <v>3.8057742782152348</v>
      </c>
      <c r="AA480" s="8">
        <v>8.19</v>
      </c>
      <c r="AB480">
        <v>0.53700000000000003</v>
      </c>
      <c r="AC480" s="8">
        <v>13.001383125864475</v>
      </c>
      <c r="AD480" s="8">
        <v>16.010498687664025</v>
      </c>
      <c r="AE480" s="8">
        <v>7.5999999999999998E-2</v>
      </c>
      <c r="AF480" s="8">
        <v>0.05</v>
      </c>
      <c r="AG480" s="8">
        <v>1.2625853515182988</v>
      </c>
      <c r="AH480" s="8">
        <v>25.960526315789476</v>
      </c>
      <c r="AI480" s="8">
        <v>37.578947368421055</v>
      </c>
      <c r="AJ480" t="s">
        <v>1694</v>
      </c>
      <c r="AK480" t="s">
        <v>1694</v>
      </c>
      <c r="AL480" t="s">
        <v>1694</v>
      </c>
      <c r="AM480" t="s">
        <v>1694</v>
      </c>
      <c r="AN480" t="s">
        <v>1694</v>
      </c>
      <c r="AO480" t="s">
        <v>1694</v>
      </c>
      <c r="AP480" t="s">
        <v>1695</v>
      </c>
      <c r="AQ480" t="s">
        <v>1694</v>
      </c>
      <c r="AR480" t="s">
        <v>1694</v>
      </c>
      <c r="AS480" t="s">
        <v>1694</v>
      </c>
      <c r="AT480" t="s">
        <v>1694</v>
      </c>
      <c r="AU480" t="s">
        <v>1695</v>
      </c>
      <c r="AV480" t="s">
        <v>1694</v>
      </c>
      <c r="AW480" t="s">
        <v>1694</v>
      </c>
      <c r="AX480" t="s">
        <v>1695</v>
      </c>
      <c r="AY480" t="s">
        <v>1694</v>
      </c>
      <c r="AZ480" t="s">
        <v>1694</v>
      </c>
      <c r="BA480" t="s">
        <v>1694</v>
      </c>
      <c r="BB480" t="s">
        <v>1695</v>
      </c>
      <c r="BC480" t="s">
        <v>1694</v>
      </c>
      <c r="BD480" t="s">
        <v>1694</v>
      </c>
      <c r="BE480" t="s">
        <v>1695</v>
      </c>
      <c r="BF480" t="s">
        <v>1694</v>
      </c>
      <c r="BG480" t="s">
        <v>1697</v>
      </c>
      <c r="BH480" t="s">
        <v>1698</v>
      </c>
      <c r="BI480" t="b">
        <v>0</v>
      </c>
      <c r="BJ480">
        <f t="shared" si="7"/>
        <v>0</v>
      </c>
    </row>
    <row r="481" spans="1:62" x14ac:dyDescent="0.2">
      <c r="A481" s="5" t="s">
        <v>878</v>
      </c>
      <c r="B481" s="6">
        <v>42111</v>
      </c>
      <c r="C481" s="7">
        <v>33.825428000000002</v>
      </c>
      <c r="D481" s="7">
        <v>-112.102733</v>
      </c>
      <c r="E481" s="17">
        <v>547</v>
      </c>
      <c r="F481" t="s">
        <v>1694</v>
      </c>
      <c r="G481" t="s">
        <v>1694</v>
      </c>
      <c r="H481" t="s">
        <v>1694</v>
      </c>
      <c r="I481">
        <v>0</v>
      </c>
      <c r="J481">
        <v>12.941261569591701</v>
      </c>
      <c r="K481">
        <v>38.111892665182701</v>
      </c>
      <c r="L481">
        <v>48.946845765225603</v>
      </c>
      <c r="M481">
        <v>2.1902775412475801</v>
      </c>
      <c r="N481">
        <v>3.5857840272747201</v>
      </c>
      <c r="O481">
        <v>12.872368828479599</v>
      </c>
      <c r="P481">
        <v>64.616920288453102</v>
      </c>
      <c r="Q481">
        <v>4.03282038927345</v>
      </c>
      <c r="R481">
        <v>4.1829013401347597</v>
      </c>
      <c r="S481">
        <v>1.0169999999999999</v>
      </c>
      <c r="T481">
        <v>1.4370000000000001</v>
      </c>
      <c r="U481">
        <v>0.76400000000000001</v>
      </c>
      <c r="V481">
        <v>1.3919999999999999</v>
      </c>
      <c r="W481">
        <v>0.253</v>
      </c>
      <c r="X481">
        <v>4.50000000000002E-2</v>
      </c>
      <c r="Y481">
        <v>2.40793201133144</v>
      </c>
      <c r="Z481">
        <v>2.6143790849673199</v>
      </c>
      <c r="AA481">
        <v>8.01</v>
      </c>
      <c r="AB481">
        <v>0.82499999999999996</v>
      </c>
      <c r="AC481">
        <v>5.2192066805845503</v>
      </c>
      <c r="AD481">
        <v>6.1338289962825296</v>
      </c>
      <c r="AE481">
        <v>6.3E-2</v>
      </c>
      <c r="AF481">
        <v>5.2999999999999999E-2</v>
      </c>
      <c r="AG481">
        <v>1.4587919025473639</v>
      </c>
      <c r="AH481">
        <v>16.1428571428571</v>
      </c>
      <c r="AI481">
        <v>27.1132075471698</v>
      </c>
      <c r="AJ481" t="s">
        <v>1694</v>
      </c>
      <c r="AK481" t="s">
        <v>1694</v>
      </c>
      <c r="AL481" t="s">
        <v>1694</v>
      </c>
      <c r="AM481" t="s">
        <v>1694</v>
      </c>
      <c r="AN481" t="s">
        <v>1694</v>
      </c>
      <c r="AO481" t="s">
        <v>1694</v>
      </c>
      <c r="AP481" t="s">
        <v>1697</v>
      </c>
      <c r="AQ481" t="s">
        <v>1697</v>
      </c>
      <c r="AR481" t="s">
        <v>1694</v>
      </c>
      <c r="AS481" t="s">
        <v>1694</v>
      </c>
      <c r="AT481" t="s">
        <v>1694</v>
      </c>
      <c r="AU481" t="s">
        <v>1695</v>
      </c>
      <c r="AV481" t="s">
        <v>1694</v>
      </c>
      <c r="AW481" t="s">
        <v>1694</v>
      </c>
      <c r="AX481" t="s">
        <v>1695</v>
      </c>
      <c r="AY481" t="s">
        <v>1694</v>
      </c>
      <c r="AZ481" t="s">
        <v>1694</v>
      </c>
      <c r="BA481" t="s">
        <v>1694</v>
      </c>
      <c r="BB481" t="s">
        <v>1695</v>
      </c>
      <c r="BC481" t="s">
        <v>1694</v>
      </c>
      <c r="BD481" t="s">
        <v>1694</v>
      </c>
      <c r="BE481" t="s">
        <v>1697</v>
      </c>
      <c r="BF481" t="s">
        <v>1697</v>
      </c>
      <c r="BG481" t="s">
        <v>1697</v>
      </c>
      <c r="BH481" t="s">
        <v>1698</v>
      </c>
      <c r="BI481" t="b">
        <v>1</v>
      </c>
      <c r="BJ481">
        <f t="shared" si="7"/>
        <v>1</v>
      </c>
    </row>
    <row r="482" spans="1:62" x14ac:dyDescent="0.2">
      <c r="A482" s="5" t="s">
        <v>878</v>
      </c>
      <c r="B482" s="6">
        <v>45035</v>
      </c>
      <c r="C482" s="7">
        <v>33.825428000000002</v>
      </c>
      <c r="D482" s="7">
        <v>-112.102733</v>
      </c>
      <c r="E482" s="17">
        <v>547</v>
      </c>
      <c r="F482" t="s">
        <v>1694</v>
      </c>
      <c r="G482" t="s">
        <v>1694</v>
      </c>
      <c r="H482" t="s">
        <v>1694</v>
      </c>
      <c r="I482">
        <v>0</v>
      </c>
      <c r="J482" s="6" t="s">
        <v>1697</v>
      </c>
      <c r="K482" s="6" t="s">
        <v>1697</v>
      </c>
      <c r="L482" s="6" t="s">
        <v>1697</v>
      </c>
      <c r="M482" s="6" t="s">
        <v>1697</v>
      </c>
      <c r="N482" s="6" t="s">
        <v>1697</v>
      </c>
      <c r="O482" s="6" t="s">
        <v>1697</v>
      </c>
      <c r="P482" s="6" t="s">
        <v>1697</v>
      </c>
      <c r="Q482" s="6" t="s">
        <v>1697</v>
      </c>
      <c r="R482" s="6" t="s">
        <v>1697</v>
      </c>
      <c r="S482" s="6" t="s">
        <v>1697</v>
      </c>
      <c r="T482" s="6" t="s">
        <v>1697</v>
      </c>
      <c r="U482" s="6" t="s">
        <v>1697</v>
      </c>
      <c r="V482" s="6" t="s">
        <v>1697</v>
      </c>
      <c r="W482" s="6" t="s">
        <v>1697</v>
      </c>
      <c r="X482" s="6" t="s">
        <v>1697</v>
      </c>
      <c r="Y482" s="6" t="s">
        <v>1697</v>
      </c>
      <c r="Z482" s="6" t="s">
        <v>1697</v>
      </c>
      <c r="AA482" s="6" t="s">
        <v>1697</v>
      </c>
      <c r="AB482" s="6" t="s">
        <v>1697</v>
      </c>
      <c r="AC482" s="6" t="s">
        <v>1697</v>
      </c>
      <c r="AD482" s="6" t="s">
        <v>1697</v>
      </c>
      <c r="AE482" s="6" t="s">
        <v>1697</v>
      </c>
      <c r="AF482" s="6" t="s">
        <v>1697</v>
      </c>
      <c r="AG482" s="6" t="s">
        <v>1697</v>
      </c>
      <c r="AH482" s="6" t="s">
        <v>1697</v>
      </c>
      <c r="AI482" s="6" t="s">
        <v>1697</v>
      </c>
      <c r="AJ482" t="s">
        <v>1694</v>
      </c>
      <c r="AK482" t="s">
        <v>1694</v>
      </c>
      <c r="AL482" t="s">
        <v>1694</v>
      </c>
      <c r="AM482" t="s">
        <v>1694</v>
      </c>
      <c r="AN482" t="s">
        <v>1694</v>
      </c>
      <c r="AO482" t="s">
        <v>1694</v>
      </c>
      <c r="AP482" t="s">
        <v>1697</v>
      </c>
      <c r="AQ482" t="s">
        <v>1697</v>
      </c>
      <c r="AR482" t="s">
        <v>1694</v>
      </c>
      <c r="AS482" t="s">
        <v>1694</v>
      </c>
      <c r="AT482" t="s">
        <v>1694</v>
      </c>
      <c r="AU482" t="s">
        <v>1695</v>
      </c>
      <c r="AV482" t="s">
        <v>1694</v>
      </c>
      <c r="AW482" t="s">
        <v>1694</v>
      </c>
      <c r="AX482" t="s">
        <v>1695</v>
      </c>
      <c r="AY482" t="s">
        <v>1694</v>
      </c>
      <c r="AZ482" t="s">
        <v>1694</v>
      </c>
      <c r="BA482" t="s">
        <v>1694</v>
      </c>
      <c r="BB482" t="s">
        <v>1695</v>
      </c>
      <c r="BC482" t="s">
        <v>1694</v>
      </c>
      <c r="BD482" t="s">
        <v>1694</v>
      </c>
      <c r="BE482" t="s">
        <v>1697</v>
      </c>
      <c r="BF482" t="s">
        <v>1697</v>
      </c>
      <c r="BG482" s="6" t="s">
        <v>1697</v>
      </c>
      <c r="BH482" s="6" t="s">
        <v>1697</v>
      </c>
      <c r="BI482" t="b">
        <v>1</v>
      </c>
      <c r="BJ482">
        <f t="shared" si="7"/>
        <v>1</v>
      </c>
    </row>
    <row r="483" spans="1:62" x14ac:dyDescent="0.2">
      <c r="A483" s="5" t="s">
        <v>879</v>
      </c>
      <c r="B483" s="6">
        <v>36619</v>
      </c>
      <c r="C483" s="7">
        <v>33.770871999999997</v>
      </c>
      <c r="D483" s="7">
        <v>-112.091808</v>
      </c>
      <c r="E483" s="17">
        <v>488</v>
      </c>
      <c r="F483" s="11" t="s">
        <v>1694</v>
      </c>
      <c r="G483" t="s">
        <v>1694</v>
      </c>
      <c r="H483" t="s">
        <v>1694</v>
      </c>
      <c r="I483">
        <v>0</v>
      </c>
      <c r="J483" s="8">
        <v>38.095400652477004</v>
      </c>
      <c r="K483" s="8">
        <v>27.236066724794426</v>
      </c>
      <c r="L483" s="8">
        <v>34.668532622728577</v>
      </c>
      <c r="M483" s="8">
        <v>4.1352364678142211</v>
      </c>
      <c r="N483" s="8">
        <v>4.8587447871185399</v>
      </c>
      <c r="O483" s="8">
        <v>5.817022139936558</v>
      </c>
      <c r="P483" s="8">
        <v>12.175122570043952</v>
      </c>
      <c r="Q483" s="8">
        <v>10.968496333927099</v>
      </c>
      <c r="R483" s="8">
        <v>2.5000000000000001E-3</v>
      </c>
      <c r="S483" s="8">
        <v>0.56799999999999995</v>
      </c>
      <c r="T483" s="8">
        <v>0.443</v>
      </c>
      <c r="U483" s="8">
        <v>3.9E-2</v>
      </c>
      <c r="V483" s="8">
        <v>0.14799999999999999</v>
      </c>
      <c r="W483" s="8">
        <v>0.52900000000000003</v>
      </c>
      <c r="X483" s="8">
        <v>0.29499999999999998</v>
      </c>
      <c r="Y483" s="8">
        <v>2.5428700000000002</v>
      </c>
      <c r="Z483" s="8">
        <v>2.51572</v>
      </c>
      <c r="AA483" s="9">
        <v>8.57</v>
      </c>
      <c r="AB483" s="10">
        <v>0.54400000000000004</v>
      </c>
      <c r="AC483" s="8">
        <v>5.0902399999999997</v>
      </c>
      <c r="AD483" s="8">
        <v>8.0512800000000002</v>
      </c>
      <c r="AE483" s="8">
        <v>6.9000000000000006E-2</v>
      </c>
      <c r="AF483" s="8">
        <v>5.5E-2</v>
      </c>
      <c r="AG483" s="8">
        <v>1.2087334466970563</v>
      </c>
      <c r="AH483" s="8">
        <v>8.2318840579710137</v>
      </c>
      <c r="AI483" s="8">
        <v>6.420289855072463</v>
      </c>
      <c r="AJ483" t="s">
        <v>1694</v>
      </c>
      <c r="AK483" t="s">
        <v>1694</v>
      </c>
      <c r="AL483" t="s">
        <v>1694</v>
      </c>
      <c r="AM483" t="s">
        <v>1694</v>
      </c>
      <c r="AN483" t="s">
        <v>1694</v>
      </c>
      <c r="AO483" t="s">
        <v>1694</v>
      </c>
      <c r="AP483" t="s">
        <v>1695</v>
      </c>
      <c r="AQ483" t="s">
        <v>1694</v>
      </c>
      <c r="AR483" t="s">
        <v>1694</v>
      </c>
      <c r="AS483" t="s">
        <v>1694</v>
      </c>
      <c r="AT483" t="s">
        <v>1694</v>
      </c>
      <c r="AU483" t="s">
        <v>1695</v>
      </c>
      <c r="AV483" t="s">
        <v>1694</v>
      </c>
      <c r="AW483" t="s">
        <v>1694</v>
      </c>
      <c r="AX483" t="s">
        <v>1695</v>
      </c>
      <c r="AY483" t="s">
        <v>1694</v>
      </c>
      <c r="AZ483" t="s">
        <v>1694</v>
      </c>
      <c r="BA483" t="s">
        <v>1694</v>
      </c>
      <c r="BB483" t="s">
        <v>1695</v>
      </c>
      <c r="BC483" t="s">
        <v>1694</v>
      </c>
      <c r="BD483" t="s">
        <v>1694</v>
      </c>
      <c r="BE483" t="s">
        <v>1695</v>
      </c>
      <c r="BF483" t="s">
        <v>1694</v>
      </c>
      <c r="BG483" t="s">
        <v>1697</v>
      </c>
      <c r="BH483" t="s">
        <v>1698</v>
      </c>
      <c r="BI483" t="b">
        <v>0</v>
      </c>
      <c r="BJ483">
        <f t="shared" si="7"/>
        <v>0</v>
      </c>
    </row>
    <row r="484" spans="1:62" x14ac:dyDescent="0.2">
      <c r="A484" s="5" t="s">
        <v>879</v>
      </c>
      <c r="B484" s="6">
        <v>38448</v>
      </c>
      <c r="C484" s="7">
        <v>33.770871999999997</v>
      </c>
      <c r="D484" s="7">
        <v>-112.091808</v>
      </c>
      <c r="E484" s="17">
        <v>488</v>
      </c>
      <c r="F484" s="11" t="s">
        <v>1694</v>
      </c>
      <c r="G484" t="s">
        <v>1694</v>
      </c>
      <c r="H484" t="s">
        <v>1694</v>
      </c>
      <c r="I484">
        <v>0</v>
      </c>
      <c r="J484" s="8">
        <v>25.449257630550292</v>
      </c>
      <c r="K484" s="8">
        <v>38.093960284558058</v>
      </c>
      <c r="L484" s="8">
        <v>36.45678208489165</v>
      </c>
      <c r="M484" s="8">
        <v>4.0132482751108611</v>
      </c>
      <c r="N484" s="8">
        <v>2.1141929667048345</v>
      </c>
      <c r="O484" s="8">
        <v>0.45061033264402656</v>
      </c>
      <c r="P484" s="8">
        <v>0.74361269863411439</v>
      </c>
      <c r="Q484" s="8">
        <v>6.1104314935263249</v>
      </c>
      <c r="R484" s="8">
        <v>1.9855276991936817</v>
      </c>
      <c r="S484" s="8">
        <v>0.46600000000000003</v>
      </c>
      <c r="T484" s="8">
        <v>0.54100000000000004</v>
      </c>
      <c r="U484" s="8">
        <v>3.5999999999999997E-2</v>
      </c>
      <c r="V484" s="8">
        <v>0.35799999999999998</v>
      </c>
      <c r="W484" s="8">
        <v>0.43000000000000005</v>
      </c>
      <c r="X484" s="8">
        <v>0.18300000000000005</v>
      </c>
      <c r="Y484" s="8">
        <v>3.0874785591766676</v>
      </c>
      <c r="Z484" s="8">
        <v>2.905982905982905</v>
      </c>
      <c r="AA484" s="8">
        <v>7.36</v>
      </c>
      <c r="AB484">
        <v>0.33200000000000002</v>
      </c>
      <c r="AC484" s="8">
        <v>7.8902229845626213</v>
      </c>
      <c r="AD484" s="8">
        <v>4.6153846153846088</v>
      </c>
      <c r="AE484" s="8">
        <v>4.9000000000000002E-2</v>
      </c>
      <c r="AF484" s="8">
        <v>3.2000000000000001E-2</v>
      </c>
      <c r="AG484" s="8">
        <v>1.3402451281667964</v>
      </c>
      <c r="AH484" s="8">
        <v>9.5102040816326525</v>
      </c>
      <c r="AI484" s="8">
        <v>11.040816326530612</v>
      </c>
      <c r="AJ484" t="s">
        <v>1694</v>
      </c>
      <c r="AK484" t="s">
        <v>1694</v>
      </c>
      <c r="AL484" t="s">
        <v>1694</v>
      </c>
      <c r="AM484" t="s">
        <v>1694</v>
      </c>
      <c r="AN484" t="s">
        <v>1694</v>
      </c>
      <c r="AO484" t="s">
        <v>1694</v>
      </c>
      <c r="AP484" t="s">
        <v>1695</v>
      </c>
      <c r="AQ484" t="s">
        <v>1694</v>
      </c>
      <c r="AR484" t="s">
        <v>1694</v>
      </c>
      <c r="AS484" t="s">
        <v>1694</v>
      </c>
      <c r="AT484" t="s">
        <v>1694</v>
      </c>
      <c r="AU484" t="s">
        <v>1695</v>
      </c>
      <c r="AV484" t="s">
        <v>1694</v>
      </c>
      <c r="AW484" t="s">
        <v>1694</v>
      </c>
      <c r="AX484" t="s">
        <v>1695</v>
      </c>
      <c r="AY484" t="s">
        <v>1694</v>
      </c>
      <c r="AZ484" t="s">
        <v>1694</v>
      </c>
      <c r="BA484" t="s">
        <v>1694</v>
      </c>
      <c r="BB484" t="s">
        <v>1695</v>
      </c>
      <c r="BC484" t="s">
        <v>1694</v>
      </c>
      <c r="BD484" t="s">
        <v>1694</v>
      </c>
      <c r="BE484" t="s">
        <v>1695</v>
      </c>
      <c r="BF484" t="s">
        <v>1694</v>
      </c>
      <c r="BG484" t="s">
        <v>1697</v>
      </c>
      <c r="BH484" t="s">
        <v>1698</v>
      </c>
      <c r="BI484" t="b">
        <v>1</v>
      </c>
      <c r="BJ484">
        <f t="shared" si="7"/>
        <v>1</v>
      </c>
    </row>
    <row r="485" spans="1:62" x14ac:dyDescent="0.2">
      <c r="A485" s="5" t="s">
        <v>879</v>
      </c>
      <c r="B485" s="6">
        <v>40234</v>
      </c>
      <c r="C485" s="7">
        <v>33.770871999999997</v>
      </c>
      <c r="D485" s="7">
        <v>-112.091808</v>
      </c>
      <c r="E485" s="17">
        <v>488</v>
      </c>
      <c r="F485" s="11" t="s">
        <v>1694</v>
      </c>
      <c r="G485" t="s">
        <v>1694</v>
      </c>
      <c r="H485" t="s">
        <v>1694</v>
      </c>
      <c r="I485">
        <v>0</v>
      </c>
      <c r="J485" s="8">
        <v>34.069585033809268</v>
      </c>
      <c r="K485" s="8">
        <v>32.207097716898176</v>
      </c>
      <c r="L485" s="8">
        <v>33.723317249292563</v>
      </c>
      <c r="M485" s="8">
        <v>5.0000000000000001E-3</v>
      </c>
      <c r="N485" s="8">
        <v>0.1513816457359051</v>
      </c>
      <c r="O485" s="8">
        <v>9.0758501329035415</v>
      </c>
      <c r="P485" s="8">
        <v>16.723312696479567</v>
      </c>
      <c r="Q485" s="8">
        <v>12.382126713485452</v>
      </c>
      <c r="R485" s="8">
        <v>2.5000000000000001E-3</v>
      </c>
      <c r="S485" s="8">
        <v>0.42899999999999999</v>
      </c>
      <c r="T485" s="8">
        <v>0.57699999999999996</v>
      </c>
      <c r="U485" s="8">
        <v>1.7000000000000001E-2</v>
      </c>
      <c r="V485" s="8">
        <v>0.32500000000000001</v>
      </c>
      <c r="W485" s="8">
        <v>0.41199999999999998</v>
      </c>
      <c r="X485" s="8">
        <v>0.25199999999999995</v>
      </c>
      <c r="Y485" s="8">
        <v>3.0746705710102615</v>
      </c>
      <c r="Z485" s="8">
        <v>3.3487297921477963</v>
      </c>
      <c r="AA485" s="8">
        <v>7.17</v>
      </c>
      <c r="AB485">
        <v>0.44800000000000001</v>
      </c>
      <c r="AC485" s="8">
        <v>9.956076134699849</v>
      </c>
      <c r="AD485" s="8">
        <v>9.1224018475750679</v>
      </c>
      <c r="AE485" s="8">
        <v>4.9000000000000002E-2</v>
      </c>
      <c r="AF485" s="8">
        <v>3.3000000000000002E-2</v>
      </c>
      <c r="AG485" s="8">
        <v>1.4639272428299539</v>
      </c>
      <c r="AH485" s="8">
        <v>8.7551020408163254</v>
      </c>
      <c r="AI485" s="8">
        <v>11.775510204081632</v>
      </c>
      <c r="AJ485" t="s">
        <v>1694</v>
      </c>
      <c r="AK485" t="s">
        <v>1694</v>
      </c>
      <c r="AL485" t="s">
        <v>1694</v>
      </c>
      <c r="AM485" t="s">
        <v>1694</v>
      </c>
      <c r="AN485" t="s">
        <v>1694</v>
      </c>
      <c r="AO485" t="s">
        <v>1694</v>
      </c>
      <c r="AP485" t="s">
        <v>1695</v>
      </c>
      <c r="AQ485" t="s">
        <v>1694</v>
      </c>
      <c r="AR485" t="s">
        <v>1694</v>
      </c>
      <c r="AS485" t="s">
        <v>1694</v>
      </c>
      <c r="AT485" t="s">
        <v>1694</v>
      </c>
      <c r="AU485" t="s">
        <v>1695</v>
      </c>
      <c r="AV485" t="s">
        <v>1694</v>
      </c>
      <c r="AW485" t="s">
        <v>1694</v>
      </c>
      <c r="AX485" t="s">
        <v>1695</v>
      </c>
      <c r="AY485" t="s">
        <v>1694</v>
      </c>
      <c r="AZ485" t="s">
        <v>1694</v>
      </c>
      <c r="BA485" t="s">
        <v>1694</v>
      </c>
      <c r="BB485" t="s">
        <v>1695</v>
      </c>
      <c r="BC485" t="s">
        <v>1694</v>
      </c>
      <c r="BD485" t="s">
        <v>1694</v>
      </c>
      <c r="BE485" t="s">
        <v>1695</v>
      </c>
      <c r="BF485" t="s">
        <v>1694</v>
      </c>
      <c r="BG485" t="s">
        <v>1697</v>
      </c>
      <c r="BH485" t="s">
        <v>1698</v>
      </c>
      <c r="BI485" t="b">
        <v>0</v>
      </c>
      <c r="BJ485">
        <f t="shared" si="7"/>
        <v>0</v>
      </c>
    </row>
    <row r="486" spans="1:62" x14ac:dyDescent="0.2">
      <c r="A486" s="5" t="s">
        <v>879</v>
      </c>
      <c r="B486" s="6">
        <v>42172</v>
      </c>
      <c r="C486" s="7">
        <v>33.770871999999997</v>
      </c>
      <c r="D486" s="7">
        <v>-112.091808</v>
      </c>
      <c r="E486" s="17">
        <v>488</v>
      </c>
      <c r="F486" t="s">
        <v>1694</v>
      </c>
      <c r="G486" t="s">
        <v>1694</v>
      </c>
      <c r="H486" t="s">
        <v>1694</v>
      </c>
      <c r="I486">
        <v>0</v>
      </c>
      <c r="J486">
        <v>26.719957139139801</v>
      </c>
      <c r="K486">
        <v>46.9696823436689</v>
      </c>
      <c r="L486">
        <v>26.310360517191299</v>
      </c>
      <c r="M486">
        <v>3.25927951377433</v>
      </c>
      <c r="N486">
        <v>3.38655833286334</v>
      </c>
      <c r="O486">
        <v>51.529391195426498</v>
      </c>
      <c r="P486">
        <v>87.056635404584796</v>
      </c>
      <c r="Q486">
        <v>6.4186805765412398</v>
      </c>
      <c r="R486">
        <v>2.2159059603847502</v>
      </c>
      <c r="S486">
        <v>0.41</v>
      </c>
      <c r="T486">
        <v>0.48199999999999998</v>
      </c>
      <c r="U486">
        <v>0</v>
      </c>
      <c r="V486">
        <v>0.33800000000000002</v>
      </c>
      <c r="W486">
        <v>0.41</v>
      </c>
      <c r="X486">
        <v>0.14399999999999999</v>
      </c>
      <c r="Y486">
        <v>2.0725388601036299</v>
      </c>
      <c r="Z486">
        <v>2.4566473988439301</v>
      </c>
      <c r="AA486">
        <v>7.48</v>
      </c>
      <c r="AB486">
        <v>0.46600000000000003</v>
      </c>
      <c r="AC486">
        <v>4.0219378427788097</v>
      </c>
      <c r="AD486">
        <v>5.3418803418803398</v>
      </c>
      <c r="AE486">
        <v>6.9000000000000006E-2</v>
      </c>
      <c r="AF486">
        <v>2.9000000000000001E-2</v>
      </c>
      <c r="AG486">
        <v>1.4398924699162925</v>
      </c>
      <c r="AH486">
        <v>5.9420289855072497</v>
      </c>
      <c r="AI486">
        <v>16.620689655172399</v>
      </c>
      <c r="AJ486" t="s">
        <v>1694</v>
      </c>
      <c r="AK486" t="s">
        <v>1694</v>
      </c>
      <c r="AL486" t="s">
        <v>1694</v>
      </c>
      <c r="AM486" t="s">
        <v>1694</v>
      </c>
      <c r="AN486" t="s">
        <v>1694</v>
      </c>
      <c r="AO486" t="s">
        <v>1694</v>
      </c>
      <c r="AP486" t="s">
        <v>1697</v>
      </c>
      <c r="AQ486" t="s">
        <v>1697</v>
      </c>
      <c r="AR486" t="s">
        <v>1694</v>
      </c>
      <c r="AS486" t="s">
        <v>1694</v>
      </c>
      <c r="AT486" t="s">
        <v>1694</v>
      </c>
      <c r="AU486" t="s">
        <v>1695</v>
      </c>
      <c r="AV486" t="s">
        <v>1694</v>
      </c>
      <c r="AW486" t="s">
        <v>1694</v>
      </c>
      <c r="AX486" t="s">
        <v>1695</v>
      </c>
      <c r="AY486" t="s">
        <v>1694</v>
      </c>
      <c r="AZ486" t="s">
        <v>1694</v>
      </c>
      <c r="BA486" t="s">
        <v>1694</v>
      </c>
      <c r="BB486" t="s">
        <v>1695</v>
      </c>
      <c r="BC486" t="s">
        <v>1694</v>
      </c>
      <c r="BD486" t="s">
        <v>1694</v>
      </c>
      <c r="BE486" t="s">
        <v>1695</v>
      </c>
      <c r="BF486" t="s">
        <v>1694</v>
      </c>
      <c r="BG486" t="s">
        <v>1697</v>
      </c>
      <c r="BH486" t="s">
        <v>1698</v>
      </c>
      <c r="BI486" t="b">
        <v>1</v>
      </c>
      <c r="BJ486">
        <f t="shared" si="7"/>
        <v>1</v>
      </c>
    </row>
    <row r="487" spans="1:62" x14ac:dyDescent="0.2">
      <c r="A487" s="5" t="s">
        <v>879</v>
      </c>
      <c r="B487" s="6">
        <v>45035</v>
      </c>
      <c r="C487" s="7">
        <v>33.770871999999997</v>
      </c>
      <c r="D487" s="7">
        <v>-112.091808</v>
      </c>
      <c r="E487" s="17">
        <v>488</v>
      </c>
      <c r="F487" t="s">
        <v>1694</v>
      </c>
      <c r="G487" t="s">
        <v>1694</v>
      </c>
      <c r="H487" t="s">
        <v>1694</v>
      </c>
      <c r="I487">
        <v>0</v>
      </c>
      <c r="J487" s="6" t="s">
        <v>1697</v>
      </c>
      <c r="K487" s="6" t="s">
        <v>1697</v>
      </c>
      <c r="L487" s="6" t="s">
        <v>1697</v>
      </c>
      <c r="M487" s="6" t="s">
        <v>1697</v>
      </c>
      <c r="N487" s="6" t="s">
        <v>1697</v>
      </c>
      <c r="O487" s="6" t="s">
        <v>1697</v>
      </c>
      <c r="P487" s="6" t="s">
        <v>1697</v>
      </c>
      <c r="Q487" s="6" t="s">
        <v>1697</v>
      </c>
      <c r="R487" s="6" t="s">
        <v>1697</v>
      </c>
      <c r="S487" s="6" t="s">
        <v>1697</v>
      </c>
      <c r="T487" s="6" t="s">
        <v>1697</v>
      </c>
      <c r="U487" s="6" t="s">
        <v>1697</v>
      </c>
      <c r="V487" s="6" t="s">
        <v>1697</v>
      </c>
      <c r="W487" s="6" t="s">
        <v>1697</v>
      </c>
      <c r="X487" s="6" t="s">
        <v>1697</v>
      </c>
      <c r="Y487" s="6" t="s">
        <v>1697</v>
      </c>
      <c r="Z487" s="6" t="s">
        <v>1697</v>
      </c>
      <c r="AA487" s="6" t="s">
        <v>1697</v>
      </c>
      <c r="AB487" s="6" t="s">
        <v>1697</v>
      </c>
      <c r="AC487" s="6" t="s">
        <v>1697</v>
      </c>
      <c r="AD487" s="6" t="s">
        <v>1697</v>
      </c>
      <c r="AE487" s="6" t="s">
        <v>1697</v>
      </c>
      <c r="AF487" s="6" t="s">
        <v>1697</v>
      </c>
      <c r="AG487" s="6" t="s">
        <v>1697</v>
      </c>
      <c r="AH487" s="6" t="s">
        <v>1697</v>
      </c>
      <c r="AI487" s="6" t="s">
        <v>1697</v>
      </c>
      <c r="AJ487" t="s">
        <v>1694</v>
      </c>
      <c r="AK487" t="s">
        <v>1694</v>
      </c>
      <c r="AL487" t="s">
        <v>1694</v>
      </c>
      <c r="AM487" t="s">
        <v>1694</v>
      </c>
      <c r="AN487" t="s">
        <v>1694</v>
      </c>
      <c r="AO487" t="s">
        <v>1694</v>
      </c>
      <c r="AP487" t="s">
        <v>1697</v>
      </c>
      <c r="AQ487" t="s">
        <v>1697</v>
      </c>
      <c r="AR487" t="s">
        <v>1694</v>
      </c>
      <c r="AS487" t="s">
        <v>1694</v>
      </c>
      <c r="AT487" t="s">
        <v>1694</v>
      </c>
      <c r="AU487" t="s">
        <v>1695</v>
      </c>
      <c r="AV487" t="s">
        <v>1694</v>
      </c>
      <c r="AW487" t="s">
        <v>1694</v>
      </c>
      <c r="AX487" t="s">
        <v>1695</v>
      </c>
      <c r="AY487" t="s">
        <v>1694</v>
      </c>
      <c r="AZ487" t="s">
        <v>1694</v>
      </c>
      <c r="BA487" t="s">
        <v>1694</v>
      </c>
      <c r="BB487" t="s">
        <v>1695</v>
      </c>
      <c r="BC487" t="s">
        <v>1694</v>
      </c>
      <c r="BD487" t="s">
        <v>1694</v>
      </c>
      <c r="BE487" t="s">
        <v>1695</v>
      </c>
      <c r="BF487" t="s">
        <v>1694</v>
      </c>
      <c r="BG487" s="6" t="s">
        <v>1697</v>
      </c>
      <c r="BH487" s="6" t="s">
        <v>1697</v>
      </c>
      <c r="BI487" t="b">
        <v>1</v>
      </c>
      <c r="BJ487">
        <f t="shared" si="7"/>
        <v>1</v>
      </c>
    </row>
    <row r="488" spans="1:62" x14ac:dyDescent="0.2">
      <c r="A488" s="5" t="s">
        <v>110</v>
      </c>
      <c r="B488" s="6">
        <v>36598</v>
      </c>
      <c r="C488" s="7">
        <v>33.6464</v>
      </c>
      <c r="D488" s="7">
        <v>-112.077583</v>
      </c>
      <c r="E488" s="17">
        <v>421</v>
      </c>
      <c r="F488" t="s">
        <v>1706</v>
      </c>
      <c r="G488" t="s">
        <v>1728</v>
      </c>
      <c r="H488" t="s">
        <v>1728</v>
      </c>
      <c r="I488">
        <v>1</v>
      </c>
      <c r="J488" s="8">
        <v>7.7796549415213265</v>
      </c>
      <c r="K488" s="8">
        <v>80.886471113138995</v>
      </c>
      <c r="L488" s="8">
        <v>11.333873945339676</v>
      </c>
      <c r="M488" s="8">
        <v>2.1796603854810064</v>
      </c>
      <c r="N488" s="8">
        <v>0.87636752634454917</v>
      </c>
      <c r="O488" s="8">
        <v>1.9365442382296507</v>
      </c>
      <c r="P488" s="8">
        <v>0.71407026496174153</v>
      </c>
      <c r="Q488" s="8">
        <v>12.898471214311456</v>
      </c>
      <c r="R488" s="8">
        <v>4.413964198749567</v>
      </c>
      <c r="S488" s="8">
        <v>0.53600000000000003</v>
      </c>
      <c r="T488" s="8">
        <v>0.44600000000000001</v>
      </c>
      <c r="U488" s="8">
        <v>0.29599999999999999</v>
      </c>
      <c r="V488" s="8">
        <v>0.29299999999999998</v>
      </c>
      <c r="W488" s="8">
        <v>0.24</v>
      </c>
      <c r="X488" s="8">
        <v>0.153</v>
      </c>
      <c r="Y488" s="8">
        <v>1.40306</v>
      </c>
      <c r="Z488" s="8">
        <v>1.2614700000000001</v>
      </c>
      <c r="AA488" s="9">
        <v>8.65</v>
      </c>
      <c r="AB488" s="10">
        <v>0.27100000000000002</v>
      </c>
      <c r="AC488" s="8">
        <v>8.91493</v>
      </c>
      <c r="AD488" s="8">
        <v>10.90005</v>
      </c>
      <c r="AE488" s="8">
        <v>3.9E-2</v>
      </c>
      <c r="AF488" s="8">
        <v>8.9999999999999993E-3</v>
      </c>
      <c r="AG488" s="8">
        <v>1.5653420723400631</v>
      </c>
      <c r="AH488" s="8">
        <v>13.743589743589745</v>
      </c>
      <c r="AI488" s="8">
        <v>11.435897435897436</v>
      </c>
      <c r="AJ488" t="s">
        <v>1694</v>
      </c>
      <c r="AK488" t="s">
        <v>1694</v>
      </c>
      <c r="AL488" t="s">
        <v>1694</v>
      </c>
      <c r="AM488" t="s">
        <v>1694</v>
      </c>
      <c r="AN488" t="s">
        <v>1694</v>
      </c>
      <c r="AO488" t="s">
        <v>1694</v>
      </c>
      <c r="AP488" t="s">
        <v>1695</v>
      </c>
      <c r="AQ488" t="s">
        <v>1694</v>
      </c>
      <c r="AR488" t="s">
        <v>1694</v>
      </c>
      <c r="AS488" t="s">
        <v>1694</v>
      </c>
      <c r="AT488" t="s">
        <v>1694</v>
      </c>
      <c r="AU488" t="s">
        <v>1695</v>
      </c>
      <c r="AV488" t="s">
        <v>1711</v>
      </c>
      <c r="AW488" t="s">
        <v>1711</v>
      </c>
      <c r="AX488" t="s">
        <v>1695</v>
      </c>
      <c r="AY488" t="s">
        <v>1711</v>
      </c>
      <c r="AZ488" t="s">
        <v>1711</v>
      </c>
      <c r="BA488" t="s">
        <v>1700</v>
      </c>
      <c r="BB488" t="s">
        <v>1734</v>
      </c>
      <c r="BC488" t="s">
        <v>1734</v>
      </c>
      <c r="BD488" t="s">
        <v>1700</v>
      </c>
      <c r="BE488" t="s">
        <v>1706</v>
      </c>
      <c r="BF488" t="s">
        <v>1723</v>
      </c>
      <c r="BG488">
        <v>5</v>
      </c>
      <c r="BH488" s="12" t="s">
        <v>1708</v>
      </c>
      <c r="BI488" t="b">
        <v>0</v>
      </c>
      <c r="BJ488">
        <f t="shared" si="7"/>
        <v>0</v>
      </c>
    </row>
    <row r="489" spans="1:62" x14ac:dyDescent="0.2">
      <c r="A489" s="5" t="s">
        <v>110</v>
      </c>
      <c r="B489" s="6">
        <v>38446</v>
      </c>
      <c r="C489" s="7">
        <v>33.6464</v>
      </c>
      <c r="D489" s="7">
        <v>-112.077583</v>
      </c>
      <c r="E489" s="17">
        <v>421</v>
      </c>
      <c r="F489" t="s">
        <v>1706</v>
      </c>
      <c r="G489" t="s">
        <v>1710</v>
      </c>
      <c r="H489" t="s">
        <v>1710</v>
      </c>
      <c r="I489">
        <v>1</v>
      </c>
      <c r="J489" s="8">
        <v>5.6947808574898184</v>
      </c>
      <c r="K489" s="8">
        <v>85.662151673023857</v>
      </c>
      <c r="L489" s="8">
        <v>8.6430674694863256</v>
      </c>
      <c r="M489" s="8">
        <v>1.7532618807539611</v>
      </c>
      <c r="N489" s="8">
        <v>1.9627269449738638</v>
      </c>
      <c r="O489" s="8">
        <v>2.4545666330555456</v>
      </c>
      <c r="P489" s="8">
        <v>0.80408490971509916</v>
      </c>
      <c r="Q489" s="8">
        <v>3.884507251554381</v>
      </c>
      <c r="R489" s="8">
        <v>3.1362822242572741</v>
      </c>
      <c r="S489" s="8">
        <v>0.73699999999999999</v>
      </c>
      <c r="T489" s="8">
        <v>0.54200000000000004</v>
      </c>
      <c r="U489" s="8">
        <v>0.39600000000000002</v>
      </c>
      <c r="V489" s="8">
        <v>0.21099999999999999</v>
      </c>
      <c r="W489" s="8">
        <v>0.34099999999999997</v>
      </c>
      <c r="X489" s="8">
        <v>0.33100000000000007</v>
      </c>
      <c r="Y489" s="8">
        <v>2.1164021164021181</v>
      </c>
      <c r="Z489" s="8">
        <v>1.570680628272255</v>
      </c>
      <c r="AA489" s="8">
        <v>8.39</v>
      </c>
      <c r="AB489">
        <v>0.19800000000000001</v>
      </c>
      <c r="AC489" s="8">
        <v>10.714285714285721</v>
      </c>
      <c r="AD489" s="8">
        <v>8.272251308900513</v>
      </c>
      <c r="AE489" s="8">
        <v>3.4000000000000002E-2</v>
      </c>
      <c r="AF489" s="8">
        <v>1.0999999999999999E-2</v>
      </c>
      <c r="AG489" s="8">
        <v>1.1734117135274096</v>
      </c>
      <c r="AH489" s="8">
        <v>21.676470588235293</v>
      </c>
      <c r="AI489" s="8">
        <v>15.941176470588236</v>
      </c>
      <c r="AJ489" t="s">
        <v>1694</v>
      </c>
      <c r="AK489" t="s">
        <v>1694</v>
      </c>
      <c r="AL489" t="s">
        <v>1694</v>
      </c>
      <c r="AM489" t="s">
        <v>1694</v>
      </c>
      <c r="AN489" t="s">
        <v>1694</v>
      </c>
      <c r="AO489" t="s">
        <v>1694</v>
      </c>
      <c r="AP489" t="s">
        <v>1695</v>
      </c>
      <c r="AQ489" t="s">
        <v>1694</v>
      </c>
      <c r="AR489" t="s">
        <v>1694</v>
      </c>
      <c r="AS489" t="s">
        <v>1694</v>
      </c>
      <c r="AT489" t="s">
        <v>1694</v>
      </c>
      <c r="AU489" t="s">
        <v>1695</v>
      </c>
      <c r="AV489" t="s">
        <v>1711</v>
      </c>
      <c r="AW489" t="s">
        <v>1711</v>
      </c>
      <c r="AX489" t="s">
        <v>1695</v>
      </c>
      <c r="AY489" t="s">
        <v>1711</v>
      </c>
      <c r="AZ489" t="s">
        <v>1711</v>
      </c>
      <c r="BA489" t="s">
        <v>1700</v>
      </c>
      <c r="BB489" t="s">
        <v>1734</v>
      </c>
      <c r="BC489" t="s">
        <v>1734</v>
      </c>
      <c r="BD489" t="s">
        <v>1700</v>
      </c>
      <c r="BE489" t="s">
        <v>1706</v>
      </c>
      <c r="BF489" t="s">
        <v>1723</v>
      </c>
      <c r="BG489">
        <v>10</v>
      </c>
      <c r="BH489" s="12" t="s">
        <v>1708</v>
      </c>
      <c r="BI489" t="b">
        <v>0</v>
      </c>
      <c r="BJ489">
        <f t="shared" si="7"/>
        <v>0</v>
      </c>
    </row>
    <row r="490" spans="1:62" x14ac:dyDescent="0.2">
      <c r="A490" s="5" t="s">
        <v>110</v>
      </c>
      <c r="B490" s="6">
        <v>42165</v>
      </c>
      <c r="C490" s="7">
        <v>33.6464</v>
      </c>
      <c r="D490" s="7">
        <v>-112.077583</v>
      </c>
      <c r="E490" s="17">
        <v>421</v>
      </c>
      <c r="F490" t="s">
        <v>1706</v>
      </c>
      <c r="G490" t="s">
        <v>1728</v>
      </c>
      <c r="H490" t="s">
        <v>1728</v>
      </c>
      <c r="I490">
        <v>1</v>
      </c>
      <c r="J490">
        <v>13.023018496681777</v>
      </c>
      <c r="K490">
        <v>42.153586345325692</v>
      </c>
      <c r="L490">
        <v>29.130567848643913</v>
      </c>
      <c r="M490">
        <v>1.6450400697246801</v>
      </c>
      <c r="N490" t="s">
        <v>1697</v>
      </c>
      <c r="O490">
        <v>61.079728514777401</v>
      </c>
      <c r="P490" t="s">
        <v>1697</v>
      </c>
      <c r="Q490">
        <v>21.843931101972899</v>
      </c>
      <c r="R490" t="s">
        <v>1697</v>
      </c>
      <c r="S490">
        <v>2.3410000000000002</v>
      </c>
      <c r="T490" t="s">
        <v>1697</v>
      </c>
      <c r="U490">
        <v>0.85399999999999998</v>
      </c>
      <c r="V490" t="s">
        <v>1697</v>
      </c>
      <c r="W490">
        <v>1.4870000000000001</v>
      </c>
      <c r="X490" t="s">
        <v>1697</v>
      </c>
      <c r="Y490">
        <v>3.1128404669260599</v>
      </c>
      <c r="Z490" t="s">
        <v>1697</v>
      </c>
      <c r="AA490">
        <v>7.84</v>
      </c>
      <c r="AB490">
        <v>0.68799999999999994</v>
      </c>
      <c r="AC490">
        <v>11.7241379310345</v>
      </c>
      <c r="AD490" t="s">
        <v>1697</v>
      </c>
      <c r="AE490">
        <v>0.161</v>
      </c>
      <c r="AF490" t="s">
        <v>1697</v>
      </c>
      <c r="AG490">
        <v>1.2081160932395456</v>
      </c>
      <c r="AH490">
        <v>14.5403726708075</v>
      </c>
      <c r="AI490" t="s">
        <v>1697</v>
      </c>
      <c r="AJ490" t="s">
        <v>1694</v>
      </c>
      <c r="AK490" t="s">
        <v>1694</v>
      </c>
      <c r="AL490" t="s">
        <v>1694</v>
      </c>
      <c r="AM490" t="s">
        <v>1694</v>
      </c>
      <c r="AN490" t="s">
        <v>1694</v>
      </c>
      <c r="AO490" t="s">
        <v>1694</v>
      </c>
      <c r="AP490" t="s">
        <v>1697</v>
      </c>
      <c r="AQ490" t="s">
        <v>1697</v>
      </c>
      <c r="AR490" t="s">
        <v>1694</v>
      </c>
      <c r="AS490" t="s">
        <v>1694</v>
      </c>
      <c r="AT490" t="s">
        <v>1694</v>
      </c>
      <c r="AU490" t="s">
        <v>1695</v>
      </c>
      <c r="AV490" t="s">
        <v>1711</v>
      </c>
      <c r="AW490" t="s">
        <v>1711</v>
      </c>
      <c r="AX490" t="s">
        <v>1695</v>
      </c>
      <c r="AY490" t="s">
        <v>1711</v>
      </c>
      <c r="AZ490" t="s">
        <v>1711</v>
      </c>
      <c r="BA490" t="s">
        <v>1700</v>
      </c>
      <c r="BB490" t="s">
        <v>1734</v>
      </c>
      <c r="BC490" t="s">
        <v>1734</v>
      </c>
      <c r="BD490" t="s">
        <v>1700</v>
      </c>
      <c r="BE490" t="s">
        <v>1706</v>
      </c>
      <c r="BF490" t="s">
        <v>1723</v>
      </c>
      <c r="BG490">
        <v>20</v>
      </c>
      <c r="BH490" s="12" t="s">
        <v>1708</v>
      </c>
      <c r="BI490" t="b">
        <v>0</v>
      </c>
      <c r="BJ490">
        <f t="shared" si="7"/>
        <v>0</v>
      </c>
    </row>
    <row r="491" spans="1:62" x14ac:dyDescent="0.2">
      <c r="A491" s="5" t="s">
        <v>111</v>
      </c>
      <c r="B491" s="6">
        <v>38440</v>
      </c>
      <c r="C491" s="7">
        <v>33.627183000000002</v>
      </c>
      <c r="D491" s="7">
        <v>-112.078411</v>
      </c>
      <c r="E491" s="17">
        <v>411</v>
      </c>
      <c r="F491" t="s">
        <v>1706</v>
      </c>
      <c r="G491" t="s">
        <v>1724</v>
      </c>
      <c r="H491" t="s">
        <v>1724</v>
      </c>
      <c r="I491">
        <v>1</v>
      </c>
      <c r="J491" s="8">
        <v>9.6453877788733831</v>
      </c>
      <c r="K491" s="8">
        <v>72.645128578040016</v>
      </c>
      <c r="L491" s="8">
        <v>17.7094836430866</v>
      </c>
      <c r="M491" s="8">
        <v>1.4866366437994223</v>
      </c>
      <c r="N491" s="8">
        <v>2.1391754509859533</v>
      </c>
      <c r="O491" s="8">
        <v>12.393854967254132</v>
      </c>
      <c r="P491" s="8">
        <v>14.54639306670448</v>
      </c>
      <c r="Q491" s="8">
        <v>10.856553374781187</v>
      </c>
      <c r="R491" s="8">
        <v>4.9469640058934417</v>
      </c>
      <c r="S491" s="8">
        <v>0.68400000000000005</v>
      </c>
      <c r="T491" s="8">
        <v>0.46899999999999997</v>
      </c>
      <c r="U491" s="8">
        <v>0.315</v>
      </c>
      <c r="V491" s="8">
        <v>0.20200000000000001</v>
      </c>
      <c r="W491" s="8">
        <v>0.36900000000000005</v>
      </c>
      <c r="X491" s="8">
        <v>0.26699999999999996</v>
      </c>
      <c r="Y491" s="8">
        <v>2.2485207100591662</v>
      </c>
      <c r="Z491" s="8">
        <v>2.1917808219177859</v>
      </c>
      <c r="AA491" s="8">
        <v>8.61</v>
      </c>
      <c r="AB491">
        <v>0.17399999999999999</v>
      </c>
      <c r="AC491" s="8">
        <v>7.9289940828402363</v>
      </c>
      <c r="AD491" s="8">
        <v>9.1780821917808471</v>
      </c>
      <c r="AE491" s="8">
        <v>2.1999999999999999E-2</v>
      </c>
      <c r="AF491" s="8">
        <v>1.7999999999999999E-2</v>
      </c>
      <c r="AG491" s="8">
        <v>1.4485815170614469</v>
      </c>
      <c r="AH491" s="8">
        <v>31.090909090909093</v>
      </c>
      <c r="AI491" s="8">
        <v>21.318181818181817</v>
      </c>
      <c r="AJ491" t="s">
        <v>1694</v>
      </c>
      <c r="AK491" t="s">
        <v>1694</v>
      </c>
      <c r="AL491" t="s">
        <v>1694</v>
      </c>
      <c r="AM491" t="s">
        <v>1694</v>
      </c>
      <c r="AN491" t="s">
        <v>1694</v>
      </c>
      <c r="AO491" t="s">
        <v>1694</v>
      </c>
      <c r="AP491" t="s">
        <v>1695</v>
      </c>
      <c r="AQ491" t="s">
        <v>1694</v>
      </c>
      <c r="AR491" t="s">
        <v>1694</v>
      </c>
      <c r="AS491" t="s">
        <v>1694</v>
      </c>
      <c r="AT491" t="s">
        <v>1694</v>
      </c>
      <c r="AU491" t="s">
        <v>1701</v>
      </c>
      <c r="AV491" t="s">
        <v>1739</v>
      </c>
      <c r="AW491" t="s">
        <v>1700</v>
      </c>
      <c r="AX491" t="s">
        <v>1701</v>
      </c>
      <c r="AY491" t="s">
        <v>1739</v>
      </c>
      <c r="AZ491" t="s">
        <v>1700</v>
      </c>
      <c r="BA491" t="s">
        <v>1700</v>
      </c>
      <c r="BB491" t="s">
        <v>1701</v>
      </c>
      <c r="BC491" t="s">
        <v>1739</v>
      </c>
      <c r="BD491" t="s">
        <v>1700</v>
      </c>
      <c r="BE491" t="s">
        <v>1755</v>
      </c>
      <c r="BF491" t="s">
        <v>1756</v>
      </c>
      <c r="BG491">
        <v>30</v>
      </c>
      <c r="BH491" s="12" t="s">
        <v>1709</v>
      </c>
      <c r="BI491" t="b">
        <v>0</v>
      </c>
      <c r="BJ491">
        <f t="shared" si="7"/>
        <v>0</v>
      </c>
    </row>
    <row r="492" spans="1:62" x14ac:dyDescent="0.2">
      <c r="A492" s="5" t="s">
        <v>111</v>
      </c>
      <c r="B492" s="6">
        <v>40291</v>
      </c>
      <c r="C492" s="7">
        <v>33.627183000000002</v>
      </c>
      <c r="D492" s="7">
        <v>-112.078411</v>
      </c>
      <c r="E492" s="17">
        <v>411</v>
      </c>
      <c r="F492" t="s">
        <v>1706</v>
      </c>
      <c r="G492" t="s">
        <v>1724</v>
      </c>
      <c r="H492" t="s">
        <v>1724</v>
      </c>
      <c r="I492">
        <v>1</v>
      </c>
      <c r="J492" s="8">
        <v>15.546185035422649</v>
      </c>
      <c r="K492" s="8">
        <v>51.048235616266538</v>
      </c>
      <c r="L492" s="8">
        <v>33.405579348310809</v>
      </c>
      <c r="M492" s="8">
        <v>3.7938545103289787</v>
      </c>
      <c r="N492" s="8">
        <v>0.54441700593097497</v>
      </c>
      <c r="O492" s="8">
        <v>11.011641209118125</v>
      </c>
      <c r="P492" s="8">
        <v>11.881413484487075</v>
      </c>
      <c r="Q492" s="8">
        <v>17.617296026230417</v>
      </c>
      <c r="R492" s="8">
        <v>7.0809425542548263</v>
      </c>
      <c r="S492" s="8">
        <v>0.98699999999999999</v>
      </c>
      <c r="T492" s="8">
        <v>0.439</v>
      </c>
      <c r="U492" s="8">
        <v>0.441</v>
      </c>
      <c r="V492" s="8">
        <v>0.193</v>
      </c>
      <c r="W492" s="8">
        <v>0.54600000000000004</v>
      </c>
      <c r="X492" s="8">
        <v>0.246</v>
      </c>
      <c r="Y492" s="8">
        <v>3.1296572280178703</v>
      </c>
      <c r="Z492" s="8">
        <v>2.5723472668810308</v>
      </c>
      <c r="AA492" s="8">
        <v>8.52</v>
      </c>
      <c r="AB492">
        <v>0.22700000000000001</v>
      </c>
      <c r="AC492" s="8">
        <v>2.5335320417287623</v>
      </c>
      <c r="AD492" s="8">
        <v>4.0192926045016071</v>
      </c>
      <c r="AE492" s="8">
        <v>6.4000000000000001E-2</v>
      </c>
      <c r="AF492" s="8">
        <v>2.5999999999999999E-2</v>
      </c>
      <c r="AG492" s="8">
        <v>1.6598440012256335</v>
      </c>
      <c r="AH492" s="8">
        <v>15.421875</v>
      </c>
      <c r="AI492" s="8">
        <v>6.859375</v>
      </c>
      <c r="AJ492" t="s">
        <v>1694</v>
      </c>
      <c r="AK492" t="s">
        <v>1694</v>
      </c>
      <c r="AL492" t="s">
        <v>1694</v>
      </c>
      <c r="AM492" t="s">
        <v>1694</v>
      </c>
      <c r="AN492" t="s">
        <v>1694</v>
      </c>
      <c r="AO492" t="s">
        <v>1694</v>
      </c>
      <c r="AP492" t="s">
        <v>1695</v>
      </c>
      <c r="AQ492" t="s">
        <v>1694</v>
      </c>
      <c r="AR492" t="s">
        <v>1694</v>
      </c>
      <c r="AS492" t="s">
        <v>1694</v>
      </c>
      <c r="AT492" t="s">
        <v>1694</v>
      </c>
      <c r="AU492" t="s">
        <v>1701</v>
      </c>
      <c r="AV492" t="s">
        <v>1739</v>
      </c>
      <c r="AW492" t="s">
        <v>1700</v>
      </c>
      <c r="AX492" t="s">
        <v>1701</v>
      </c>
      <c r="AY492" t="s">
        <v>1739</v>
      </c>
      <c r="AZ492" t="s">
        <v>1700</v>
      </c>
      <c r="BA492" t="s">
        <v>1700</v>
      </c>
      <c r="BB492" t="s">
        <v>1701</v>
      </c>
      <c r="BC492" t="s">
        <v>1739</v>
      </c>
      <c r="BD492" t="s">
        <v>1700</v>
      </c>
      <c r="BE492" t="s">
        <v>1755</v>
      </c>
      <c r="BF492" t="s">
        <v>1756</v>
      </c>
      <c r="BG492">
        <v>35</v>
      </c>
      <c r="BH492" s="12" t="s">
        <v>1709</v>
      </c>
      <c r="BI492" t="b">
        <v>0</v>
      </c>
      <c r="BJ492">
        <f t="shared" si="7"/>
        <v>0</v>
      </c>
    </row>
    <row r="493" spans="1:62" x14ac:dyDescent="0.2">
      <c r="A493" s="5" t="s">
        <v>111</v>
      </c>
      <c r="B493" s="6">
        <v>42171</v>
      </c>
      <c r="C493" s="7">
        <v>33.627183000000002</v>
      </c>
      <c r="D493" s="7">
        <v>-112.078411</v>
      </c>
      <c r="E493" s="17">
        <v>411</v>
      </c>
      <c r="F493" t="s">
        <v>1706</v>
      </c>
      <c r="G493" t="s">
        <v>1724</v>
      </c>
      <c r="H493" t="s">
        <v>1724</v>
      </c>
      <c r="I493">
        <v>1</v>
      </c>
      <c r="J493">
        <v>7.7828576840023196</v>
      </c>
      <c r="K493">
        <v>69.907566183001194</v>
      </c>
      <c r="L493">
        <v>22.309576132996401</v>
      </c>
      <c r="M493">
        <v>2.9243780451116801</v>
      </c>
      <c r="N493" t="s">
        <v>1697</v>
      </c>
      <c r="O493">
        <v>45.104813916129302</v>
      </c>
      <c r="P493" t="s">
        <v>1697</v>
      </c>
      <c r="Q493">
        <v>5.7047106779362498</v>
      </c>
      <c r="R493" t="s">
        <v>1697</v>
      </c>
      <c r="S493">
        <v>0.61099999999999999</v>
      </c>
      <c r="T493" t="s">
        <v>1697</v>
      </c>
      <c r="U493">
        <v>0.56599999999999995</v>
      </c>
      <c r="V493" t="s">
        <v>1697</v>
      </c>
      <c r="W493">
        <v>4.4999999999999998E-2</v>
      </c>
      <c r="X493" t="s">
        <v>1697</v>
      </c>
      <c r="Y493">
        <v>1.57766990291263</v>
      </c>
      <c r="Z493" t="s">
        <v>1697</v>
      </c>
      <c r="AA493">
        <v>8.08</v>
      </c>
      <c r="AB493">
        <v>0.28199999999999997</v>
      </c>
      <c r="AC493">
        <v>3.0150753768844201</v>
      </c>
      <c r="AD493" t="s">
        <v>1697</v>
      </c>
      <c r="AE493">
        <v>7.0999999999999994E-2</v>
      </c>
      <c r="AF493" t="s">
        <v>1697</v>
      </c>
      <c r="AG493">
        <v>1.3579600087993235</v>
      </c>
      <c r="AH493">
        <v>8.6056338028169002</v>
      </c>
      <c r="AI493" t="s">
        <v>1697</v>
      </c>
      <c r="AJ493" t="s">
        <v>1694</v>
      </c>
      <c r="AK493" t="s">
        <v>1694</v>
      </c>
      <c r="AL493" t="s">
        <v>1694</v>
      </c>
      <c r="AM493" t="s">
        <v>1694</v>
      </c>
      <c r="AN493" t="s">
        <v>1694</v>
      </c>
      <c r="AO493" t="s">
        <v>1694</v>
      </c>
      <c r="AP493" t="s">
        <v>1697</v>
      </c>
      <c r="AQ493" t="s">
        <v>1697</v>
      </c>
      <c r="AR493" t="s">
        <v>1694</v>
      </c>
      <c r="AS493" t="s">
        <v>1694</v>
      </c>
      <c r="AT493" t="s">
        <v>1694</v>
      </c>
      <c r="AU493" t="s">
        <v>1701</v>
      </c>
      <c r="AV493" t="s">
        <v>1739</v>
      </c>
      <c r="AW493" t="s">
        <v>1700</v>
      </c>
      <c r="AX493" t="s">
        <v>1701</v>
      </c>
      <c r="AY493" t="s">
        <v>1739</v>
      </c>
      <c r="AZ493" t="s">
        <v>1700</v>
      </c>
      <c r="BA493" t="s">
        <v>1700</v>
      </c>
      <c r="BB493" t="s">
        <v>1701</v>
      </c>
      <c r="BC493" t="s">
        <v>1739</v>
      </c>
      <c r="BD493" t="s">
        <v>1700</v>
      </c>
      <c r="BE493" t="s">
        <v>1755</v>
      </c>
      <c r="BF493" t="s">
        <v>1756</v>
      </c>
      <c r="BG493">
        <v>40</v>
      </c>
      <c r="BH493" s="12" t="s">
        <v>1709</v>
      </c>
      <c r="BI493" t="b">
        <v>0</v>
      </c>
      <c r="BJ493">
        <f t="shared" si="7"/>
        <v>0</v>
      </c>
    </row>
    <row r="494" spans="1:62" x14ac:dyDescent="0.2">
      <c r="A494" s="5" t="s">
        <v>111</v>
      </c>
      <c r="B494" s="6">
        <v>45062</v>
      </c>
      <c r="C494" s="7">
        <v>33.627183000000002</v>
      </c>
      <c r="D494" s="7">
        <v>-112.078411</v>
      </c>
      <c r="E494" s="17">
        <v>411</v>
      </c>
      <c r="F494" t="s">
        <v>1706</v>
      </c>
      <c r="G494" t="s">
        <v>1724</v>
      </c>
      <c r="H494" t="s">
        <v>1724</v>
      </c>
      <c r="I494">
        <v>1</v>
      </c>
      <c r="J494" t="s">
        <v>1697</v>
      </c>
      <c r="K494" t="s">
        <v>1697</v>
      </c>
      <c r="L494" t="s">
        <v>1697</v>
      </c>
      <c r="M494" t="s">
        <v>1697</v>
      </c>
      <c r="N494" t="s">
        <v>1697</v>
      </c>
      <c r="O494" t="s">
        <v>1697</v>
      </c>
      <c r="P494" t="s">
        <v>1697</v>
      </c>
      <c r="Q494" t="s">
        <v>1697</v>
      </c>
      <c r="R494" t="s">
        <v>1697</v>
      </c>
      <c r="S494" t="s">
        <v>1697</v>
      </c>
      <c r="T494" t="s">
        <v>1697</v>
      </c>
      <c r="U494" t="s">
        <v>1697</v>
      </c>
      <c r="V494" t="s">
        <v>1697</v>
      </c>
      <c r="W494" t="s">
        <v>1697</v>
      </c>
      <c r="X494" t="s">
        <v>1697</v>
      </c>
      <c r="Y494" t="s">
        <v>1697</v>
      </c>
      <c r="Z494" t="s">
        <v>1697</v>
      </c>
      <c r="AA494" t="s">
        <v>1697</v>
      </c>
      <c r="AB494" t="s">
        <v>1697</v>
      </c>
      <c r="AC494" t="s">
        <v>1697</v>
      </c>
      <c r="AD494" t="s">
        <v>1697</v>
      </c>
      <c r="AE494" t="s">
        <v>1697</v>
      </c>
      <c r="AF494" t="s">
        <v>1697</v>
      </c>
      <c r="AG494" t="s">
        <v>1697</v>
      </c>
      <c r="AH494" t="s">
        <v>1697</v>
      </c>
      <c r="AI494" t="s">
        <v>1697</v>
      </c>
      <c r="AJ494" t="s">
        <v>1694</v>
      </c>
      <c r="AK494" t="s">
        <v>1694</v>
      </c>
      <c r="AL494" t="s">
        <v>1694</v>
      </c>
      <c r="AM494" t="s">
        <v>1694</v>
      </c>
      <c r="AN494" t="s">
        <v>1694</v>
      </c>
      <c r="AO494" t="s">
        <v>1694</v>
      </c>
      <c r="AP494" t="s">
        <v>1697</v>
      </c>
      <c r="AQ494" t="s">
        <v>1697</v>
      </c>
      <c r="AR494" t="s">
        <v>1694</v>
      </c>
      <c r="AS494" t="s">
        <v>1694</v>
      </c>
      <c r="AT494" t="s">
        <v>1694</v>
      </c>
      <c r="AU494" t="s">
        <v>1701</v>
      </c>
      <c r="AV494" t="s">
        <v>1739</v>
      </c>
      <c r="AW494" t="s">
        <v>1700</v>
      </c>
      <c r="AX494" t="s">
        <v>1701</v>
      </c>
      <c r="AY494" t="s">
        <v>1739</v>
      </c>
      <c r="AZ494" t="s">
        <v>1700</v>
      </c>
      <c r="BA494" t="s">
        <v>1700</v>
      </c>
      <c r="BB494" t="s">
        <v>1701</v>
      </c>
      <c r="BC494" t="s">
        <v>1739</v>
      </c>
      <c r="BD494" t="s">
        <v>1700</v>
      </c>
      <c r="BE494" t="s">
        <v>1755</v>
      </c>
      <c r="BF494" t="s">
        <v>1756</v>
      </c>
      <c r="BG494" s="6" t="s">
        <v>1697</v>
      </c>
      <c r="BH494" s="6" t="s">
        <v>1697</v>
      </c>
      <c r="BI494" t="b">
        <v>0</v>
      </c>
      <c r="BJ494">
        <f t="shared" si="7"/>
        <v>0</v>
      </c>
    </row>
    <row r="495" spans="1:62" x14ac:dyDescent="0.2">
      <c r="A495" s="5" t="s">
        <v>112</v>
      </c>
      <c r="B495" s="6">
        <v>38492</v>
      </c>
      <c r="C495" s="7">
        <v>33.596955999999999</v>
      </c>
      <c r="D495" s="7">
        <v>-112.082992</v>
      </c>
      <c r="E495" s="17">
        <v>525</v>
      </c>
      <c r="F495" s="11" t="s">
        <v>1694</v>
      </c>
      <c r="G495" t="s">
        <v>1694</v>
      </c>
      <c r="H495" t="s">
        <v>1694</v>
      </c>
      <c r="I495">
        <v>0</v>
      </c>
      <c r="J495" s="8">
        <v>14.819071999317474</v>
      </c>
      <c r="K495" s="8">
        <v>62.665584122622889</v>
      </c>
      <c r="L495" s="8">
        <v>22.515343878059639</v>
      </c>
      <c r="M495" s="8">
        <v>1.2999525034140476</v>
      </c>
      <c r="N495" s="8">
        <v>1.2861963922668094</v>
      </c>
      <c r="O495" s="8">
        <v>3.7129893378763743</v>
      </c>
      <c r="P495" s="8">
        <v>3.1029487963436782</v>
      </c>
      <c r="Q495" s="8">
        <v>14.815254712416566</v>
      </c>
      <c r="R495" s="8" t="s">
        <v>1697</v>
      </c>
      <c r="S495" s="8">
        <v>1.2529999999999999</v>
      </c>
      <c r="T495" s="8">
        <v>1.6080000000000001</v>
      </c>
      <c r="U495" s="8">
        <v>0.21199999999999999</v>
      </c>
      <c r="V495" s="8">
        <v>0.69799999999999995</v>
      </c>
      <c r="W495" s="8">
        <v>1.0409999999999999</v>
      </c>
      <c r="X495" s="8">
        <v>0.91000000000000014</v>
      </c>
      <c r="Y495" s="8">
        <v>4.8027444253859386</v>
      </c>
      <c r="Z495" s="8">
        <v>4.9056603773584859</v>
      </c>
      <c r="AA495" s="8">
        <v>7.53</v>
      </c>
      <c r="AB495">
        <v>0.29799999999999999</v>
      </c>
      <c r="AC495" s="8">
        <v>1.8867924528301789</v>
      </c>
      <c r="AD495" s="8">
        <v>2.6415094339622747</v>
      </c>
      <c r="AE495" s="8">
        <v>0.105</v>
      </c>
      <c r="AF495" s="8">
        <v>8.7999999999999995E-2</v>
      </c>
      <c r="AG495" s="8">
        <v>1.4828228914697792</v>
      </c>
      <c r="AH495" s="8">
        <v>11.933333333333334</v>
      </c>
      <c r="AI495" s="8">
        <v>15.314285714285715</v>
      </c>
      <c r="AJ495" t="s">
        <v>1694</v>
      </c>
      <c r="AK495" t="s">
        <v>1694</v>
      </c>
      <c r="AL495" t="s">
        <v>1694</v>
      </c>
      <c r="AM495" t="s">
        <v>1694</v>
      </c>
      <c r="AN495" t="s">
        <v>1694</v>
      </c>
      <c r="AO495" t="s">
        <v>1694</v>
      </c>
      <c r="AP495" t="s">
        <v>1695</v>
      </c>
      <c r="AQ495" t="s">
        <v>1711</v>
      </c>
      <c r="AR495" t="s">
        <v>1694</v>
      </c>
      <c r="AS495" t="s">
        <v>1694</v>
      </c>
      <c r="AT495" t="s">
        <v>1694</v>
      </c>
      <c r="AU495" t="s">
        <v>1695</v>
      </c>
      <c r="AV495" t="s">
        <v>1711</v>
      </c>
      <c r="AW495" t="s">
        <v>1694</v>
      </c>
      <c r="AX495" t="s">
        <v>1695</v>
      </c>
      <c r="AY495" t="s">
        <v>1711</v>
      </c>
      <c r="AZ495" t="s">
        <v>1694</v>
      </c>
      <c r="BA495" t="s">
        <v>1694</v>
      </c>
      <c r="BB495" t="s">
        <v>1695</v>
      </c>
      <c r="BC495" t="s">
        <v>1711</v>
      </c>
      <c r="BD495" t="s">
        <v>1694</v>
      </c>
      <c r="BE495" t="s">
        <v>1695</v>
      </c>
      <c r="BF495" t="s">
        <v>1694</v>
      </c>
      <c r="BG495" t="s">
        <v>1697</v>
      </c>
      <c r="BH495" t="s">
        <v>1698</v>
      </c>
      <c r="BI495" t="b">
        <v>0</v>
      </c>
      <c r="BJ495">
        <f t="shared" si="7"/>
        <v>0</v>
      </c>
    </row>
    <row r="496" spans="1:62" x14ac:dyDescent="0.2">
      <c r="A496" s="5" t="s">
        <v>112</v>
      </c>
      <c r="B496" s="6">
        <v>40246</v>
      </c>
      <c r="C496" s="7">
        <v>33.596955999999999</v>
      </c>
      <c r="D496" s="7">
        <v>-112.082992</v>
      </c>
      <c r="E496" s="17">
        <v>525</v>
      </c>
      <c r="F496" s="11" t="s">
        <v>1694</v>
      </c>
      <c r="G496" t="s">
        <v>1694</v>
      </c>
      <c r="H496" t="s">
        <v>1694</v>
      </c>
      <c r="I496">
        <v>0</v>
      </c>
      <c r="J496" s="8">
        <v>13.636216267120762</v>
      </c>
      <c r="K496" s="8">
        <v>48.833219987889571</v>
      </c>
      <c r="L496" s="8">
        <v>37.530563744989664</v>
      </c>
      <c r="M496" s="8">
        <v>0.1517578449135914</v>
      </c>
      <c r="N496" s="8">
        <v>1.8562378929808381</v>
      </c>
      <c r="O496" s="8">
        <v>32.152085786777839</v>
      </c>
      <c r="P496" s="8">
        <v>11.660981635392442</v>
      </c>
      <c r="Q496" s="8">
        <v>40.540194552813304</v>
      </c>
      <c r="R496" s="8">
        <v>16.284406608036722</v>
      </c>
      <c r="S496" s="8">
        <v>1.7809999999999999</v>
      </c>
      <c r="T496" s="8">
        <v>1.1990000000000001</v>
      </c>
      <c r="U496" s="8">
        <v>0.82799999999999996</v>
      </c>
      <c r="V496" s="8">
        <v>0.309</v>
      </c>
      <c r="W496" s="8">
        <v>0.95299999999999996</v>
      </c>
      <c r="X496" s="8">
        <v>0.89000000000000012</v>
      </c>
      <c r="Y496" s="8">
        <v>3.9881831610044252</v>
      </c>
      <c r="Z496" s="8">
        <v>3.2786885245901587</v>
      </c>
      <c r="AA496" s="8">
        <v>8.2100000000000009</v>
      </c>
      <c r="AB496">
        <v>0.28100000000000003</v>
      </c>
      <c r="AC496" s="8">
        <v>19.202363367799123</v>
      </c>
      <c r="AD496" s="8">
        <v>13.479052823315122</v>
      </c>
      <c r="AE496" s="8">
        <v>0.10199999999999999</v>
      </c>
      <c r="AF496" s="8">
        <v>7.8E-2</v>
      </c>
      <c r="AG496" s="8">
        <v>1.4227205016316402</v>
      </c>
      <c r="AH496" s="8">
        <v>17.46078431372549</v>
      </c>
      <c r="AI496" s="8">
        <v>11.754901960784315</v>
      </c>
      <c r="AJ496" t="s">
        <v>1694</v>
      </c>
      <c r="AK496" t="s">
        <v>1694</v>
      </c>
      <c r="AL496" t="s">
        <v>1694</v>
      </c>
      <c r="AM496" t="s">
        <v>1694</v>
      </c>
      <c r="AN496" t="s">
        <v>1694</v>
      </c>
      <c r="AO496" t="s">
        <v>1694</v>
      </c>
      <c r="AP496" t="s">
        <v>1695</v>
      </c>
      <c r="AQ496" t="s">
        <v>1711</v>
      </c>
      <c r="AR496" t="s">
        <v>1694</v>
      </c>
      <c r="AS496" t="s">
        <v>1694</v>
      </c>
      <c r="AT496" t="s">
        <v>1694</v>
      </c>
      <c r="AU496" t="s">
        <v>1695</v>
      </c>
      <c r="AV496" t="s">
        <v>1711</v>
      </c>
      <c r="AW496" t="s">
        <v>1694</v>
      </c>
      <c r="AX496" t="s">
        <v>1695</v>
      </c>
      <c r="AY496" t="s">
        <v>1711</v>
      </c>
      <c r="AZ496" t="s">
        <v>1694</v>
      </c>
      <c r="BA496" t="s">
        <v>1694</v>
      </c>
      <c r="BB496" t="s">
        <v>1695</v>
      </c>
      <c r="BC496" t="s">
        <v>1711</v>
      </c>
      <c r="BD496" t="s">
        <v>1694</v>
      </c>
      <c r="BE496" t="s">
        <v>1695</v>
      </c>
      <c r="BF496" t="s">
        <v>1694</v>
      </c>
      <c r="BG496" t="s">
        <v>1697</v>
      </c>
      <c r="BH496" t="s">
        <v>1698</v>
      </c>
      <c r="BI496" t="b">
        <v>0</v>
      </c>
      <c r="BJ496">
        <f t="shared" si="7"/>
        <v>0</v>
      </c>
    </row>
    <row r="497" spans="1:62" x14ac:dyDescent="0.2">
      <c r="A497" s="5" t="s">
        <v>112</v>
      </c>
      <c r="B497" s="6">
        <v>42076</v>
      </c>
      <c r="C497" s="7">
        <v>33.596955999999999</v>
      </c>
      <c r="D497" s="7">
        <v>-112.082992</v>
      </c>
      <c r="E497" s="17">
        <v>525</v>
      </c>
      <c r="F497" t="s">
        <v>1694</v>
      </c>
      <c r="G497" t="s">
        <v>1694</v>
      </c>
      <c r="H497" t="s">
        <v>1694</v>
      </c>
      <c r="I497">
        <v>0</v>
      </c>
      <c r="J497">
        <v>9.7523995657247795</v>
      </c>
      <c r="K497">
        <v>59.667550595074701</v>
      </c>
      <c r="L497">
        <v>30.580049839200498</v>
      </c>
      <c r="M497">
        <v>4.7533613077724004</v>
      </c>
      <c r="N497">
        <v>2.1313476334186001</v>
      </c>
      <c r="O497">
        <v>3.3480197037353401</v>
      </c>
      <c r="P497">
        <v>3.9326801494046402</v>
      </c>
      <c r="Q497">
        <v>9.4218306132445004</v>
      </c>
      <c r="R497">
        <v>5.5578214291610797</v>
      </c>
      <c r="S497">
        <v>1.3069999999999999</v>
      </c>
      <c r="T497">
        <v>0.99199999999999999</v>
      </c>
      <c r="U497">
        <v>0.27600000000000002</v>
      </c>
      <c r="V497">
        <v>0.311</v>
      </c>
      <c r="W497">
        <v>1.0309999999999999</v>
      </c>
      <c r="X497">
        <v>0.68100000000000005</v>
      </c>
      <c r="Y497">
        <v>2.8301886792452802</v>
      </c>
      <c r="Z497">
        <v>2.87878787878787</v>
      </c>
      <c r="AA497">
        <v>7.65</v>
      </c>
      <c r="AB497">
        <v>0.29099999999999998</v>
      </c>
      <c r="AC497">
        <v>3.6538461538461799</v>
      </c>
      <c r="AD497">
        <v>3.0516431924882799</v>
      </c>
      <c r="AE497">
        <v>0.125</v>
      </c>
      <c r="AF497">
        <v>0.09</v>
      </c>
      <c r="AG497">
        <v>1.1179771551981124</v>
      </c>
      <c r="AH497">
        <v>10.456</v>
      </c>
      <c r="AI497">
        <v>11.022222222222201</v>
      </c>
      <c r="AJ497" t="s">
        <v>1694</v>
      </c>
      <c r="AK497" t="s">
        <v>1694</v>
      </c>
      <c r="AL497" t="s">
        <v>1694</v>
      </c>
      <c r="AM497" t="s">
        <v>1694</v>
      </c>
      <c r="AN497" t="s">
        <v>1694</v>
      </c>
      <c r="AO497" t="s">
        <v>1694</v>
      </c>
      <c r="AP497" t="s">
        <v>1695</v>
      </c>
      <c r="AQ497" t="s">
        <v>1711</v>
      </c>
      <c r="AR497" t="s">
        <v>1694</v>
      </c>
      <c r="AS497" t="s">
        <v>1694</v>
      </c>
      <c r="AT497" t="s">
        <v>1694</v>
      </c>
      <c r="AU497" t="s">
        <v>1695</v>
      </c>
      <c r="AV497" t="s">
        <v>1711</v>
      </c>
      <c r="AW497" t="s">
        <v>1694</v>
      </c>
      <c r="AX497" t="s">
        <v>1695</v>
      </c>
      <c r="AY497" t="s">
        <v>1711</v>
      </c>
      <c r="AZ497" t="s">
        <v>1694</v>
      </c>
      <c r="BA497" t="s">
        <v>1694</v>
      </c>
      <c r="BB497" t="s">
        <v>1695</v>
      </c>
      <c r="BC497" t="s">
        <v>1711</v>
      </c>
      <c r="BD497" t="s">
        <v>1694</v>
      </c>
      <c r="BE497" t="s">
        <v>1695</v>
      </c>
      <c r="BF497" t="s">
        <v>1694</v>
      </c>
      <c r="BG497" t="s">
        <v>1697</v>
      </c>
      <c r="BH497" t="s">
        <v>1698</v>
      </c>
      <c r="BI497" t="b">
        <v>0</v>
      </c>
      <c r="BJ497">
        <f t="shared" si="7"/>
        <v>0</v>
      </c>
    </row>
    <row r="498" spans="1:62" x14ac:dyDescent="0.2">
      <c r="A498" s="5" t="s">
        <v>112</v>
      </c>
      <c r="B498" s="6">
        <v>45034</v>
      </c>
      <c r="C498" s="7">
        <v>33.596955999999999</v>
      </c>
      <c r="D498" s="7">
        <v>-112.082992</v>
      </c>
      <c r="E498" s="17">
        <v>525</v>
      </c>
      <c r="F498" t="s">
        <v>1694</v>
      </c>
      <c r="G498" t="s">
        <v>1694</v>
      </c>
      <c r="H498" t="s">
        <v>1694</v>
      </c>
      <c r="I498">
        <v>0</v>
      </c>
      <c r="J498" s="6" t="s">
        <v>1697</v>
      </c>
      <c r="K498" s="6" t="s">
        <v>1697</v>
      </c>
      <c r="L498" s="6" t="s">
        <v>1697</v>
      </c>
      <c r="M498" s="6" t="s">
        <v>1697</v>
      </c>
      <c r="N498" s="6" t="s">
        <v>1697</v>
      </c>
      <c r="O498" s="6" t="s">
        <v>1697</v>
      </c>
      <c r="P498" s="6" t="s">
        <v>1697</v>
      </c>
      <c r="Q498" s="6" t="s">
        <v>1697</v>
      </c>
      <c r="R498" s="6" t="s">
        <v>1697</v>
      </c>
      <c r="S498" s="6" t="s">
        <v>1697</v>
      </c>
      <c r="T498" s="6" t="s">
        <v>1697</v>
      </c>
      <c r="U498" s="6" t="s">
        <v>1697</v>
      </c>
      <c r="V498" s="6" t="s">
        <v>1697</v>
      </c>
      <c r="W498" s="6" t="s">
        <v>1697</v>
      </c>
      <c r="X498" s="6" t="s">
        <v>1697</v>
      </c>
      <c r="Y498" s="6" t="s">
        <v>1697</v>
      </c>
      <c r="Z498" s="6" t="s">
        <v>1697</v>
      </c>
      <c r="AA498" s="6" t="s">
        <v>1697</v>
      </c>
      <c r="AB498" s="6" t="s">
        <v>1697</v>
      </c>
      <c r="AC498" s="6" t="s">
        <v>1697</v>
      </c>
      <c r="AD498" s="6" t="s">
        <v>1697</v>
      </c>
      <c r="AE498" s="6" t="s">
        <v>1697</v>
      </c>
      <c r="AF498" s="6" t="s">
        <v>1697</v>
      </c>
      <c r="AG498" s="6" t="s">
        <v>1697</v>
      </c>
      <c r="AH498" s="6" t="s">
        <v>1697</v>
      </c>
      <c r="AI498" s="6" t="s">
        <v>1697</v>
      </c>
      <c r="AJ498" t="s">
        <v>1694</v>
      </c>
      <c r="AK498" t="s">
        <v>1694</v>
      </c>
      <c r="AL498" t="s">
        <v>1694</v>
      </c>
      <c r="AM498" t="s">
        <v>1694</v>
      </c>
      <c r="AN498" t="s">
        <v>1694</v>
      </c>
      <c r="AO498" t="s">
        <v>1694</v>
      </c>
      <c r="AP498" t="s">
        <v>1695</v>
      </c>
      <c r="AQ498" t="s">
        <v>1711</v>
      </c>
      <c r="AR498" t="s">
        <v>1694</v>
      </c>
      <c r="AS498" t="s">
        <v>1694</v>
      </c>
      <c r="AT498" t="s">
        <v>1694</v>
      </c>
      <c r="AU498" t="s">
        <v>1695</v>
      </c>
      <c r="AV498" t="s">
        <v>1711</v>
      </c>
      <c r="AW498" t="s">
        <v>1694</v>
      </c>
      <c r="AX498" t="s">
        <v>1695</v>
      </c>
      <c r="AY498" t="s">
        <v>1711</v>
      </c>
      <c r="AZ498" t="s">
        <v>1694</v>
      </c>
      <c r="BA498" t="s">
        <v>1694</v>
      </c>
      <c r="BB498" t="s">
        <v>1695</v>
      </c>
      <c r="BC498" t="s">
        <v>1711</v>
      </c>
      <c r="BD498" t="s">
        <v>1694</v>
      </c>
      <c r="BE498" t="s">
        <v>1695</v>
      </c>
      <c r="BF498" t="s">
        <v>1694</v>
      </c>
      <c r="BG498" s="6" t="s">
        <v>1697</v>
      </c>
      <c r="BH498" s="6" t="s">
        <v>1697</v>
      </c>
      <c r="BI498" t="b">
        <v>1</v>
      </c>
      <c r="BJ498">
        <f t="shared" si="7"/>
        <v>1</v>
      </c>
    </row>
    <row r="499" spans="1:62" x14ac:dyDescent="0.2">
      <c r="A499" s="5" t="s">
        <v>113</v>
      </c>
      <c r="B499" s="6">
        <v>38421</v>
      </c>
      <c r="C499" s="7">
        <v>33.557400000000001</v>
      </c>
      <c r="D499" s="7">
        <v>-112.064325</v>
      </c>
      <c r="E499" s="17">
        <v>376</v>
      </c>
      <c r="F499" t="s">
        <v>1700</v>
      </c>
      <c r="G499" s="11" t="s">
        <v>1714</v>
      </c>
      <c r="H499" s="11" t="s">
        <v>1715</v>
      </c>
      <c r="I499">
        <v>1</v>
      </c>
      <c r="J499" s="8">
        <v>7.2195753986188045</v>
      </c>
      <c r="K499" s="8">
        <v>67.166874194602528</v>
      </c>
      <c r="L499" s="8">
        <v>25.613550406778671</v>
      </c>
      <c r="M499" s="8">
        <v>1.7851310985783369</v>
      </c>
      <c r="N499" s="8">
        <v>2.0389536146652603</v>
      </c>
      <c r="O499" s="8">
        <v>101.32157890551527</v>
      </c>
      <c r="P499" s="8">
        <v>50.655253864340061</v>
      </c>
      <c r="Q499" s="8">
        <v>7.0420344026676478</v>
      </c>
      <c r="R499" s="8">
        <v>3.0017375653950027</v>
      </c>
      <c r="S499" s="8">
        <v>1.28</v>
      </c>
      <c r="T499" s="8">
        <v>1.419</v>
      </c>
      <c r="U499" s="8">
        <v>0.84</v>
      </c>
      <c r="V499" s="8">
        <v>1.2649999999999999</v>
      </c>
      <c r="W499" s="8">
        <v>0.44000000000000006</v>
      </c>
      <c r="X499" s="8">
        <v>0.15400000000000014</v>
      </c>
      <c r="Y499" s="8">
        <v>3.4375000000000098</v>
      </c>
      <c r="Z499" s="8">
        <v>3.6927621861152145</v>
      </c>
      <c r="AA499" s="8">
        <v>8.51</v>
      </c>
      <c r="AB499">
        <v>0.38700000000000001</v>
      </c>
      <c r="AC499" s="8">
        <v>12.031249999999993</v>
      </c>
      <c r="AD499" s="8">
        <v>16.543574593796176</v>
      </c>
      <c r="AE499" s="8">
        <v>4.1000000000000002E-2</v>
      </c>
      <c r="AF499" s="8">
        <v>3.2000000000000001E-2</v>
      </c>
      <c r="AG499" s="8">
        <v>1.0976351459449167</v>
      </c>
      <c r="AH499" s="8">
        <v>31.219512195121951</v>
      </c>
      <c r="AI499" s="8">
        <v>34.609756097560975</v>
      </c>
      <c r="AJ499" t="s">
        <v>1694</v>
      </c>
      <c r="AK499" t="s">
        <v>1694</v>
      </c>
      <c r="AL499" t="s">
        <v>1694</v>
      </c>
      <c r="AM499" t="s">
        <v>1694</v>
      </c>
      <c r="AN499" t="s">
        <v>1700</v>
      </c>
      <c r="AO499" t="s">
        <v>1714</v>
      </c>
      <c r="AP499" t="s">
        <v>1716</v>
      </c>
      <c r="AQ499" t="s">
        <v>1717</v>
      </c>
      <c r="AR499" t="s">
        <v>1714</v>
      </c>
      <c r="AS499" t="s">
        <v>1700</v>
      </c>
      <c r="AT499" t="s">
        <v>1714</v>
      </c>
      <c r="AU499" t="s">
        <v>1716</v>
      </c>
      <c r="AV499" t="s">
        <v>1719</v>
      </c>
      <c r="AW499" t="s">
        <v>1714</v>
      </c>
      <c r="AX499" t="s">
        <v>1716</v>
      </c>
      <c r="AY499" t="s">
        <v>1719</v>
      </c>
      <c r="AZ499" t="s">
        <v>1714</v>
      </c>
      <c r="BA499" t="s">
        <v>1700</v>
      </c>
      <c r="BB499" t="s">
        <v>1716</v>
      </c>
      <c r="BC499" t="s">
        <v>1719</v>
      </c>
      <c r="BD499" t="s">
        <v>1714</v>
      </c>
      <c r="BE499" t="s">
        <v>1716</v>
      </c>
      <c r="BF499" t="s">
        <v>1719</v>
      </c>
      <c r="BG499">
        <v>71</v>
      </c>
      <c r="BH499" t="s">
        <v>1712</v>
      </c>
      <c r="BI499" t="b">
        <v>0</v>
      </c>
      <c r="BJ499">
        <f t="shared" si="7"/>
        <v>0</v>
      </c>
    </row>
    <row r="500" spans="1:62" x14ac:dyDescent="0.2">
      <c r="A500" s="5" t="s">
        <v>113</v>
      </c>
      <c r="B500" s="6">
        <v>40246</v>
      </c>
      <c r="C500" s="7">
        <v>33.557400000000001</v>
      </c>
      <c r="D500" s="7">
        <v>-112.064325</v>
      </c>
      <c r="E500" s="17">
        <v>376</v>
      </c>
      <c r="F500" t="s">
        <v>1700</v>
      </c>
      <c r="G500" s="11" t="s">
        <v>1714</v>
      </c>
      <c r="H500" t="s">
        <v>1715</v>
      </c>
      <c r="I500">
        <v>1</v>
      </c>
      <c r="J500" s="8">
        <v>13.917577429670867</v>
      </c>
      <c r="K500" s="8">
        <v>59.207401073387331</v>
      </c>
      <c r="L500" s="8">
        <v>26.875021496941798</v>
      </c>
      <c r="M500" s="8">
        <v>5.0000000000000001E-3</v>
      </c>
      <c r="N500" s="8">
        <v>5.0000000000000001E-3</v>
      </c>
      <c r="O500" s="8">
        <v>14.571565065181279</v>
      </c>
      <c r="P500" s="8">
        <v>7.0400718348580709</v>
      </c>
      <c r="Q500" s="8">
        <v>20.874839766360331</v>
      </c>
      <c r="R500" s="8">
        <v>5.1851659514128574</v>
      </c>
      <c r="S500" s="8">
        <v>1.1950000000000001</v>
      </c>
      <c r="T500" s="8">
        <v>1.4830000000000001</v>
      </c>
      <c r="U500" s="8">
        <v>0.77400000000000002</v>
      </c>
      <c r="V500" s="8">
        <v>1.0860000000000001</v>
      </c>
      <c r="W500" s="8">
        <v>0.42100000000000004</v>
      </c>
      <c r="X500" s="8">
        <v>0.39700000000000002</v>
      </c>
      <c r="Y500" s="8">
        <v>2.4875621890547324</v>
      </c>
      <c r="Z500" s="8">
        <v>2.6881720430107432</v>
      </c>
      <c r="AA500" s="8">
        <v>8.5399999999999991</v>
      </c>
      <c r="AB500">
        <v>0.17</v>
      </c>
      <c r="AC500" s="8">
        <v>12.769485903814257</v>
      </c>
      <c r="AD500" s="8">
        <v>14.112903225806461</v>
      </c>
      <c r="AE500" s="8">
        <v>3.5000000000000003E-2</v>
      </c>
      <c r="AF500" s="8">
        <v>1.7000000000000001E-2</v>
      </c>
      <c r="AG500" s="8">
        <v>1.1798753621493832</v>
      </c>
      <c r="AH500" s="8">
        <v>34.142857142857139</v>
      </c>
      <c r="AI500" s="8">
        <v>42.371428571428574</v>
      </c>
      <c r="AJ500" t="s">
        <v>1694</v>
      </c>
      <c r="AK500" t="s">
        <v>1694</v>
      </c>
      <c r="AL500" t="s">
        <v>1694</v>
      </c>
      <c r="AM500" t="s">
        <v>1694</v>
      </c>
      <c r="AN500" t="s">
        <v>1700</v>
      </c>
      <c r="AO500" t="s">
        <v>1714</v>
      </c>
      <c r="AP500" t="s">
        <v>1716</v>
      </c>
      <c r="AQ500" t="s">
        <v>1717</v>
      </c>
      <c r="AR500" t="s">
        <v>1714</v>
      </c>
      <c r="AS500" t="s">
        <v>1700</v>
      </c>
      <c r="AT500" t="s">
        <v>1714</v>
      </c>
      <c r="AU500" t="s">
        <v>1716</v>
      </c>
      <c r="AV500" t="s">
        <v>1719</v>
      </c>
      <c r="AW500" t="s">
        <v>1714</v>
      </c>
      <c r="AX500" t="s">
        <v>1716</v>
      </c>
      <c r="AY500" t="s">
        <v>1719</v>
      </c>
      <c r="AZ500" t="s">
        <v>1714</v>
      </c>
      <c r="BA500" t="s">
        <v>1700</v>
      </c>
      <c r="BB500" t="s">
        <v>1716</v>
      </c>
      <c r="BC500" t="s">
        <v>1719</v>
      </c>
      <c r="BD500" t="s">
        <v>1714</v>
      </c>
      <c r="BE500" t="s">
        <v>1716</v>
      </c>
      <c r="BF500" t="s">
        <v>1719</v>
      </c>
      <c r="BG500">
        <v>76</v>
      </c>
      <c r="BH500" t="s">
        <v>1712</v>
      </c>
      <c r="BI500" t="b">
        <v>0</v>
      </c>
      <c r="BJ500">
        <f t="shared" si="7"/>
        <v>0</v>
      </c>
    </row>
    <row r="501" spans="1:62" x14ac:dyDescent="0.2">
      <c r="A501" s="5" t="s">
        <v>113</v>
      </c>
      <c r="B501" s="6">
        <v>42138</v>
      </c>
      <c r="C501" s="7">
        <v>33.557400000000001</v>
      </c>
      <c r="D501" s="7">
        <v>-112.064325</v>
      </c>
      <c r="E501" s="17">
        <v>376</v>
      </c>
      <c r="F501" t="s">
        <v>1700</v>
      </c>
      <c r="G501" t="s">
        <v>1714</v>
      </c>
      <c r="H501" t="s">
        <v>1715</v>
      </c>
      <c r="I501">
        <v>1</v>
      </c>
      <c r="J501">
        <v>7.5847106400417301</v>
      </c>
      <c r="K501">
        <v>73.435895868517093</v>
      </c>
      <c r="L501">
        <v>18.979393491441201</v>
      </c>
      <c r="M501">
        <v>5.6079743222671201</v>
      </c>
      <c r="N501" t="s">
        <v>1697</v>
      </c>
      <c r="O501">
        <v>1340.5579068116101</v>
      </c>
      <c r="P501" t="s">
        <v>1697</v>
      </c>
      <c r="Q501">
        <v>6.35655196954903</v>
      </c>
      <c r="R501" t="s">
        <v>1697</v>
      </c>
      <c r="S501">
        <v>1.268</v>
      </c>
      <c r="T501" t="s">
        <v>1697</v>
      </c>
      <c r="U501">
        <v>0.76400000000000001</v>
      </c>
      <c r="V501" t="s">
        <v>1697</v>
      </c>
      <c r="W501">
        <v>0.504</v>
      </c>
      <c r="X501" t="s">
        <v>1697</v>
      </c>
      <c r="Y501">
        <v>2.4142312579415601</v>
      </c>
      <c r="Z501" t="s">
        <v>1697</v>
      </c>
      <c r="AA501">
        <v>7.93</v>
      </c>
      <c r="AB501">
        <v>0.16500000000000001</v>
      </c>
      <c r="AC501">
        <v>2.1778584392014699</v>
      </c>
      <c r="AD501" t="s">
        <v>1697</v>
      </c>
      <c r="AE501">
        <v>9.1999999999999998E-2</v>
      </c>
      <c r="AF501" t="s">
        <v>1697</v>
      </c>
      <c r="AG501">
        <v>1.3164599197539815</v>
      </c>
      <c r="AH501">
        <v>13.7826086956522</v>
      </c>
      <c r="AI501" t="s">
        <v>1697</v>
      </c>
      <c r="AJ501" t="s">
        <v>1694</v>
      </c>
      <c r="AK501" t="s">
        <v>1694</v>
      </c>
      <c r="AL501" t="s">
        <v>1694</v>
      </c>
      <c r="AM501" t="s">
        <v>1694</v>
      </c>
      <c r="AN501" t="s">
        <v>1700</v>
      </c>
      <c r="AO501" t="s">
        <v>1714</v>
      </c>
      <c r="AP501" t="s">
        <v>1716</v>
      </c>
      <c r="AQ501" t="s">
        <v>1719</v>
      </c>
      <c r="AR501" t="s">
        <v>1714</v>
      </c>
      <c r="AS501" t="s">
        <v>1700</v>
      </c>
      <c r="AT501" t="s">
        <v>1714</v>
      </c>
      <c r="AU501" t="s">
        <v>1716</v>
      </c>
      <c r="AV501" t="s">
        <v>1719</v>
      </c>
      <c r="AW501" t="s">
        <v>1714</v>
      </c>
      <c r="AX501" t="s">
        <v>1716</v>
      </c>
      <c r="AY501" t="s">
        <v>1719</v>
      </c>
      <c r="AZ501" t="s">
        <v>1714</v>
      </c>
      <c r="BA501" t="s">
        <v>1700</v>
      </c>
      <c r="BB501" t="s">
        <v>1716</v>
      </c>
      <c r="BC501" t="s">
        <v>1719</v>
      </c>
      <c r="BD501" t="s">
        <v>1714</v>
      </c>
      <c r="BE501" t="s">
        <v>1716</v>
      </c>
      <c r="BF501" t="s">
        <v>1719</v>
      </c>
      <c r="BG501">
        <v>81</v>
      </c>
      <c r="BH501" t="s">
        <v>1713</v>
      </c>
      <c r="BI501" t="b">
        <v>0</v>
      </c>
      <c r="BJ501">
        <f t="shared" si="7"/>
        <v>0</v>
      </c>
    </row>
    <row r="502" spans="1:62" x14ac:dyDescent="0.2">
      <c r="A502" s="5" t="s">
        <v>113</v>
      </c>
      <c r="B502" s="6">
        <v>45092</v>
      </c>
      <c r="C502" s="7">
        <v>33.557400000000001</v>
      </c>
      <c r="D502" s="7">
        <v>-112.064325</v>
      </c>
      <c r="E502" s="17">
        <v>376</v>
      </c>
      <c r="F502" t="s">
        <v>1700</v>
      </c>
      <c r="G502" t="s">
        <v>1697</v>
      </c>
      <c r="H502" t="s">
        <v>1697</v>
      </c>
      <c r="I502">
        <v>1</v>
      </c>
      <c r="J502" t="s">
        <v>1697</v>
      </c>
      <c r="K502" t="s">
        <v>1697</v>
      </c>
      <c r="L502" t="s">
        <v>1697</v>
      </c>
      <c r="M502" t="s">
        <v>1697</v>
      </c>
      <c r="N502" t="s">
        <v>1697</v>
      </c>
      <c r="O502" t="s">
        <v>1697</v>
      </c>
      <c r="P502" t="s">
        <v>1697</v>
      </c>
      <c r="Q502" t="s">
        <v>1697</v>
      </c>
      <c r="R502" t="s">
        <v>1697</v>
      </c>
      <c r="S502" t="s">
        <v>1697</v>
      </c>
      <c r="T502" t="s">
        <v>1697</v>
      </c>
      <c r="U502" t="s">
        <v>1697</v>
      </c>
      <c r="V502" t="s">
        <v>1697</v>
      </c>
      <c r="W502" t="s">
        <v>1697</v>
      </c>
      <c r="X502" t="s">
        <v>1697</v>
      </c>
      <c r="Y502" t="s">
        <v>1697</v>
      </c>
      <c r="Z502" t="s">
        <v>1697</v>
      </c>
      <c r="AA502" t="s">
        <v>1697</v>
      </c>
      <c r="AB502" t="s">
        <v>1697</v>
      </c>
      <c r="AC502" t="s">
        <v>1697</v>
      </c>
      <c r="AD502" t="s">
        <v>1697</v>
      </c>
      <c r="AE502" t="s">
        <v>1697</v>
      </c>
      <c r="AF502" t="s">
        <v>1697</v>
      </c>
      <c r="AG502" t="s">
        <v>1697</v>
      </c>
      <c r="AH502" t="s">
        <v>1697</v>
      </c>
      <c r="AI502" t="s">
        <v>1697</v>
      </c>
      <c r="AJ502" t="s">
        <v>1694</v>
      </c>
      <c r="AK502" t="s">
        <v>1694</v>
      </c>
      <c r="AL502" t="s">
        <v>1694</v>
      </c>
      <c r="AM502" t="s">
        <v>1694</v>
      </c>
      <c r="AN502" t="s">
        <v>1700</v>
      </c>
      <c r="AO502" t="s">
        <v>1714</v>
      </c>
      <c r="AP502" t="s">
        <v>1716</v>
      </c>
      <c r="AQ502" t="s">
        <v>1719</v>
      </c>
      <c r="AR502" t="s">
        <v>1714</v>
      </c>
      <c r="AS502" t="s">
        <v>1700</v>
      </c>
      <c r="AT502" t="s">
        <v>1714</v>
      </c>
      <c r="AU502" t="s">
        <v>1716</v>
      </c>
      <c r="AV502" t="s">
        <v>1719</v>
      </c>
      <c r="AW502" t="s">
        <v>1714</v>
      </c>
      <c r="AX502" t="s">
        <v>1716</v>
      </c>
      <c r="AY502" t="s">
        <v>1719</v>
      </c>
      <c r="AZ502" t="s">
        <v>1714</v>
      </c>
      <c r="BA502" t="s">
        <v>1700</v>
      </c>
      <c r="BB502" t="s">
        <v>1716</v>
      </c>
      <c r="BC502" t="s">
        <v>1719</v>
      </c>
      <c r="BD502" t="s">
        <v>1714</v>
      </c>
      <c r="BE502" t="s">
        <v>1716</v>
      </c>
      <c r="BF502" t="s">
        <v>1719</v>
      </c>
      <c r="BG502" s="6" t="s">
        <v>1697</v>
      </c>
      <c r="BH502" s="6" t="s">
        <v>1697</v>
      </c>
      <c r="BI502" t="b">
        <v>1</v>
      </c>
      <c r="BJ502">
        <f t="shared" si="7"/>
        <v>1</v>
      </c>
    </row>
    <row r="503" spans="1:62" x14ac:dyDescent="0.2">
      <c r="A503" s="5" t="s">
        <v>114</v>
      </c>
      <c r="B503" s="6">
        <v>36592</v>
      </c>
      <c r="C503" s="7">
        <v>33.504992000000001</v>
      </c>
      <c r="D503" s="7">
        <v>-112.072489</v>
      </c>
      <c r="E503" s="17">
        <v>343</v>
      </c>
      <c r="F503" t="s">
        <v>1700</v>
      </c>
      <c r="G503" t="s">
        <v>1755</v>
      </c>
      <c r="H503" t="s">
        <v>1755</v>
      </c>
      <c r="I503">
        <v>1</v>
      </c>
      <c r="J503" s="8">
        <v>20.024748901579787</v>
      </c>
      <c r="K503" s="8">
        <v>69.533714465751657</v>
      </c>
      <c r="L503" s="8">
        <v>10.441536632668559</v>
      </c>
      <c r="M503" s="8">
        <v>3.1616551695268802</v>
      </c>
      <c r="N503" s="8">
        <v>1.7875875665639855</v>
      </c>
      <c r="O503" s="8">
        <v>1.8952148865891665</v>
      </c>
      <c r="P503" s="8">
        <v>0.81644991991740912</v>
      </c>
      <c r="Q503" s="8">
        <v>41.452176696401885</v>
      </c>
      <c r="R503" s="8">
        <v>21.500121607924267</v>
      </c>
      <c r="S503" s="8">
        <v>3.0779999999999998</v>
      </c>
      <c r="T503" s="8">
        <v>0.89900000000000002</v>
      </c>
      <c r="U503" s="8">
        <v>1.3939999999999999</v>
      </c>
      <c r="V503" s="8">
        <v>0.68200000000000005</v>
      </c>
      <c r="W503" s="8">
        <v>1.6839999999999999</v>
      </c>
      <c r="X503" s="8">
        <v>0.217</v>
      </c>
      <c r="Y503" s="8">
        <v>7.3691000000000004</v>
      </c>
      <c r="Z503" s="8">
        <v>2.76356</v>
      </c>
      <c r="AA503" s="9">
        <v>7.83</v>
      </c>
      <c r="AB503" s="10">
        <v>0.8165</v>
      </c>
      <c r="AC503" s="8">
        <v>26.733170000000001</v>
      </c>
      <c r="AD503" s="8">
        <v>18.855930000000001</v>
      </c>
      <c r="AE503" s="8">
        <v>0.188</v>
      </c>
      <c r="AF503" s="8">
        <v>0.04</v>
      </c>
      <c r="AG503" s="8">
        <v>1.3955500596086314</v>
      </c>
      <c r="AH503" s="8">
        <v>16.372340425531913</v>
      </c>
      <c r="AI503" s="8">
        <v>4.7819148936170217</v>
      </c>
      <c r="AJ503" t="s">
        <v>1702</v>
      </c>
      <c r="AK503" t="s">
        <v>1703</v>
      </c>
      <c r="AL503" t="s">
        <v>1702</v>
      </c>
      <c r="AM503" t="s">
        <v>1703</v>
      </c>
      <c r="AN503" t="s">
        <v>1700</v>
      </c>
      <c r="AO503" t="s">
        <v>1700</v>
      </c>
      <c r="AP503" t="s">
        <v>1755</v>
      </c>
      <c r="AQ503" t="s">
        <v>1756</v>
      </c>
      <c r="AR503" t="s">
        <v>1700</v>
      </c>
      <c r="AS503" t="s">
        <v>1700</v>
      </c>
      <c r="AT503" t="s">
        <v>1700</v>
      </c>
      <c r="AU503" t="s">
        <v>1755</v>
      </c>
      <c r="AV503" t="s">
        <v>1756</v>
      </c>
      <c r="AW503" t="s">
        <v>1700</v>
      </c>
      <c r="AX503" t="s">
        <v>1755</v>
      </c>
      <c r="AY503" t="s">
        <v>1756</v>
      </c>
      <c r="AZ503" t="s">
        <v>1700</v>
      </c>
      <c r="BA503" t="s">
        <v>1700</v>
      </c>
      <c r="BB503" t="s">
        <v>1755</v>
      </c>
      <c r="BC503" t="s">
        <v>1756</v>
      </c>
      <c r="BD503" t="s">
        <v>1700</v>
      </c>
      <c r="BE503" t="s">
        <v>1755</v>
      </c>
      <c r="BF503" t="s">
        <v>1756</v>
      </c>
      <c r="BG503">
        <v>66</v>
      </c>
      <c r="BH503" t="s">
        <v>1712</v>
      </c>
      <c r="BI503" t="b">
        <v>0</v>
      </c>
      <c r="BJ503">
        <f t="shared" si="7"/>
        <v>0</v>
      </c>
    </row>
    <row r="504" spans="1:62" x14ac:dyDescent="0.2">
      <c r="A504" s="5" t="s">
        <v>114</v>
      </c>
      <c r="B504" s="6">
        <v>38467</v>
      </c>
      <c r="C504" s="7">
        <v>33.504992000000001</v>
      </c>
      <c r="D504" s="7">
        <v>-112.072489</v>
      </c>
      <c r="E504" s="17">
        <v>343</v>
      </c>
      <c r="F504" t="s">
        <v>1700</v>
      </c>
      <c r="G504" t="s">
        <v>1755</v>
      </c>
      <c r="H504" t="s">
        <v>1755</v>
      </c>
      <c r="I504">
        <v>1</v>
      </c>
      <c r="J504" s="8">
        <v>17.465484069939425</v>
      </c>
      <c r="K504" s="8">
        <v>56.432518498366655</v>
      </c>
      <c r="L504" s="8">
        <v>26.101997431693917</v>
      </c>
      <c r="M504" s="8">
        <v>2.1187520610579784</v>
      </c>
      <c r="N504" s="8">
        <v>1.6024937590217125</v>
      </c>
      <c r="O504" s="8">
        <v>6.0687112606017815</v>
      </c>
      <c r="P504" s="8">
        <v>2.4107080027022278</v>
      </c>
      <c r="Q504" s="8">
        <v>99.787951548315732</v>
      </c>
      <c r="R504" s="8">
        <v>41.494673263497837</v>
      </c>
      <c r="S504" s="8">
        <v>2.173</v>
      </c>
      <c r="T504" s="8">
        <v>0.76500000000000001</v>
      </c>
      <c r="U504" s="8">
        <v>1.351</v>
      </c>
      <c r="V504" s="8">
        <v>0.70399999999999996</v>
      </c>
      <c r="W504" s="8">
        <v>0.82200000000000006</v>
      </c>
      <c r="X504" s="8">
        <v>6.1000000000000054E-2</v>
      </c>
      <c r="Y504" s="8">
        <v>5.7777777777777866</v>
      </c>
      <c r="Z504" s="8">
        <v>2.827965435978014</v>
      </c>
      <c r="AA504" s="8">
        <v>8.24</v>
      </c>
      <c r="AB504">
        <v>0.29799999999999999</v>
      </c>
      <c r="AC504" s="8">
        <v>24.296296296296305</v>
      </c>
      <c r="AD504" s="8">
        <v>14.218381775333846</v>
      </c>
      <c r="AE504" s="8">
        <v>0.13</v>
      </c>
      <c r="AF504" s="8">
        <v>3.6999999999999998E-2</v>
      </c>
      <c r="AG504" s="8">
        <v>1.211645296265847</v>
      </c>
      <c r="AH504" s="8">
        <v>16.715384615384615</v>
      </c>
      <c r="AI504" s="8">
        <v>5.8846153846153841</v>
      </c>
      <c r="AJ504" t="s">
        <v>1702</v>
      </c>
      <c r="AK504" t="s">
        <v>1703</v>
      </c>
      <c r="AL504" t="s">
        <v>1702</v>
      </c>
      <c r="AM504" t="s">
        <v>1703</v>
      </c>
      <c r="AN504" t="s">
        <v>1700</v>
      </c>
      <c r="AO504" t="s">
        <v>1700</v>
      </c>
      <c r="AP504" t="s">
        <v>1755</v>
      </c>
      <c r="AQ504" t="s">
        <v>1756</v>
      </c>
      <c r="AR504" t="s">
        <v>1700</v>
      </c>
      <c r="AS504" t="s">
        <v>1700</v>
      </c>
      <c r="AT504" t="s">
        <v>1700</v>
      </c>
      <c r="AU504" t="s">
        <v>1755</v>
      </c>
      <c r="AV504" t="s">
        <v>1756</v>
      </c>
      <c r="AW504" t="s">
        <v>1700</v>
      </c>
      <c r="AX504" t="s">
        <v>1755</v>
      </c>
      <c r="AY504" t="s">
        <v>1756</v>
      </c>
      <c r="AZ504" t="s">
        <v>1700</v>
      </c>
      <c r="BA504" t="s">
        <v>1700</v>
      </c>
      <c r="BB504" t="s">
        <v>1755</v>
      </c>
      <c r="BC504" t="s">
        <v>1756</v>
      </c>
      <c r="BD504" t="s">
        <v>1700</v>
      </c>
      <c r="BE504" t="s">
        <v>1755</v>
      </c>
      <c r="BF504" t="s">
        <v>1756</v>
      </c>
      <c r="BG504">
        <v>71</v>
      </c>
      <c r="BH504" t="s">
        <v>1712</v>
      </c>
      <c r="BI504" t="b">
        <v>0</v>
      </c>
      <c r="BJ504">
        <f t="shared" si="7"/>
        <v>0</v>
      </c>
    </row>
    <row r="505" spans="1:62" x14ac:dyDescent="0.2">
      <c r="A505" s="5" t="s">
        <v>114</v>
      </c>
      <c r="B505" s="6">
        <v>40277</v>
      </c>
      <c r="C505" s="7">
        <v>33.504992000000001</v>
      </c>
      <c r="D505" s="7">
        <v>-112.072489</v>
      </c>
      <c r="E505" s="17">
        <v>343</v>
      </c>
      <c r="F505" t="s">
        <v>1700</v>
      </c>
      <c r="G505" t="s">
        <v>1755</v>
      </c>
      <c r="H505" t="s">
        <v>1755</v>
      </c>
      <c r="I505">
        <v>1</v>
      </c>
      <c r="J505" s="8">
        <v>18.095911595712373</v>
      </c>
      <c r="K505" s="8">
        <v>52.916913612336252</v>
      </c>
      <c r="L505" s="8">
        <v>28.987174791951375</v>
      </c>
      <c r="M505" s="8">
        <v>3.1769544048599455E-2</v>
      </c>
      <c r="N505" s="8">
        <v>5.0000000000000001E-3</v>
      </c>
      <c r="O505" s="8">
        <v>28.53132606017471</v>
      </c>
      <c r="P505" s="8">
        <v>7.5260153893117314</v>
      </c>
      <c r="Q505" s="8">
        <v>141.87030210742657</v>
      </c>
      <c r="R505" s="8">
        <v>36.876598847570214</v>
      </c>
      <c r="S505" s="8">
        <v>2.3969999999999998</v>
      </c>
      <c r="T505" s="8">
        <v>0.96399999999999997</v>
      </c>
      <c r="U505" s="8">
        <v>0.6</v>
      </c>
      <c r="V505" s="8">
        <v>0.59299999999999997</v>
      </c>
      <c r="W505" s="8">
        <v>1.7969999999999997</v>
      </c>
      <c r="X505" s="8">
        <v>0.371</v>
      </c>
      <c r="Y505" s="8">
        <v>5.4834054834054946</v>
      </c>
      <c r="Z505" s="8">
        <v>2.6178010471204183</v>
      </c>
      <c r="AA505" s="8">
        <v>8.19</v>
      </c>
      <c r="AB505">
        <v>0.56599999999999995</v>
      </c>
      <c r="AC505" s="8">
        <v>20.057720057720037</v>
      </c>
      <c r="AD505" s="8">
        <v>13.298429319371721</v>
      </c>
      <c r="AE505" s="8">
        <v>0.17799999999999999</v>
      </c>
      <c r="AF505" s="8">
        <v>4.8000000000000001E-2</v>
      </c>
      <c r="AG505" s="8">
        <v>1.4153436546262583</v>
      </c>
      <c r="AH505" s="8">
        <v>13.466292134831461</v>
      </c>
      <c r="AI505" s="8">
        <v>5.415730337078652</v>
      </c>
      <c r="AJ505" t="s">
        <v>1702</v>
      </c>
      <c r="AK505" t="s">
        <v>1703</v>
      </c>
      <c r="AL505" t="s">
        <v>1702</v>
      </c>
      <c r="AM505" t="s">
        <v>1703</v>
      </c>
      <c r="AN505" t="s">
        <v>1700</v>
      </c>
      <c r="AO505" t="s">
        <v>1700</v>
      </c>
      <c r="AP505" t="s">
        <v>1755</v>
      </c>
      <c r="AQ505" t="s">
        <v>1756</v>
      </c>
      <c r="AR505" t="s">
        <v>1700</v>
      </c>
      <c r="AS505" t="s">
        <v>1700</v>
      </c>
      <c r="AT505" t="s">
        <v>1700</v>
      </c>
      <c r="AU505" t="s">
        <v>1755</v>
      </c>
      <c r="AV505" t="s">
        <v>1756</v>
      </c>
      <c r="AW505" t="s">
        <v>1700</v>
      </c>
      <c r="AX505" t="s">
        <v>1755</v>
      </c>
      <c r="AY505" t="s">
        <v>1756</v>
      </c>
      <c r="AZ505" t="s">
        <v>1700</v>
      </c>
      <c r="BA505" t="s">
        <v>1700</v>
      </c>
      <c r="BB505" t="s">
        <v>1755</v>
      </c>
      <c r="BC505" t="s">
        <v>1756</v>
      </c>
      <c r="BD505" t="s">
        <v>1700</v>
      </c>
      <c r="BE505" t="s">
        <v>1755</v>
      </c>
      <c r="BF505" t="s">
        <v>1756</v>
      </c>
      <c r="BG505">
        <v>76</v>
      </c>
      <c r="BH505" t="s">
        <v>1712</v>
      </c>
      <c r="BI505" t="b">
        <v>0</v>
      </c>
      <c r="BJ505">
        <f t="shared" si="7"/>
        <v>0</v>
      </c>
    </row>
    <row r="506" spans="1:62" x14ac:dyDescent="0.2">
      <c r="A506" s="5" t="s">
        <v>114</v>
      </c>
      <c r="B506" s="6">
        <v>42142</v>
      </c>
      <c r="C506" s="7">
        <v>33.504992000000001</v>
      </c>
      <c r="D506" s="7">
        <v>-112.072489</v>
      </c>
      <c r="E506" s="17">
        <v>343</v>
      </c>
      <c r="F506" t="s">
        <v>1700</v>
      </c>
      <c r="G506" t="s">
        <v>1755</v>
      </c>
      <c r="H506" t="s">
        <v>1755</v>
      </c>
      <c r="I506">
        <v>1</v>
      </c>
      <c r="J506">
        <v>13.5556560125621</v>
      </c>
      <c r="K506">
        <v>58.5147084003694</v>
      </c>
      <c r="L506">
        <v>27.9296355870685</v>
      </c>
      <c r="M506">
        <v>2.1904436334679298</v>
      </c>
      <c r="N506">
        <v>3.4226259945817299</v>
      </c>
      <c r="O506">
        <v>110.12505606792899</v>
      </c>
      <c r="P506">
        <v>28.256563443639799</v>
      </c>
      <c r="Q506">
        <v>28.8882517621389</v>
      </c>
      <c r="R506">
        <v>12.623772583997701</v>
      </c>
      <c r="S506">
        <v>2.5270000000000001</v>
      </c>
      <c r="T506">
        <v>1.306</v>
      </c>
      <c r="U506">
        <v>0.874</v>
      </c>
      <c r="V506">
        <v>1.1279999999999999</v>
      </c>
      <c r="W506">
        <v>1.653</v>
      </c>
      <c r="X506">
        <v>0.17799999999999999</v>
      </c>
      <c r="Y506">
        <v>3.9603960396039599</v>
      </c>
      <c r="Z506">
        <v>1.7772511848341299</v>
      </c>
      <c r="AA506">
        <v>7.85</v>
      </c>
      <c r="AB506">
        <v>0.77400000000000002</v>
      </c>
      <c r="AC506">
        <v>13.900414937759299</v>
      </c>
      <c r="AD506">
        <v>11.290322580645199</v>
      </c>
      <c r="AE506">
        <v>0.20599999999999999</v>
      </c>
      <c r="AF506">
        <v>7.5999999999999998E-2</v>
      </c>
      <c r="AG506">
        <v>1.3589826862174403</v>
      </c>
      <c r="AH506">
        <v>12.2669902912621</v>
      </c>
      <c r="AI506">
        <v>17.184210526315798</v>
      </c>
      <c r="AJ506" t="s">
        <v>1702</v>
      </c>
      <c r="AK506" t="s">
        <v>1703</v>
      </c>
      <c r="AL506" t="s">
        <v>1702</v>
      </c>
      <c r="AM506" t="s">
        <v>1703</v>
      </c>
      <c r="AN506" t="s">
        <v>1700</v>
      </c>
      <c r="AO506" t="s">
        <v>1700</v>
      </c>
      <c r="AP506" t="s">
        <v>1755</v>
      </c>
      <c r="AQ506" t="s">
        <v>1756</v>
      </c>
      <c r="AR506" t="s">
        <v>1700</v>
      </c>
      <c r="AS506" t="s">
        <v>1700</v>
      </c>
      <c r="AT506" t="s">
        <v>1700</v>
      </c>
      <c r="AU506" t="s">
        <v>1755</v>
      </c>
      <c r="AV506" t="s">
        <v>1756</v>
      </c>
      <c r="AW506" t="s">
        <v>1700</v>
      </c>
      <c r="AX506" t="s">
        <v>1755</v>
      </c>
      <c r="AY506" t="s">
        <v>1756</v>
      </c>
      <c r="AZ506" t="s">
        <v>1700</v>
      </c>
      <c r="BA506" t="s">
        <v>1700</v>
      </c>
      <c r="BB506" t="s">
        <v>1755</v>
      </c>
      <c r="BC506" t="s">
        <v>1756</v>
      </c>
      <c r="BD506" t="s">
        <v>1700</v>
      </c>
      <c r="BE506" t="s">
        <v>1755</v>
      </c>
      <c r="BF506" t="s">
        <v>1756</v>
      </c>
      <c r="BG506">
        <v>81</v>
      </c>
      <c r="BH506" t="s">
        <v>1713</v>
      </c>
      <c r="BI506" t="b">
        <v>0</v>
      </c>
      <c r="BJ506">
        <f t="shared" si="7"/>
        <v>0</v>
      </c>
    </row>
    <row r="507" spans="1:62" x14ac:dyDescent="0.2">
      <c r="A507" s="5" t="s">
        <v>114</v>
      </c>
      <c r="B507" s="6">
        <v>45093</v>
      </c>
      <c r="C507" s="7">
        <v>33.504992000000001</v>
      </c>
      <c r="D507" s="7">
        <v>-112.072489</v>
      </c>
      <c r="E507" s="17">
        <v>343</v>
      </c>
      <c r="F507" t="s">
        <v>1700</v>
      </c>
      <c r="G507" t="s">
        <v>1755</v>
      </c>
      <c r="H507" t="s">
        <v>1755</v>
      </c>
      <c r="I507">
        <v>1</v>
      </c>
      <c r="J507" t="s">
        <v>1697</v>
      </c>
      <c r="K507" t="s">
        <v>1697</v>
      </c>
      <c r="L507" t="s">
        <v>1697</v>
      </c>
      <c r="M507" t="s">
        <v>1697</v>
      </c>
      <c r="N507" t="s">
        <v>1697</v>
      </c>
      <c r="O507" t="s">
        <v>1697</v>
      </c>
      <c r="P507" t="s">
        <v>1697</v>
      </c>
      <c r="Q507" t="s">
        <v>1697</v>
      </c>
      <c r="R507" t="s">
        <v>1697</v>
      </c>
      <c r="S507" t="s">
        <v>1697</v>
      </c>
      <c r="T507" t="s">
        <v>1697</v>
      </c>
      <c r="U507" t="s">
        <v>1697</v>
      </c>
      <c r="V507" t="s">
        <v>1697</v>
      </c>
      <c r="W507" t="s">
        <v>1697</v>
      </c>
      <c r="X507" t="s">
        <v>1697</v>
      </c>
      <c r="Y507" t="s">
        <v>1697</v>
      </c>
      <c r="Z507" t="s">
        <v>1697</v>
      </c>
      <c r="AA507" t="s">
        <v>1697</v>
      </c>
      <c r="AB507" t="s">
        <v>1697</v>
      </c>
      <c r="AC507" t="s">
        <v>1697</v>
      </c>
      <c r="AD507" t="s">
        <v>1697</v>
      </c>
      <c r="AE507" t="s">
        <v>1697</v>
      </c>
      <c r="AF507" t="s">
        <v>1697</v>
      </c>
      <c r="AG507" t="s">
        <v>1697</v>
      </c>
      <c r="AH507" t="s">
        <v>1697</v>
      </c>
      <c r="AI507" t="s">
        <v>1697</v>
      </c>
      <c r="AJ507" t="s">
        <v>1702</v>
      </c>
      <c r="AK507" t="s">
        <v>1703</v>
      </c>
      <c r="AL507" t="s">
        <v>1702</v>
      </c>
      <c r="AM507" t="s">
        <v>1703</v>
      </c>
      <c r="AN507" t="s">
        <v>1700</v>
      </c>
      <c r="AO507" t="s">
        <v>1700</v>
      </c>
      <c r="AP507" t="s">
        <v>1755</v>
      </c>
      <c r="AQ507" t="s">
        <v>1756</v>
      </c>
      <c r="AR507" t="s">
        <v>1700</v>
      </c>
      <c r="AS507" t="s">
        <v>1700</v>
      </c>
      <c r="AT507" t="s">
        <v>1700</v>
      </c>
      <c r="AU507" t="s">
        <v>1755</v>
      </c>
      <c r="AV507" t="s">
        <v>1756</v>
      </c>
      <c r="AW507" t="s">
        <v>1700</v>
      </c>
      <c r="AX507" t="s">
        <v>1755</v>
      </c>
      <c r="AY507" t="s">
        <v>1756</v>
      </c>
      <c r="AZ507" t="s">
        <v>1700</v>
      </c>
      <c r="BA507" t="s">
        <v>1700</v>
      </c>
      <c r="BB507" t="s">
        <v>1755</v>
      </c>
      <c r="BC507" t="s">
        <v>1756</v>
      </c>
      <c r="BD507" t="s">
        <v>1700</v>
      </c>
      <c r="BE507" t="s">
        <v>1755</v>
      </c>
      <c r="BF507" t="s">
        <v>1756</v>
      </c>
      <c r="BG507" s="6" t="s">
        <v>1697</v>
      </c>
      <c r="BH507" s="6" t="s">
        <v>1697</v>
      </c>
      <c r="BI507" t="b">
        <v>0</v>
      </c>
      <c r="BJ507">
        <f t="shared" si="7"/>
        <v>0</v>
      </c>
    </row>
    <row r="508" spans="1:62" x14ac:dyDescent="0.2">
      <c r="A508" s="5" t="s">
        <v>115</v>
      </c>
      <c r="B508" s="6">
        <v>38453</v>
      </c>
      <c r="C508" s="7">
        <v>33.478471999999996</v>
      </c>
      <c r="D508" s="7">
        <v>-112.07158099999999</v>
      </c>
      <c r="E508" s="17">
        <v>333</v>
      </c>
      <c r="F508" t="s">
        <v>1700</v>
      </c>
      <c r="G508" t="s">
        <v>1699</v>
      </c>
      <c r="H508" t="s">
        <v>1701</v>
      </c>
      <c r="I508">
        <v>1</v>
      </c>
      <c r="J508" s="8">
        <v>18.881090845612754</v>
      </c>
      <c r="K508" s="8">
        <v>58.625566044437214</v>
      </c>
      <c r="L508" s="8">
        <v>22.493343109950032</v>
      </c>
      <c r="M508" s="8">
        <v>2.0058938735571386</v>
      </c>
      <c r="N508" s="8">
        <v>0.96388139871538225</v>
      </c>
      <c r="O508" s="8">
        <v>40.799881388152194</v>
      </c>
      <c r="P508" s="8">
        <v>1.1968194034049329</v>
      </c>
      <c r="Q508" s="8">
        <v>93.790144612147344</v>
      </c>
      <c r="R508" s="8">
        <v>7.7264732921025034</v>
      </c>
      <c r="S508" s="8">
        <v>2.1339999999999999</v>
      </c>
      <c r="T508" s="8">
        <v>1.357</v>
      </c>
      <c r="U508" s="8">
        <v>0.40400000000000003</v>
      </c>
      <c r="V508" s="8">
        <v>0.39400000000000002</v>
      </c>
      <c r="W508" s="8">
        <v>1.73</v>
      </c>
      <c r="X508" s="8">
        <v>0.96299999999999997</v>
      </c>
      <c r="Y508" s="8">
        <v>4.8780487804877914</v>
      </c>
      <c r="Z508" s="8">
        <v>3.7005163511187731</v>
      </c>
      <c r="AA508" s="8">
        <v>8.27</v>
      </c>
      <c r="AB508">
        <v>0.41</v>
      </c>
      <c r="AC508" s="8">
        <v>18.394308943089435</v>
      </c>
      <c r="AD508" s="8">
        <v>18.760757314974164</v>
      </c>
      <c r="AE508" s="8">
        <v>0.11600000000000001</v>
      </c>
      <c r="AF508" s="8">
        <v>7.3999999999999996E-2</v>
      </c>
      <c r="AG508" s="8">
        <v>1.3451183999647325</v>
      </c>
      <c r="AH508" s="8">
        <v>18.396551724137929</v>
      </c>
      <c r="AI508" s="8">
        <v>11.698275862068964</v>
      </c>
      <c r="AJ508" t="s">
        <v>1702</v>
      </c>
      <c r="AK508" t="s">
        <v>1703</v>
      </c>
      <c r="AL508" t="s">
        <v>1700</v>
      </c>
      <c r="AM508" t="s">
        <v>1700</v>
      </c>
      <c r="AN508" t="s">
        <v>1700</v>
      </c>
      <c r="AO508" t="s">
        <v>1700</v>
      </c>
      <c r="AP508" t="s">
        <v>1701</v>
      </c>
      <c r="AQ508" t="s">
        <v>1739</v>
      </c>
      <c r="AR508" t="s">
        <v>1700</v>
      </c>
      <c r="AS508" t="s">
        <v>1700</v>
      </c>
      <c r="AT508" t="s">
        <v>1700</v>
      </c>
      <c r="AU508" t="s">
        <v>1701</v>
      </c>
      <c r="AV508" t="s">
        <v>1739</v>
      </c>
      <c r="AW508" t="s">
        <v>1700</v>
      </c>
      <c r="AX508" t="s">
        <v>1701</v>
      </c>
      <c r="AY508" t="s">
        <v>1739</v>
      </c>
      <c r="AZ508" t="s">
        <v>1700</v>
      </c>
      <c r="BA508" t="s">
        <v>1700</v>
      </c>
      <c r="BB508" t="s">
        <v>1701</v>
      </c>
      <c r="BC508" t="s">
        <v>1739</v>
      </c>
      <c r="BD508" t="s">
        <v>1700</v>
      </c>
      <c r="BE508" t="s">
        <v>1701</v>
      </c>
      <c r="BF508" t="s">
        <v>1739</v>
      </c>
      <c r="BG508">
        <v>93</v>
      </c>
      <c r="BH508" t="s">
        <v>1713</v>
      </c>
      <c r="BI508" t="b">
        <v>0</v>
      </c>
      <c r="BJ508">
        <f t="shared" si="7"/>
        <v>0</v>
      </c>
    </row>
    <row r="509" spans="1:62" x14ac:dyDescent="0.2">
      <c r="A509" s="5" t="s">
        <v>115</v>
      </c>
      <c r="B509" s="6">
        <v>40255</v>
      </c>
      <c r="C509" s="7">
        <v>33.478471999999996</v>
      </c>
      <c r="D509" s="7">
        <v>-112.07158099999999</v>
      </c>
      <c r="E509" s="17">
        <v>333</v>
      </c>
      <c r="F509" t="s">
        <v>1700</v>
      </c>
      <c r="G509" t="s">
        <v>1699</v>
      </c>
      <c r="H509" t="s">
        <v>1701</v>
      </c>
      <c r="I509">
        <v>1</v>
      </c>
      <c r="J509" s="8">
        <v>18.105984653011578</v>
      </c>
      <c r="K509" s="8">
        <v>54.521273385133902</v>
      </c>
      <c r="L509" s="8">
        <v>27.372741961854516</v>
      </c>
      <c r="M509" s="8">
        <v>1.391993242172016</v>
      </c>
      <c r="N509" s="8">
        <v>3.9979367843099047</v>
      </c>
      <c r="O509" s="8">
        <v>7.6178734646229724</v>
      </c>
      <c r="P509" s="8">
        <v>15.807445086899092</v>
      </c>
      <c r="Q509" s="8">
        <v>28.758310326655383</v>
      </c>
      <c r="R509" s="8">
        <v>16.478802735407683</v>
      </c>
      <c r="S509" s="8">
        <v>1.4119999999999999</v>
      </c>
      <c r="T509" s="8">
        <v>1.181</v>
      </c>
      <c r="U509" s="8">
        <v>0.23100000000000001</v>
      </c>
      <c r="V509" s="8">
        <v>0.41299999999999998</v>
      </c>
      <c r="W509" s="8">
        <v>1.1809999999999998</v>
      </c>
      <c r="X509" s="8">
        <v>0.76800000000000002</v>
      </c>
      <c r="Y509" s="8">
        <v>4.2505592841163393</v>
      </c>
      <c r="Z509" s="8">
        <v>4.6439628482972246</v>
      </c>
      <c r="AA509" s="8">
        <v>8.1199999999999992</v>
      </c>
      <c r="AB509">
        <v>0.80300000000000005</v>
      </c>
      <c r="AC509" s="8">
        <v>2.2371364653243764</v>
      </c>
      <c r="AD509" s="8">
        <v>4.3343653250773899</v>
      </c>
      <c r="AE509" s="8">
        <v>6.9000000000000006E-2</v>
      </c>
      <c r="AF509" s="8">
        <v>6.5000000000000002E-2</v>
      </c>
      <c r="AG509" s="8">
        <v>1.3102278840341681</v>
      </c>
      <c r="AH509" s="8">
        <v>20.463768115942027</v>
      </c>
      <c r="AI509" s="8">
        <v>17.115942028985508</v>
      </c>
      <c r="AJ509" t="s">
        <v>1702</v>
      </c>
      <c r="AK509" t="s">
        <v>1703</v>
      </c>
      <c r="AL509" t="s">
        <v>1700</v>
      </c>
      <c r="AM509" t="s">
        <v>1700</v>
      </c>
      <c r="AN509" t="s">
        <v>1700</v>
      </c>
      <c r="AO509" t="s">
        <v>1700</v>
      </c>
      <c r="AP509" t="s">
        <v>1701</v>
      </c>
      <c r="AQ509" t="s">
        <v>1739</v>
      </c>
      <c r="AR509" t="s">
        <v>1700</v>
      </c>
      <c r="AS509" t="s">
        <v>1700</v>
      </c>
      <c r="AT509" t="s">
        <v>1700</v>
      </c>
      <c r="AU509" t="s">
        <v>1701</v>
      </c>
      <c r="AV509" t="s">
        <v>1739</v>
      </c>
      <c r="AW509" t="s">
        <v>1700</v>
      </c>
      <c r="AX509" t="s">
        <v>1701</v>
      </c>
      <c r="AY509" t="s">
        <v>1739</v>
      </c>
      <c r="AZ509" t="s">
        <v>1700</v>
      </c>
      <c r="BA509" t="s">
        <v>1700</v>
      </c>
      <c r="BB509" t="s">
        <v>1701</v>
      </c>
      <c r="BC509" t="s">
        <v>1739</v>
      </c>
      <c r="BD509" t="s">
        <v>1700</v>
      </c>
      <c r="BE509" t="s">
        <v>1701</v>
      </c>
      <c r="BF509" t="s">
        <v>1739</v>
      </c>
      <c r="BG509">
        <v>98</v>
      </c>
      <c r="BH509" t="s">
        <v>1713</v>
      </c>
      <c r="BI509" t="b">
        <v>0</v>
      </c>
      <c r="BJ509">
        <f t="shared" si="7"/>
        <v>0</v>
      </c>
    </row>
    <row r="510" spans="1:62" x14ac:dyDescent="0.2">
      <c r="A510" s="5" t="s">
        <v>115</v>
      </c>
      <c r="B510" s="6">
        <v>42097</v>
      </c>
      <c r="C510" s="7">
        <v>33.478471999999996</v>
      </c>
      <c r="D510" s="7">
        <v>-112.07158099999999</v>
      </c>
      <c r="E510" s="17">
        <v>333</v>
      </c>
      <c r="F510" t="s">
        <v>1700</v>
      </c>
      <c r="G510" t="s">
        <v>1699</v>
      </c>
      <c r="H510" t="s">
        <v>1701</v>
      </c>
      <c r="I510">
        <v>1</v>
      </c>
      <c r="J510">
        <v>4.8210047297961198</v>
      </c>
      <c r="K510">
        <v>83.8377357505844</v>
      </c>
      <c r="L510">
        <v>11.3412595196195</v>
      </c>
      <c r="M510">
        <v>7.8351143075465304</v>
      </c>
      <c r="N510" t="s">
        <v>1697</v>
      </c>
      <c r="O510">
        <v>366.97800346457302</v>
      </c>
      <c r="P510" t="s">
        <v>1697</v>
      </c>
      <c r="Q510">
        <v>10.845602064030301</v>
      </c>
      <c r="R510" t="s">
        <v>1697</v>
      </c>
      <c r="S510">
        <v>3.097</v>
      </c>
      <c r="T510" t="s">
        <v>1697</v>
      </c>
      <c r="U510">
        <v>0.39300000000000002</v>
      </c>
      <c r="V510" t="s">
        <v>1697</v>
      </c>
      <c r="W510">
        <v>2.7040000000000002</v>
      </c>
      <c r="X510" t="s">
        <v>1697</v>
      </c>
      <c r="Y510">
        <v>4.0051679586563402</v>
      </c>
      <c r="Z510" t="s">
        <v>1697</v>
      </c>
      <c r="AA510">
        <v>7.31</v>
      </c>
      <c r="AB510">
        <v>3.01</v>
      </c>
      <c r="AC510">
        <v>3.11355311355311</v>
      </c>
      <c r="AD510" t="s">
        <v>1697</v>
      </c>
      <c r="AE510">
        <v>0.157</v>
      </c>
      <c r="AF510" t="s">
        <v>1697</v>
      </c>
      <c r="AG510">
        <v>1.059977764154526</v>
      </c>
      <c r="AH510">
        <v>19.726114649681499</v>
      </c>
      <c r="AI510" t="s">
        <v>1697</v>
      </c>
      <c r="AJ510" t="s">
        <v>1702</v>
      </c>
      <c r="AK510" t="s">
        <v>1703</v>
      </c>
      <c r="AL510" t="s">
        <v>1700</v>
      </c>
      <c r="AM510" t="s">
        <v>1700</v>
      </c>
      <c r="AN510" t="s">
        <v>1700</v>
      </c>
      <c r="AO510" t="s">
        <v>1700</v>
      </c>
      <c r="AP510" t="s">
        <v>1701</v>
      </c>
      <c r="AQ510" t="s">
        <v>1739</v>
      </c>
      <c r="AR510" t="s">
        <v>1700</v>
      </c>
      <c r="AS510" t="s">
        <v>1700</v>
      </c>
      <c r="AT510" t="s">
        <v>1700</v>
      </c>
      <c r="AU510" t="s">
        <v>1701</v>
      </c>
      <c r="AV510" t="s">
        <v>1739</v>
      </c>
      <c r="AW510" t="s">
        <v>1700</v>
      </c>
      <c r="AX510" t="s">
        <v>1701</v>
      </c>
      <c r="AY510" t="s">
        <v>1739</v>
      </c>
      <c r="AZ510" t="s">
        <v>1700</v>
      </c>
      <c r="BA510" t="s">
        <v>1700</v>
      </c>
      <c r="BB510" t="s">
        <v>1701</v>
      </c>
      <c r="BC510" t="s">
        <v>1739</v>
      </c>
      <c r="BD510" t="s">
        <v>1700</v>
      </c>
      <c r="BE510" t="s">
        <v>1701</v>
      </c>
      <c r="BF510" t="s">
        <v>1739</v>
      </c>
      <c r="BG510">
        <v>103</v>
      </c>
      <c r="BH510" t="s">
        <v>1731</v>
      </c>
      <c r="BI510" t="b">
        <v>0</v>
      </c>
      <c r="BJ510">
        <f t="shared" si="7"/>
        <v>0</v>
      </c>
    </row>
    <row r="511" spans="1:62" x14ac:dyDescent="0.2">
      <c r="A511" s="5" t="s">
        <v>116</v>
      </c>
      <c r="B511" s="6">
        <v>38400</v>
      </c>
      <c r="C511" s="7">
        <v>33.359380999999999</v>
      </c>
      <c r="D511" s="7">
        <v>-112.05716700000001</v>
      </c>
      <c r="E511" s="17">
        <v>391</v>
      </c>
      <c r="F511" t="s">
        <v>1694</v>
      </c>
      <c r="G511" t="s">
        <v>1694</v>
      </c>
      <c r="H511" t="s">
        <v>1694</v>
      </c>
      <c r="I511">
        <v>0</v>
      </c>
      <c r="J511" s="8">
        <v>8.9061668118908663</v>
      </c>
      <c r="K511" s="8">
        <v>68.477043004949621</v>
      </c>
      <c r="L511" s="8">
        <v>22.616790183159509</v>
      </c>
      <c r="M511" s="8">
        <v>3.4419087496411578</v>
      </c>
      <c r="N511" s="8">
        <v>1.2163310488120995</v>
      </c>
      <c r="O511" s="8">
        <v>0.68838174992823153</v>
      </c>
      <c r="P511" s="8">
        <v>0.93657490758531647</v>
      </c>
      <c r="Q511" s="8">
        <v>12.68577304837439</v>
      </c>
      <c r="R511" s="8">
        <v>4.4030083214917619</v>
      </c>
      <c r="S511" s="8">
        <v>0.38800000000000001</v>
      </c>
      <c r="T511" s="8">
        <v>0.41499999999999998</v>
      </c>
      <c r="U511" s="8">
        <v>8.7999999999999995E-2</v>
      </c>
      <c r="V511" s="8">
        <v>0.22700000000000001</v>
      </c>
      <c r="W511" s="8">
        <v>0.30000000000000004</v>
      </c>
      <c r="X511" s="8">
        <v>0.18799999999999997</v>
      </c>
      <c r="Y511" s="8">
        <v>2.4960998439937621</v>
      </c>
      <c r="Z511" s="8">
        <v>2.3752969121140262</v>
      </c>
      <c r="AA511" s="8">
        <v>8.83</v>
      </c>
      <c r="AB511">
        <v>0.34100000000000003</v>
      </c>
      <c r="AC511" s="8">
        <v>12.636505460218416</v>
      </c>
      <c r="AD511" s="8">
        <v>9.0261282660332487</v>
      </c>
      <c r="AE511" s="8">
        <v>3.4000000000000002E-2</v>
      </c>
      <c r="AF511" s="8">
        <v>2.8000000000000001E-2</v>
      </c>
      <c r="AG511" s="8">
        <v>1.1124213197965485</v>
      </c>
      <c r="AH511" s="8">
        <v>11.411764705882353</v>
      </c>
      <c r="AI511" s="8">
        <v>12.205882352941176</v>
      </c>
      <c r="AJ511" t="s">
        <v>1694</v>
      </c>
      <c r="AK511" t="s">
        <v>1694</v>
      </c>
      <c r="AL511" t="s">
        <v>1694</v>
      </c>
      <c r="AM511" t="s">
        <v>1694</v>
      </c>
      <c r="AN511" t="s">
        <v>1694</v>
      </c>
      <c r="AO511" t="s">
        <v>1694</v>
      </c>
      <c r="AP511" t="s">
        <v>1695</v>
      </c>
      <c r="AQ511" t="s">
        <v>1694</v>
      </c>
      <c r="AR511" t="s">
        <v>1694</v>
      </c>
      <c r="AS511" t="s">
        <v>1694</v>
      </c>
      <c r="AT511" t="s">
        <v>1694</v>
      </c>
      <c r="AU511" t="s">
        <v>1695</v>
      </c>
      <c r="AV511" t="s">
        <v>1694</v>
      </c>
      <c r="AW511" t="s">
        <v>1694</v>
      </c>
      <c r="AX511" t="s">
        <v>1695</v>
      </c>
      <c r="AY511" t="s">
        <v>1694</v>
      </c>
      <c r="AZ511" t="s">
        <v>1694</v>
      </c>
      <c r="BA511" t="s">
        <v>1700</v>
      </c>
      <c r="BB511" t="s">
        <v>1695</v>
      </c>
      <c r="BC511" t="s">
        <v>1694</v>
      </c>
      <c r="BD511" t="s">
        <v>1694</v>
      </c>
      <c r="BE511" t="s">
        <v>1695</v>
      </c>
      <c r="BF511" t="s">
        <v>1694</v>
      </c>
      <c r="BG511" t="s">
        <v>1697</v>
      </c>
      <c r="BH511" t="s">
        <v>1698</v>
      </c>
      <c r="BI511" t="b">
        <v>0</v>
      </c>
      <c r="BJ511">
        <f t="shared" si="7"/>
        <v>0</v>
      </c>
    </row>
    <row r="512" spans="1:62" x14ac:dyDescent="0.2">
      <c r="A512" s="5" t="s">
        <v>116</v>
      </c>
      <c r="B512" s="6">
        <v>40247</v>
      </c>
      <c r="C512" s="7">
        <v>33.359380999999999</v>
      </c>
      <c r="D512" s="7">
        <v>-112.05716700000001</v>
      </c>
      <c r="E512" s="17">
        <v>391</v>
      </c>
      <c r="F512" s="11" t="s">
        <v>1741</v>
      </c>
      <c r="G512" s="11" t="s">
        <v>1741</v>
      </c>
      <c r="H512" t="s">
        <v>1742</v>
      </c>
      <c r="I512">
        <v>1</v>
      </c>
      <c r="J512" s="8">
        <v>13.75855280961178</v>
      </c>
      <c r="K512" s="8">
        <v>61.372331347151871</v>
      </c>
      <c r="L512" s="8">
        <v>24.869115843236344</v>
      </c>
      <c r="M512" s="8">
        <v>0.22897268990617278</v>
      </c>
      <c r="N512" s="8">
        <v>5.0000000000000001E-3</v>
      </c>
      <c r="O512" s="8">
        <v>18.65392189327353</v>
      </c>
      <c r="P512" s="8">
        <v>5.9067125978768518</v>
      </c>
      <c r="Q512" s="8">
        <v>19.161677504497938</v>
      </c>
      <c r="R512" s="8">
        <v>3.3430817702771649</v>
      </c>
      <c r="S512" s="8">
        <v>1.1439999999999999</v>
      </c>
      <c r="T512" s="8">
        <v>0.29399999999999998</v>
      </c>
      <c r="U512" s="8">
        <v>0.113</v>
      </c>
      <c r="V512" s="8">
        <v>5.1999999999999998E-2</v>
      </c>
      <c r="W512" s="8">
        <v>1.0309999999999999</v>
      </c>
      <c r="X512" s="8">
        <v>0.24199999999999999</v>
      </c>
      <c r="Y512" s="8">
        <v>3.1175059952038344</v>
      </c>
      <c r="Z512" s="8">
        <v>1.3029315960912158</v>
      </c>
      <c r="AA512" s="8">
        <v>8.15</v>
      </c>
      <c r="AB512">
        <v>0.78400000000000003</v>
      </c>
      <c r="AC512" s="8">
        <v>14.508393285371712</v>
      </c>
      <c r="AD512" s="8">
        <v>8.6862106406080226</v>
      </c>
      <c r="AE512" s="8">
        <v>0.111</v>
      </c>
      <c r="AF512" s="8">
        <v>2.4E-2</v>
      </c>
      <c r="AG512" s="8">
        <v>0.73124499949453337</v>
      </c>
      <c r="AH512" s="8">
        <v>10.306306306306306</v>
      </c>
      <c r="AI512" s="8">
        <v>2.6486486486486487</v>
      </c>
      <c r="AJ512" t="s">
        <v>1694</v>
      </c>
      <c r="AK512" t="s">
        <v>1694</v>
      </c>
      <c r="AL512" t="s">
        <v>1694</v>
      </c>
      <c r="AM512" t="s">
        <v>1694</v>
      </c>
      <c r="AN512" t="s">
        <v>1694</v>
      </c>
      <c r="AO512" t="s">
        <v>1694</v>
      </c>
      <c r="AP512" t="s">
        <v>1695</v>
      </c>
      <c r="AQ512" t="s">
        <v>1694</v>
      </c>
      <c r="AR512" t="s">
        <v>1694</v>
      </c>
      <c r="AS512" t="s">
        <v>1694</v>
      </c>
      <c r="AT512" t="s">
        <v>1694</v>
      </c>
      <c r="AU512" t="s">
        <v>1695</v>
      </c>
      <c r="AV512" t="s">
        <v>1694</v>
      </c>
      <c r="AW512" t="s">
        <v>1694</v>
      </c>
      <c r="AX512" t="s">
        <v>1695</v>
      </c>
      <c r="AY512" t="s">
        <v>1694</v>
      </c>
      <c r="AZ512" t="s">
        <v>1694</v>
      </c>
      <c r="BA512" t="s">
        <v>1700</v>
      </c>
      <c r="BB512" t="s">
        <v>1695</v>
      </c>
      <c r="BC512" t="s">
        <v>1694</v>
      </c>
      <c r="BD512" t="s">
        <v>1694</v>
      </c>
      <c r="BE512" t="s">
        <v>1695</v>
      </c>
      <c r="BF512" t="s">
        <v>1694</v>
      </c>
      <c r="BG512">
        <v>5</v>
      </c>
      <c r="BH512" t="s">
        <v>1708</v>
      </c>
      <c r="BI512" t="b">
        <v>0</v>
      </c>
      <c r="BJ512">
        <f t="shared" si="7"/>
        <v>0</v>
      </c>
    </row>
    <row r="513" spans="1:62" x14ac:dyDescent="0.2">
      <c r="A513" s="5" t="s">
        <v>116</v>
      </c>
      <c r="B513" s="6">
        <v>42122</v>
      </c>
      <c r="C513" s="7">
        <v>33.359380999999999</v>
      </c>
      <c r="D513" s="7">
        <v>-112.05716700000001</v>
      </c>
      <c r="E513" s="17">
        <v>391</v>
      </c>
      <c r="F513" t="s">
        <v>1741</v>
      </c>
      <c r="G513" t="s">
        <v>1743</v>
      </c>
      <c r="H513" t="s">
        <v>1742</v>
      </c>
      <c r="I513">
        <v>0</v>
      </c>
      <c r="J513" t="s">
        <v>1697</v>
      </c>
      <c r="K513" t="s">
        <v>1697</v>
      </c>
      <c r="L513" t="s">
        <v>1697</v>
      </c>
      <c r="M513" t="s">
        <v>1697</v>
      </c>
      <c r="N513" t="s">
        <v>1697</v>
      </c>
      <c r="O513" t="s">
        <v>1697</v>
      </c>
      <c r="P513" t="s">
        <v>1697</v>
      </c>
      <c r="Q513" t="s">
        <v>1697</v>
      </c>
      <c r="R513" t="s">
        <v>1697</v>
      </c>
      <c r="S513">
        <v>0.6</v>
      </c>
      <c r="T513">
        <v>0.878</v>
      </c>
      <c r="U513">
        <v>8.7999999999999995E-2</v>
      </c>
      <c r="V513">
        <v>3.9E-2</v>
      </c>
      <c r="W513">
        <v>0.51200000000000001</v>
      </c>
      <c r="X513">
        <v>0.83899999999999997</v>
      </c>
      <c r="Y513">
        <v>1.6049382716049401</v>
      </c>
      <c r="Z513">
        <v>1.6417910447761199</v>
      </c>
      <c r="AA513" t="s">
        <v>1697</v>
      </c>
      <c r="AB513" t="s">
        <v>1697</v>
      </c>
      <c r="AC513">
        <v>1.7123287671232801</v>
      </c>
      <c r="AD513">
        <v>2.2421524663676999</v>
      </c>
      <c r="AE513">
        <v>8.7999999999999995E-2</v>
      </c>
      <c r="AF513">
        <v>0.128</v>
      </c>
      <c r="AG513" t="s">
        <v>1697</v>
      </c>
      <c r="AH513">
        <v>6.8181818181818201</v>
      </c>
      <c r="AI513">
        <v>6.859375</v>
      </c>
      <c r="AJ513" t="s">
        <v>1694</v>
      </c>
      <c r="AK513" t="s">
        <v>1694</v>
      </c>
      <c r="AL513" t="s">
        <v>1694</v>
      </c>
      <c r="AM513" t="s">
        <v>1694</v>
      </c>
      <c r="AN513" t="s">
        <v>1694</v>
      </c>
      <c r="AO513" t="s">
        <v>1694</v>
      </c>
      <c r="AP513" t="s">
        <v>1695</v>
      </c>
      <c r="AQ513" t="s">
        <v>1694</v>
      </c>
      <c r="AR513" t="s">
        <v>1694</v>
      </c>
      <c r="AS513" t="s">
        <v>1694</v>
      </c>
      <c r="AT513" t="s">
        <v>1694</v>
      </c>
      <c r="AU513" t="s">
        <v>1695</v>
      </c>
      <c r="AV513" t="s">
        <v>1694</v>
      </c>
      <c r="AW513" t="s">
        <v>1694</v>
      </c>
      <c r="AX513" t="s">
        <v>1695</v>
      </c>
      <c r="AY513" t="s">
        <v>1694</v>
      </c>
      <c r="AZ513" t="s">
        <v>1694</v>
      </c>
      <c r="BA513" t="s">
        <v>1700</v>
      </c>
      <c r="BB513" t="s">
        <v>1695</v>
      </c>
      <c r="BC513" t="s">
        <v>1694</v>
      </c>
      <c r="BD513" t="s">
        <v>1694</v>
      </c>
      <c r="BE513" t="s">
        <v>1695</v>
      </c>
      <c r="BF513" t="s">
        <v>1694</v>
      </c>
      <c r="BG513">
        <v>10</v>
      </c>
      <c r="BH513" t="s">
        <v>1708</v>
      </c>
      <c r="BI513" t="b">
        <v>1</v>
      </c>
      <c r="BJ513">
        <f t="shared" si="7"/>
        <v>1</v>
      </c>
    </row>
    <row r="514" spans="1:62" x14ac:dyDescent="0.2">
      <c r="A514" s="5" t="s">
        <v>117</v>
      </c>
      <c r="B514" s="6">
        <v>38400</v>
      </c>
      <c r="C514" s="7">
        <v>33.335931000000002</v>
      </c>
      <c r="D514" s="7">
        <v>-112.057067</v>
      </c>
      <c r="E514" s="17">
        <v>740</v>
      </c>
      <c r="F514" s="11" t="s">
        <v>1694</v>
      </c>
      <c r="G514" t="s">
        <v>1694</v>
      </c>
      <c r="H514" t="s">
        <v>1694</v>
      </c>
      <c r="I514">
        <v>0</v>
      </c>
      <c r="J514" s="8">
        <v>6.9824108475942204</v>
      </c>
      <c r="K514" s="8">
        <v>70.185031019757417</v>
      </c>
      <c r="L514" s="8">
        <v>22.832558132648359</v>
      </c>
      <c r="M514" s="8">
        <v>0.75688824846329483</v>
      </c>
      <c r="N514" s="8">
        <v>0.48679442882924556</v>
      </c>
      <c r="O514" s="8">
        <v>1.0659509499191404</v>
      </c>
      <c r="P514" s="8">
        <v>0.13995339828840808</v>
      </c>
      <c r="Q514" s="8">
        <v>6.5263672947006306</v>
      </c>
      <c r="R514" s="8">
        <v>1.3863356832292031</v>
      </c>
      <c r="S514" s="8">
        <v>0.25700000000000001</v>
      </c>
      <c r="T514" s="8">
        <v>9.4E-2</v>
      </c>
      <c r="U514" s="8">
        <v>3.3000000000000002E-2</v>
      </c>
      <c r="V514" s="8">
        <v>8.3000000000000004E-2</v>
      </c>
      <c r="W514" s="8">
        <v>0.224</v>
      </c>
      <c r="X514" s="8">
        <v>1.0999999999999996E-2</v>
      </c>
      <c r="Y514" s="8">
        <v>2.3255813953488436</v>
      </c>
      <c r="Z514" s="8">
        <v>2.5139664804469235</v>
      </c>
      <c r="AA514" s="8">
        <v>8.09</v>
      </c>
      <c r="AB514">
        <v>0.39300000000000002</v>
      </c>
      <c r="AC514" s="8">
        <v>9.3023255813953565</v>
      </c>
      <c r="AD514" s="8">
        <v>5.865921787709496</v>
      </c>
      <c r="AE514" s="8">
        <v>0.02</v>
      </c>
      <c r="AF514" s="8">
        <v>8.9999999999999993E-3</v>
      </c>
      <c r="AG514" s="8">
        <v>1.1573938438597751</v>
      </c>
      <c r="AH514" s="8">
        <v>12.85</v>
      </c>
      <c r="AI514" s="8">
        <v>4.7</v>
      </c>
      <c r="AJ514" t="s">
        <v>1694</v>
      </c>
      <c r="AK514" t="s">
        <v>1694</v>
      </c>
      <c r="AL514" t="s">
        <v>1726</v>
      </c>
      <c r="AM514" t="s">
        <v>1694</v>
      </c>
      <c r="AN514" t="s">
        <v>1726</v>
      </c>
      <c r="AO514" t="s">
        <v>1694</v>
      </c>
      <c r="AP514" t="s">
        <v>1695</v>
      </c>
      <c r="AQ514" t="s">
        <v>1694</v>
      </c>
      <c r="AR514" t="s">
        <v>1694</v>
      </c>
      <c r="AS514" t="s">
        <v>1726</v>
      </c>
      <c r="AT514" t="s">
        <v>1694</v>
      </c>
      <c r="AU514" t="s">
        <v>1695</v>
      </c>
      <c r="AV514" t="s">
        <v>1694</v>
      </c>
      <c r="AW514" t="s">
        <v>1694</v>
      </c>
      <c r="AX514" t="s">
        <v>1695</v>
      </c>
      <c r="AY514" t="s">
        <v>1694</v>
      </c>
      <c r="AZ514" t="s">
        <v>1694</v>
      </c>
      <c r="BA514" t="s">
        <v>1726</v>
      </c>
      <c r="BB514" t="s">
        <v>1695</v>
      </c>
      <c r="BC514" t="s">
        <v>1694</v>
      </c>
      <c r="BD514" t="s">
        <v>1694</v>
      </c>
      <c r="BE514" t="s">
        <v>1695</v>
      </c>
      <c r="BF514" t="s">
        <v>1694</v>
      </c>
      <c r="BG514" t="s">
        <v>1697</v>
      </c>
      <c r="BH514" t="s">
        <v>1698</v>
      </c>
      <c r="BI514" t="b">
        <v>0</v>
      </c>
      <c r="BJ514">
        <f t="shared" ref="BJ514:BJ577" si="8">COUNTIF(BI514:BI514,TRUE)</f>
        <v>0</v>
      </c>
    </row>
    <row r="515" spans="1:62" x14ac:dyDescent="0.2">
      <c r="A515" s="5" t="s">
        <v>117</v>
      </c>
      <c r="B515" s="6">
        <v>40268</v>
      </c>
      <c r="C515" s="7">
        <v>33.335931000000002</v>
      </c>
      <c r="D515" s="7">
        <v>-112.057067</v>
      </c>
      <c r="E515" s="17">
        <v>740</v>
      </c>
      <c r="F515" s="11" t="s">
        <v>1694</v>
      </c>
      <c r="G515" t="s">
        <v>1694</v>
      </c>
      <c r="H515" t="s">
        <v>1694</v>
      </c>
      <c r="I515">
        <v>0</v>
      </c>
      <c r="J515" s="8">
        <v>6.6351468075688009</v>
      </c>
      <c r="K515" s="8">
        <v>79.389698303812494</v>
      </c>
      <c r="L515" s="8">
        <v>13.975154888618704</v>
      </c>
      <c r="M515" s="8">
        <v>5.0000000000000001E-3</v>
      </c>
      <c r="N515" s="8">
        <v>5.0000000000000001E-3</v>
      </c>
      <c r="O515" s="8">
        <v>2.1191197135860893</v>
      </c>
      <c r="P515" s="8">
        <v>1.1848835484431568</v>
      </c>
      <c r="Q515" s="8">
        <v>22.760604606912768</v>
      </c>
      <c r="R515" s="8">
        <v>2.5000000000000001E-3</v>
      </c>
      <c r="S515" s="8">
        <v>0.4</v>
      </c>
      <c r="T515" s="8">
        <v>0.38400000000000001</v>
      </c>
      <c r="U515" s="8">
        <v>2.1999999999999999E-2</v>
      </c>
      <c r="V515" s="8">
        <v>3.3000000000000002E-2</v>
      </c>
      <c r="W515" s="8">
        <v>0.378</v>
      </c>
      <c r="X515" s="8">
        <v>0.35099999999999998</v>
      </c>
      <c r="Y515" s="8">
        <v>2.8500619578686326</v>
      </c>
      <c r="Z515" s="8">
        <v>2.6490066225165583</v>
      </c>
      <c r="AA515" s="8">
        <v>7.81</v>
      </c>
      <c r="AB515">
        <v>0.26900000000000002</v>
      </c>
      <c r="AC515" s="8">
        <v>2.7261462205700204</v>
      </c>
      <c r="AD515" s="8">
        <v>3.752759381898453</v>
      </c>
      <c r="AE515" s="8">
        <v>3.5999999999999997E-2</v>
      </c>
      <c r="AF515" s="8">
        <v>2.1999999999999999E-2</v>
      </c>
      <c r="AG515" s="8">
        <v>1.9947963870925194</v>
      </c>
      <c r="AH515" s="8">
        <v>11.111111111111112</v>
      </c>
      <c r="AI515" s="8">
        <v>10.666666666666668</v>
      </c>
      <c r="AJ515" t="s">
        <v>1694</v>
      </c>
      <c r="AK515" t="s">
        <v>1694</v>
      </c>
      <c r="AL515" t="s">
        <v>1726</v>
      </c>
      <c r="AM515" t="s">
        <v>1694</v>
      </c>
      <c r="AN515" t="s">
        <v>1726</v>
      </c>
      <c r="AO515" t="s">
        <v>1694</v>
      </c>
      <c r="AP515" t="s">
        <v>1695</v>
      </c>
      <c r="AQ515" t="s">
        <v>1694</v>
      </c>
      <c r="AR515" t="s">
        <v>1694</v>
      </c>
      <c r="AS515" t="s">
        <v>1726</v>
      </c>
      <c r="AT515" t="s">
        <v>1694</v>
      </c>
      <c r="AU515" t="s">
        <v>1695</v>
      </c>
      <c r="AV515" t="s">
        <v>1694</v>
      </c>
      <c r="AW515" t="s">
        <v>1694</v>
      </c>
      <c r="AX515" t="s">
        <v>1695</v>
      </c>
      <c r="AY515" t="s">
        <v>1694</v>
      </c>
      <c r="AZ515" t="s">
        <v>1694</v>
      </c>
      <c r="BA515" t="s">
        <v>1726</v>
      </c>
      <c r="BB515" t="s">
        <v>1695</v>
      </c>
      <c r="BC515" t="s">
        <v>1694</v>
      </c>
      <c r="BD515" t="s">
        <v>1694</v>
      </c>
      <c r="BE515" t="s">
        <v>1695</v>
      </c>
      <c r="BF515" t="s">
        <v>1694</v>
      </c>
      <c r="BG515" t="s">
        <v>1697</v>
      </c>
      <c r="BH515" t="s">
        <v>1698</v>
      </c>
      <c r="BI515" t="b">
        <v>1</v>
      </c>
      <c r="BJ515">
        <f t="shared" si="8"/>
        <v>1</v>
      </c>
    </row>
    <row r="516" spans="1:62" x14ac:dyDescent="0.2">
      <c r="A516" s="5" t="s">
        <v>117</v>
      </c>
      <c r="B516" s="6">
        <v>42122</v>
      </c>
      <c r="C516" s="7">
        <v>33.335931000000002</v>
      </c>
      <c r="D516" s="7">
        <v>-112.057067</v>
      </c>
      <c r="E516" s="17">
        <v>740</v>
      </c>
      <c r="F516" t="s">
        <v>1694</v>
      </c>
      <c r="G516" t="s">
        <v>1694</v>
      </c>
      <c r="H516" t="s">
        <v>1694</v>
      </c>
      <c r="I516">
        <v>0</v>
      </c>
      <c r="J516">
        <v>2.8167915364357401</v>
      </c>
      <c r="K516">
        <v>90.0233073730885</v>
      </c>
      <c r="L516">
        <v>7.1599010904757403</v>
      </c>
      <c r="M516">
        <v>5.1061063401148097</v>
      </c>
      <c r="N516">
        <v>1.2962760848228001</v>
      </c>
      <c r="O516">
        <v>8.0789949203594293</v>
      </c>
      <c r="P516">
        <v>1.79413787315298</v>
      </c>
      <c r="Q516">
        <v>6.9162961987949796</v>
      </c>
      <c r="R516">
        <v>1.7040351656323101</v>
      </c>
      <c r="S516">
        <v>0.622</v>
      </c>
      <c r="T516">
        <v>0.214</v>
      </c>
      <c r="U516">
        <v>1.7999999999999999E-2</v>
      </c>
      <c r="V516">
        <v>3.1E-2</v>
      </c>
      <c r="W516">
        <v>0.60399999999999998</v>
      </c>
      <c r="X516">
        <v>0.183</v>
      </c>
      <c r="Y516">
        <v>1.92307692307692</v>
      </c>
      <c r="Z516">
        <v>1.2642225031605601</v>
      </c>
      <c r="AA516">
        <v>7.66</v>
      </c>
      <c r="AB516">
        <v>8.5999999999999993E-2</v>
      </c>
      <c r="AC516">
        <v>1.34228187919463</v>
      </c>
      <c r="AD516">
        <v>1.2345679012345701</v>
      </c>
      <c r="AE516">
        <v>8.3000000000000004E-2</v>
      </c>
      <c r="AF516">
        <v>3.1E-2</v>
      </c>
      <c r="AG516">
        <v>1.9090685115964123</v>
      </c>
      <c r="AH516">
        <v>7.4939759036144604</v>
      </c>
      <c r="AI516">
        <v>6.9032258064516103</v>
      </c>
      <c r="AJ516" t="s">
        <v>1694</v>
      </c>
      <c r="AK516" t="s">
        <v>1694</v>
      </c>
      <c r="AL516" t="s">
        <v>1726</v>
      </c>
      <c r="AM516" t="s">
        <v>1694</v>
      </c>
      <c r="AN516" t="s">
        <v>1726</v>
      </c>
      <c r="AO516" t="s">
        <v>1694</v>
      </c>
      <c r="AP516" t="s">
        <v>1695</v>
      </c>
      <c r="AQ516" t="s">
        <v>1694</v>
      </c>
      <c r="AR516" t="s">
        <v>1694</v>
      </c>
      <c r="AS516" t="s">
        <v>1726</v>
      </c>
      <c r="AT516" t="s">
        <v>1694</v>
      </c>
      <c r="AU516" t="s">
        <v>1695</v>
      </c>
      <c r="AV516" t="s">
        <v>1694</v>
      </c>
      <c r="AW516" t="s">
        <v>1694</v>
      </c>
      <c r="AX516" t="s">
        <v>1695</v>
      </c>
      <c r="AY516" t="s">
        <v>1694</v>
      </c>
      <c r="AZ516" t="s">
        <v>1694</v>
      </c>
      <c r="BA516" t="s">
        <v>1726</v>
      </c>
      <c r="BB516" t="s">
        <v>1695</v>
      </c>
      <c r="BC516" t="s">
        <v>1694</v>
      </c>
      <c r="BD516" t="s">
        <v>1694</v>
      </c>
      <c r="BE516" t="s">
        <v>1695</v>
      </c>
      <c r="BF516" t="s">
        <v>1694</v>
      </c>
      <c r="BG516" t="s">
        <v>1697</v>
      </c>
      <c r="BH516" t="s">
        <v>1698</v>
      </c>
      <c r="BI516" t="b">
        <v>1</v>
      </c>
      <c r="BJ516">
        <f t="shared" si="8"/>
        <v>1</v>
      </c>
    </row>
    <row r="517" spans="1:62" x14ac:dyDescent="0.2">
      <c r="A517" s="5" t="s">
        <v>117</v>
      </c>
      <c r="B517" s="6">
        <v>45020</v>
      </c>
      <c r="C517" s="7">
        <v>33.335931000000002</v>
      </c>
      <c r="D517" s="7">
        <v>-112.057067</v>
      </c>
      <c r="E517" s="17">
        <v>740</v>
      </c>
      <c r="F517" t="s">
        <v>1694</v>
      </c>
      <c r="G517" t="s">
        <v>1694</v>
      </c>
      <c r="H517" t="s">
        <v>1694</v>
      </c>
      <c r="I517">
        <v>0</v>
      </c>
      <c r="J517" s="6" t="s">
        <v>1697</v>
      </c>
      <c r="K517" s="6" t="s">
        <v>1697</v>
      </c>
      <c r="L517" s="6" t="s">
        <v>1697</v>
      </c>
      <c r="M517" s="6" t="s">
        <v>1697</v>
      </c>
      <c r="N517" s="6" t="s">
        <v>1697</v>
      </c>
      <c r="O517" s="6" t="s">
        <v>1697</v>
      </c>
      <c r="P517" s="6" t="s">
        <v>1697</v>
      </c>
      <c r="Q517" s="6" t="s">
        <v>1697</v>
      </c>
      <c r="R517" s="6" t="s">
        <v>1697</v>
      </c>
      <c r="S517" s="6" t="s">
        <v>1697</v>
      </c>
      <c r="T517" s="6" t="s">
        <v>1697</v>
      </c>
      <c r="U517" s="6" t="s">
        <v>1697</v>
      </c>
      <c r="V517" s="6" t="s">
        <v>1697</v>
      </c>
      <c r="W517" s="6" t="s">
        <v>1697</v>
      </c>
      <c r="X517" s="6" t="s">
        <v>1697</v>
      </c>
      <c r="Y517" s="6" t="s">
        <v>1697</v>
      </c>
      <c r="Z517" s="6" t="s">
        <v>1697</v>
      </c>
      <c r="AA517" s="6" t="s">
        <v>1697</v>
      </c>
      <c r="AB517" s="6" t="s">
        <v>1697</v>
      </c>
      <c r="AC517" s="6" t="s">
        <v>1697</v>
      </c>
      <c r="AD517" s="6" t="s">
        <v>1697</v>
      </c>
      <c r="AE517" s="6" t="s">
        <v>1697</v>
      </c>
      <c r="AF517" s="6" t="s">
        <v>1697</v>
      </c>
      <c r="AG517" s="6" t="s">
        <v>1697</v>
      </c>
      <c r="AH517" s="6" t="s">
        <v>1697</v>
      </c>
      <c r="AI517" s="6" t="s">
        <v>1697</v>
      </c>
      <c r="AJ517" t="s">
        <v>1694</v>
      </c>
      <c r="AK517" t="s">
        <v>1694</v>
      </c>
      <c r="AL517" t="s">
        <v>1726</v>
      </c>
      <c r="AM517" t="s">
        <v>1694</v>
      </c>
      <c r="AN517" t="s">
        <v>1726</v>
      </c>
      <c r="AO517" t="s">
        <v>1694</v>
      </c>
      <c r="AP517" t="s">
        <v>1695</v>
      </c>
      <c r="AQ517" t="s">
        <v>1694</v>
      </c>
      <c r="AR517" t="s">
        <v>1694</v>
      </c>
      <c r="AS517" t="s">
        <v>1726</v>
      </c>
      <c r="AT517" t="s">
        <v>1694</v>
      </c>
      <c r="AU517" t="s">
        <v>1695</v>
      </c>
      <c r="AV517" t="s">
        <v>1694</v>
      </c>
      <c r="AW517" t="s">
        <v>1694</v>
      </c>
      <c r="AX517" t="s">
        <v>1695</v>
      </c>
      <c r="AY517" t="s">
        <v>1694</v>
      </c>
      <c r="AZ517" t="s">
        <v>1694</v>
      </c>
      <c r="BA517" t="s">
        <v>1726</v>
      </c>
      <c r="BB517" t="s">
        <v>1695</v>
      </c>
      <c r="BC517" t="s">
        <v>1694</v>
      </c>
      <c r="BD517" t="s">
        <v>1694</v>
      </c>
      <c r="BE517" t="s">
        <v>1695</v>
      </c>
      <c r="BF517" t="s">
        <v>1694</v>
      </c>
      <c r="BG517" s="6" t="s">
        <v>1697</v>
      </c>
      <c r="BH517" s="6" t="s">
        <v>1697</v>
      </c>
      <c r="BI517" t="b">
        <v>1</v>
      </c>
      <c r="BJ517">
        <f t="shared" si="8"/>
        <v>1</v>
      </c>
    </row>
    <row r="518" spans="1:62" x14ac:dyDescent="0.2">
      <c r="A518" s="5" t="s">
        <v>118</v>
      </c>
      <c r="B518" s="6">
        <v>38408</v>
      </c>
      <c r="C518" s="7">
        <v>33.306708</v>
      </c>
      <c r="D518" s="7">
        <v>-112.07599399999999</v>
      </c>
      <c r="E518" s="17">
        <v>399</v>
      </c>
      <c r="F518" s="11" t="s">
        <v>1694</v>
      </c>
      <c r="G518" t="s">
        <v>1694</v>
      </c>
      <c r="H518" t="s">
        <v>1694</v>
      </c>
      <c r="I518">
        <v>0</v>
      </c>
      <c r="J518" s="8">
        <v>6.4639227971094009</v>
      </c>
      <c r="K518" s="8">
        <v>76.527821187004562</v>
      </c>
      <c r="L518" s="8">
        <v>17.008256015886033</v>
      </c>
      <c r="M518" s="8">
        <v>2.0119906224359663</v>
      </c>
      <c r="N518" s="8">
        <v>0.83058800075632588</v>
      </c>
      <c r="O518" s="8">
        <v>1.8862412085337186</v>
      </c>
      <c r="P518" s="8">
        <v>0.7724468407033831</v>
      </c>
      <c r="Q518" s="8">
        <v>10.911050400582663</v>
      </c>
      <c r="R518" s="8">
        <v>2.4040658818287599</v>
      </c>
      <c r="S518" s="8">
        <v>0.52300000000000002</v>
      </c>
      <c r="T518" s="8">
        <v>0.39500000000000002</v>
      </c>
      <c r="U518" s="8">
        <v>0.10199999999999999</v>
      </c>
      <c r="V518" s="8">
        <v>8.4000000000000005E-2</v>
      </c>
      <c r="W518" s="8">
        <v>0.42100000000000004</v>
      </c>
      <c r="X518" s="8">
        <v>0.311</v>
      </c>
      <c r="Y518" s="8">
        <v>2.8625954198473349</v>
      </c>
      <c r="Z518" s="8">
        <v>3.2196969696969688</v>
      </c>
      <c r="AA518" s="8">
        <v>8.5399999999999991</v>
      </c>
      <c r="AB518">
        <v>0.20399999999999999</v>
      </c>
      <c r="AC518" s="8">
        <v>7.251908396946563</v>
      </c>
      <c r="AD518" s="8">
        <v>7.0075757575757613</v>
      </c>
      <c r="AE518" s="8">
        <v>3.5000000000000003E-2</v>
      </c>
      <c r="AF518" s="8">
        <v>2.1000000000000001E-2</v>
      </c>
      <c r="AG518" s="8">
        <v>1.5531131631382629</v>
      </c>
      <c r="AH518" s="8">
        <v>14.942857142857141</v>
      </c>
      <c r="AI518" s="8">
        <v>11.285714285714285</v>
      </c>
      <c r="AJ518" t="s">
        <v>1694</v>
      </c>
      <c r="AK518" t="s">
        <v>1694</v>
      </c>
      <c r="AL518" t="s">
        <v>1694</v>
      </c>
      <c r="AM518" t="s">
        <v>1694</v>
      </c>
      <c r="AN518" t="s">
        <v>1694</v>
      </c>
      <c r="AO518" t="s">
        <v>1694</v>
      </c>
      <c r="AP518" t="s">
        <v>1695</v>
      </c>
      <c r="AQ518" t="s">
        <v>1694</v>
      </c>
      <c r="AR518" t="s">
        <v>1694</v>
      </c>
      <c r="AS518" t="s">
        <v>1700</v>
      </c>
      <c r="AT518" t="s">
        <v>1700</v>
      </c>
      <c r="AU518" t="s">
        <v>1695</v>
      </c>
      <c r="AV518" t="s">
        <v>1694</v>
      </c>
      <c r="AW518" t="s">
        <v>1694</v>
      </c>
      <c r="AX518" t="s">
        <v>1695</v>
      </c>
      <c r="AY518" t="s">
        <v>1694</v>
      </c>
      <c r="AZ518" t="s">
        <v>1694</v>
      </c>
      <c r="BA518" t="s">
        <v>1700</v>
      </c>
      <c r="BB518" t="s">
        <v>1695</v>
      </c>
      <c r="BC518" t="s">
        <v>1694</v>
      </c>
      <c r="BD518" t="s">
        <v>1694</v>
      </c>
      <c r="BE518" t="s">
        <v>1695</v>
      </c>
      <c r="BF518" t="s">
        <v>1694</v>
      </c>
      <c r="BG518" t="s">
        <v>1697</v>
      </c>
      <c r="BH518" t="s">
        <v>1698</v>
      </c>
      <c r="BI518" t="b">
        <v>0</v>
      </c>
      <c r="BJ518">
        <f t="shared" si="8"/>
        <v>0</v>
      </c>
    </row>
    <row r="519" spans="1:62" x14ac:dyDescent="0.2">
      <c r="A519" s="5" t="s">
        <v>118</v>
      </c>
      <c r="B519" s="6">
        <v>40268</v>
      </c>
      <c r="C519" s="7">
        <v>33.306708</v>
      </c>
      <c r="D519" s="7">
        <v>-112.07599399999999</v>
      </c>
      <c r="E519" s="17">
        <v>399</v>
      </c>
      <c r="F519" s="11" t="s">
        <v>1694</v>
      </c>
      <c r="G519" t="s">
        <v>1694</v>
      </c>
      <c r="H519" t="s">
        <v>1694</v>
      </c>
      <c r="I519">
        <v>0</v>
      </c>
      <c r="J519" s="8">
        <v>8.9376126143718633</v>
      </c>
      <c r="K519" s="8">
        <v>69.927136618050696</v>
      </c>
      <c r="L519" s="8">
        <v>21.135250767577446</v>
      </c>
      <c r="M519" s="8">
        <v>6.5566289072107393</v>
      </c>
      <c r="N519" s="8">
        <v>5.0000000000000001E-3</v>
      </c>
      <c r="O519" s="8">
        <v>1.2875831140901313</v>
      </c>
      <c r="P519" s="8">
        <v>2.4663295716845357</v>
      </c>
      <c r="Q519" s="8">
        <v>14.76428637490017</v>
      </c>
      <c r="R519" s="8">
        <v>7.9272485885962993</v>
      </c>
      <c r="S519" s="8">
        <v>0.26400000000000001</v>
      </c>
      <c r="T519" s="8">
        <v>0.26500000000000001</v>
      </c>
      <c r="U519" s="8">
        <v>0.21</v>
      </c>
      <c r="V519" s="8">
        <v>0.221</v>
      </c>
      <c r="W519" s="8">
        <v>5.400000000000002E-2</v>
      </c>
      <c r="X519" s="8">
        <v>4.4000000000000011E-2</v>
      </c>
      <c r="Y519" s="8">
        <v>2.6143790849673145</v>
      </c>
      <c r="Z519" s="8">
        <v>2.3373983739837261</v>
      </c>
      <c r="AA519" s="8">
        <v>8.59</v>
      </c>
      <c r="AB519">
        <v>0.157</v>
      </c>
      <c r="AC519" s="8">
        <v>1.6806722689075606</v>
      </c>
      <c r="AD519" s="8">
        <v>1.6260162601626031</v>
      </c>
      <c r="AE519" s="8">
        <v>1.4999999999999999E-2</v>
      </c>
      <c r="AF519" s="8">
        <v>8.9999999999999993E-3</v>
      </c>
      <c r="AG519" s="8">
        <v>1.8550790786966633</v>
      </c>
      <c r="AH519" s="8">
        <v>17.600000000000001</v>
      </c>
      <c r="AI519" s="8">
        <v>17.666666666666668</v>
      </c>
      <c r="AJ519" t="s">
        <v>1694</v>
      </c>
      <c r="AK519" t="s">
        <v>1694</v>
      </c>
      <c r="AL519" t="s">
        <v>1694</v>
      </c>
      <c r="AM519" t="s">
        <v>1694</v>
      </c>
      <c r="AN519" t="s">
        <v>1694</v>
      </c>
      <c r="AO519" t="s">
        <v>1694</v>
      </c>
      <c r="AP519" t="s">
        <v>1695</v>
      </c>
      <c r="AQ519" t="s">
        <v>1694</v>
      </c>
      <c r="AR519" t="s">
        <v>1694</v>
      </c>
      <c r="AS519" t="s">
        <v>1700</v>
      </c>
      <c r="AT519" t="s">
        <v>1700</v>
      </c>
      <c r="AU519" t="s">
        <v>1695</v>
      </c>
      <c r="AV519" t="s">
        <v>1694</v>
      </c>
      <c r="AW519" t="s">
        <v>1694</v>
      </c>
      <c r="AX519" t="s">
        <v>1695</v>
      </c>
      <c r="AY519" t="s">
        <v>1694</v>
      </c>
      <c r="AZ519" t="s">
        <v>1694</v>
      </c>
      <c r="BA519" t="s">
        <v>1700</v>
      </c>
      <c r="BB519" t="s">
        <v>1695</v>
      </c>
      <c r="BC519" t="s">
        <v>1694</v>
      </c>
      <c r="BD519" t="s">
        <v>1694</v>
      </c>
      <c r="BE519" t="s">
        <v>1695</v>
      </c>
      <c r="BF519" t="s">
        <v>1694</v>
      </c>
      <c r="BG519" t="s">
        <v>1697</v>
      </c>
      <c r="BH519" t="s">
        <v>1698</v>
      </c>
      <c r="BI519" t="b">
        <v>0</v>
      </c>
      <c r="BJ519">
        <f t="shared" si="8"/>
        <v>0</v>
      </c>
    </row>
    <row r="520" spans="1:62" x14ac:dyDescent="0.2">
      <c r="A520" s="5" t="s">
        <v>118</v>
      </c>
      <c r="B520" s="6">
        <v>42163</v>
      </c>
      <c r="C520" s="7">
        <v>33.306708</v>
      </c>
      <c r="D520" s="7">
        <v>-112.07599399999999</v>
      </c>
      <c r="E520" s="17">
        <v>399</v>
      </c>
      <c r="F520" t="s">
        <v>1694</v>
      </c>
      <c r="G520" t="s">
        <v>1694</v>
      </c>
      <c r="H520" t="s">
        <v>1694</v>
      </c>
      <c r="I520">
        <v>0</v>
      </c>
      <c r="J520">
        <v>5.8779145814190104</v>
      </c>
      <c r="K520">
        <v>76.125739310511307</v>
      </c>
      <c r="L520">
        <v>17.996346108069702</v>
      </c>
      <c r="M520">
        <v>2.3949242935069299</v>
      </c>
      <c r="N520">
        <v>1.00869964086129</v>
      </c>
      <c r="O520">
        <v>14.3695457610416</v>
      </c>
      <c r="P520">
        <v>6.0521978451677496</v>
      </c>
      <c r="Q520">
        <v>8.2467338285587708</v>
      </c>
      <c r="R520">
        <v>1.9868897114197599</v>
      </c>
      <c r="S520">
        <v>0.47299999999999998</v>
      </c>
      <c r="T520">
        <v>0.23799999999999999</v>
      </c>
      <c r="U520">
        <v>0.11</v>
      </c>
      <c r="V520">
        <v>8.7999999999999995E-2</v>
      </c>
      <c r="W520">
        <v>0.36299999999999999</v>
      </c>
      <c r="X520">
        <v>0.15</v>
      </c>
      <c r="Y520">
        <v>1.1834319526627199</v>
      </c>
      <c r="Z520">
        <v>1.0660980810234699</v>
      </c>
      <c r="AA520">
        <v>8.24</v>
      </c>
      <c r="AB520">
        <v>0.20300000000000001</v>
      </c>
      <c r="AC520">
        <v>2.08667736757626</v>
      </c>
      <c r="AD520">
        <v>1.68539325842696</v>
      </c>
      <c r="AE520">
        <v>4.7E-2</v>
      </c>
      <c r="AF520">
        <v>2.3E-2</v>
      </c>
      <c r="AG520">
        <v>1.755232680046154</v>
      </c>
      <c r="AH520">
        <v>10.063829787234001</v>
      </c>
      <c r="AI520">
        <v>10.3478260869565</v>
      </c>
      <c r="AJ520" t="s">
        <v>1694</v>
      </c>
      <c r="AK520" t="s">
        <v>1694</v>
      </c>
      <c r="AL520" t="s">
        <v>1694</v>
      </c>
      <c r="AM520" t="s">
        <v>1694</v>
      </c>
      <c r="AN520" t="s">
        <v>1694</v>
      </c>
      <c r="AO520" t="s">
        <v>1694</v>
      </c>
      <c r="AP520" t="s">
        <v>1695</v>
      </c>
      <c r="AQ520" t="s">
        <v>1694</v>
      </c>
      <c r="AR520" t="s">
        <v>1694</v>
      </c>
      <c r="AS520" t="s">
        <v>1700</v>
      </c>
      <c r="AT520" t="s">
        <v>1700</v>
      </c>
      <c r="AU520" t="s">
        <v>1695</v>
      </c>
      <c r="AV520" t="s">
        <v>1694</v>
      </c>
      <c r="AW520" t="s">
        <v>1694</v>
      </c>
      <c r="AX520" t="s">
        <v>1695</v>
      </c>
      <c r="AY520" t="s">
        <v>1694</v>
      </c>
      <c r="AZ520" t="s">
        <v>1694</v>
      </c>
      <c r="BA520" t="s">
        <v>1700</v>
      </c>
      <c r="BB520" t="s">
        <v>1695</v>
      </c>
      <c r="BC520" t="s">
        <v>1694</v>
      </c>
      <c r="BD520" t="s">
        <v>1694</v>
      </c>
      <c r="BE520" t="s">
        <v>1695</v>
      </c>
      <c r="BF520" t="s">
        <v>1694</v>
      </c>
      <c r="BG520" t="s">
        <v>1697</v>
      </c>
      <c r="BH520" t="s">
        <v>1698</v>
      </c>
      <c r="BI520" t="b">
        <v>0</v>
      </c>
      <c r="BJ520">
        <f t="shared" si="8"/>
        <v>0</v>
      </c>
    </row>
    <row r="521" spans="1:62" x14ac:dyDescent="0.2">
      <c r="A521" s="5" t="s">
        <v>118</v>
      </c>
      <c r="B521" s="6">
        <v>45084</v>
      </c>
      <c r="C521" s="7">
        <v>33.306708</v>
      </c>
      <c r="D521" s="7">
        <v>-112.07599399999999</v>
      </c>
      <c r="E521" s="17">
        <v>399</v>
      </c>
      <c r="F521" t="s">
        <v>1694</v>
      </c>
      <c r="G521" t="s">
        <v>1694</v>
      </c>
      <c r="H521" t="s">
        <v>1694</v>
      </c>
      <c r="I521">
        <v>0</v>
      </c>
      <c r="J521" s="6" t="s">
        <v>1697</v>
      </c>
      <c r="K521" s="6" t="s">
        <v>1697</v>
      </c>
      <c r="L521" s="6" t="s">
        <v>1697</v>
      </c>
      <c r="M521" s="6" t="s">
        <v>1697</v>
      </c>
      <c r="N521" s="6" t="s">
        <v>1697</v>
      </c>
      <c r="O521" s="6" t="s">
        <v>1697</v>
      </c>
      <c r="P521" s="6" t="s">
        <v>1697</v>
      </c>
      <c r="Q521" s="6" t="s">
        <v>1697</v>
      </c>
      <c r="R521" s="6" t="s">
        <v>1697</v>
      </c>
      <c r="S521" s="6" t="s">
        <v>1697</v>
      </c>
      <c r="T521" s="6" t="s">
        <v>1697</v>
      </c>
      <c r="U521" s="6" t="s">
        <v>1697</v>
      </c>
      <c r="V521" s="6" t="s">
        <v>1697</v>
      </c>
      <c r="W521" s="6" t="s">
        <v>1697</v>
      </c>
      <c r="X521" s="6" t="s">
        <v>1697</v>
      </c>
      <c r="Y521" s="6" t="s">
        <v>1697</v>
      </c>
      <c r="Z521" s="6" t="s">
        <v>1697</v>
      </c>
      <c r="AA521" s="6" t="s">
        <v>1697</v>
      </c>
      <c r="AB521" s="6" t="s">
        <v>1697</v>
      </c>
      <c r="AC521" s="6" t="s">
        <v>1697</v>
      </c>
      <c r="AD521" s="6" t="s">
        <v>1697</v>
      </c>
      <c r="AE521" s="6" t="s">
        <v>1697</v>
      </c>
      <c r="AF521" s="6" t="s">
        <v>1697</v>
      </c>
      <c r="AG521" s="6" t="s">
        <v>1697</v>
      </c>
      <c r="AH521" s="6" t="s">
        <v>1697</v>
      </c>
      <c r="AI521" s="6" t="s">
        <v>1697</v>
      </c>
      <c r="AJ521" t="s">
        <v>1694</v>
      </c>
      <c r="AK521" t="s">
        <v>1694</v>
      </c>
      <c r="AL521" t="s">
        <v>1694</v>
      </c>
      <c r="AM521" t="s">
        <v>1694</v>
      </c>
      <c r="AN521" t="s">
        <v>1694</v>
      </c>
      <c r="AO521" t="s">
        <v>1694</v>
      </c>
      <c r="AP521" t="s">
        <v>1695</v>
      </c>
      <c r="AQ521" t="s">
        <v>1694</v>
      </c>
      <c r="AR521" t="s">
        <v>1694</v>
      </c>
      <c r="AS521" t="s">
        <v>1700</v>
      </c>
      <c r="AT521" t="s">
        <v>1700</v>
      </c>
      <c r="AU521" t="s">
        <v>1695</v>
      </c>
      <c r="AV521" t="s">
        <v>1694</v>
      </c>
      <c r="AW521" t="s">
        <v>1694</v>
      </c>
      <c r="AX521" t="s">
        <v>1695</v>
      </c>
      <c r="AY521" t="s">
        <v>1694</v>
      </c>
      <c r="AZ521" t="s">
        <v>1694</v>
      </c>
      <c r="BA521" t="s">
        <v>1700</v>
      </c>
      <c r="BB521" t="s">
        <v>1695</v>
      </c>
      <c r="BC521" t="s">
        <v>1694</v>
      </c>
      <c r="BD521" t="s">
        <v>1694</v>
      </c>
      <c r="BE521" t="s">
        <v>1695</v>
      </c>
      <c r="BF521" t="s">
        <v>1694</v>
      </c>
      <c r="BG521" s="6" t="s">
        <v>1697</v>
      </c>
      <c r="BH521" s="6" t="s">
        <v>1697</v>
      </c>
      <c r="BI521" t="b">
        <v>1</v>
      </c>
      <c r="BJ521">
        <f t="shared" si="8"/>
        <v>1</v>
      </c>
    </row>
    <row r="522" spans="1:62" x14ac:dyDescent="0.2">
      <c r="A522" s="5" t="s">
        <v>880</v>
      </c>
      <c r="B522" s="6">
        <v>38412</v>
      </c>
      <c r="C522" s="7">
        <v>33.796069000000003</v>
      </c>
      <c r="D522" s="7">
        <v>-112.033061</v>
      </c>
      <c r="E522" s="17">
        <v>547</v>
      </c>
      <c r="F522" t="s">
        <v>1694</v>
      </c>
      <c r="G522" t="s">
        <v>1694</v>
      </c>
      <c r="H522" t="s">
        <v>1694</v>
      </c>
      <c r="I522">
        <v>0</v>
      </c>
      <c r="J522" s="8">
        <v>10.081036999747862</v>
      </c>
      <c r="K522" s="8">
        <v>67.382353168316016</v>
      </c>
      <c r="L522" s="8">
        <v>22.536609831936119</v>
      </c>
      <c r="M522" s="8">
        <v>4.0328825359983238</v>
      </c>
      <c r="N522" s="8">
        <v>1.9984886213823596</v>
      </c>
      <c r="O522" s="8">
        <v>0.99981879538291785</v>
      </c>
      <c r="P522" s="8">
        <v>0.549584370880149</v>
      </c>
      <c r="Q522" s="8">
        <v>13.545364200273733</v>
      </c>
      <c r="R522" s="8">
        <v>2.9455984462983476</v>
      </c>
      <c r="S522" s="8">
        <v>0.82699999999999996</v>
      </c>
      <c r="T522" s="8">
        <v>0.90200000000000002</v>
      </c>
      <c r="U522" s="8">
        <v>0.69299999999999995</v>
      </c>
      <c r="V522" s="8">
        <v>0.64100000000000001</v>
      </c>
      <c r="W522" s="8">
        <v>0.13400000000000001</v>
      </c>
      <c r="X522" s="8">
        <v>0.26100000000000001</v>
      </c>
      <c r="Y522" s="8">
        <v>3.3185840707964682</v>
      </c>
      <c r="Z522" s="8">
        <v>2.7343750000000111</v>
      </c>
      <c r="AA522" s="8">
        <v>8.24</v>
      </c>
      <c r="AB522">
        <v>0.16800000000000001</v>
      </c>
      <c r="AC522" s="8">
        <v>12.168141592920351</v>
      </c>
      <c r="AD522" s="8">
        <v>11.718749999999993</v>
      </c>
      <c r="AE522" s="8">
        <v>4.9000000000000002E-2</v>
      </c>
      <c r="AF522" s="8">
        <v>3.3000000000000002E-2</v>
      </c>
      <c r="AG522" s="8">
        <v>1.5045090441838802</v>
      </c>
      <c r="AH522" s="8">
        <v>16.877551020408163</v>
      </c>
      <c r="AI522" s="8">
        <v>18.408163265306122</v>
      </c>
      <c r="AJ522" t="s">
        <v>1694</v>
      </c>
      <c r="AK522" t="s">
        <v>1694</v>
      </c>
      <c r="AL522" t="s">
        <v>1694</v>
      </c>
      <c r="AM522" t="s">
        <v>1694</v>
      </c>
      <c r="AN522" t="s">
        <v>1694</v>
      </c>
      <c r="AO522" t="s">
        <v>1694</v>
      </c>
      <c r="AP522" t="s">
        <v>1695</v>
      </c>
      <c r="AQ522" t="s">
        <v>1694</v>
      </c>
      <c r="AR522" t="s">
        <v>1694</v>
      </c>
      <c r="AS522" t="s">
        <v>1694</v>
      </c>
      <c r="AT522" t="s">
        <v>1694</v>
      </c>
      <c r="AU522" t="s">
        <v>1695</v>
      </c>
      <c r="AV522" t="s">
        <v>1694</v>
      </c>
      <c r="AW522" t="s">
        <v>1694</v>
      </c>
      <c r="AX522" t="s">
        <v>1695</v>
      </c>
      <c r="AY522" t="s">
        <v>1694</v>
      </c>
      <c r="AZ522" t="s">
        <v>1694</v>
      </c>
      <c r="BA522" t="s">
        <v>1694</v>
      </c>
      <c r="BB522" t="s">
        <v>1695</v>
      </c>
      <c r="BC522" t="s">
        <v>1694</v>
      </c>
      <c r="BD522" t="s">
        <v>1694</v>
      </c>
      <c r="BE522" t="s">
        <v>1695</v>
      </c>
      <c r="BF522" t="s">
        <v>1694</v>
      </c>
      <c r="BG522" t="s">
        <v>1697</v>
      </c>
      <c r="BH522" t="s">
        <v>1698</v>
      </c>
      <c r="BI522" t="b">
        <v>0</v>
      </c>
      <c r="BJ522">
        <f t="shared" si="8"/>
        <v>0</v>
      </c>
    </row>
    <row r="523" spans="1:62" x14ac:dyDescent="0.2">
      <c r="A523" s="5" t="s">
        <v>880</v>
      </c>
      <c r="B523" s="6">
        <v>40248</v>
      </c>
      <c r="C523" s="7">
        <v>33.796069000000003</v>
      </c>
      <c r="D523" s="7">
        <v>-112.033061</v>
      </c>
      <c r="E523" s="17">
        <v>547</v>
      </c>
      <c r="F523" t="s">
        <v>1694</v>
      </c>
      <c r="G523" t="s">
        <v>1694</v>
      </c>
      <c r="H523" t="s">
        <v>1694</v>
      </c>
      <c r="I523">
        <v>0</v>
      </c>
      <c r="J523" s="8">
        <v>7.1924531762529131</v>
      </c>
      <c r="K523" s="8">
        <v>71.181673278459655</v>
      </c>
      <c r="L523" s="8">
        <v>21.625873545287433</v>
      </c>
      <c r="M523" s="8">
        <v>5.0000000000000001E-3</v>
      </c>
      <c r="N523" s="8">
        <v>5.0000000000000001E-3</v>
      </c>
      <c r="O523" s="8">
        <v>27.177633299439087</v>
      </c>
      <c r="P523" s="8">
        <v>4.0313286630760929</v>
      </c>
      <c r="Q523" s="8">
        <v>55.613490362741075</v>
      </c>
      <c r="R523" s="8">
        <v>12.238791747631971</v>
      </c>
      <c r="S523" s="8">
        <v>0.63900000000000001</v>
      </c>
      <c r="T523" s="8">
        <v>0.99</v>
      </c>
      <c r="U523" s="8">
        <v>0.47</v>
      </c>
      <c r="V523" s="8">
        <v>0.61399999999999999</v>
      </c>
      <c r="W523" s="8">
        <v>0.16900000000000004</v>
      </c>
      <c r="X523" s="8">
        <v>0.376</v>
      </c>
      <c r="Y523" s="8">
        <v>3.7542662116040919</v>
      </c>
      <c r="Z523" s="8">
        <v>3.8888888888888804</v>
      </c>
      <c r="AA523" s="8">
        <v>8.48</v>
      </c>
      <c r="AB523">
        <v>0.218</v>
      </c>
      <c r="AC523" s="8">
        <v>10.409556313993166</v>
      </c>
      <c r="AD523" s="8">
        <v>10.138888888888896</v>
      </c>
      <c r="AE523" s="8">
        <v>5.8999999999999997E-2</v>
      </c>
      <c r="AF523" s="8">
        <v>3.1E-2</v>
      </c>
      <c r="AG523" s="8">
        <v>1.5216169603682645</v>
      </c>
      <c r="AH523" s="8">
        <v>10.830508474576272</v>
      </c>
      <c r="AI523" s="8">
        <v>16.779661016949152</v>
      </c>
      <c r="AJ523" t="s">
        <v>1694</v>
      </c>
      <c r="AK523" t="s">
        <v>1694</v>
      </c>
      <c r="AL523" t="s">
        <v>1694</v>
      </c>
      <c r="AM523" t="s">
        <v>1694</v>
      </c>
      <c r="AN523" t="s">
        <v>1694</v>
      </c>
      <c r="AO523" t="s">
        <v>1694</v>
      </c>
      <c r="AP523" t="s">
        <v>1695</v>
      </c>
      <c r="AQ523" t="s">
        <v>1694</v>
      </c>
      <c r="AR523" t="s">
        <v>1694</v>
      </c>
      <c r="AS523" t="s">
        <v>1694</v>
      </c>
      <c r="AT523" t="s">
        <v>1694</v>
      </c>
      <c r="AU523" t="s">
        <v>1695</v>
      </c>
      <c r="AV523" t="s">
        <v>1694</v>
      </c>
      <c r="AW523" t="s">
        <v>1694</v>
      </c>
      <c r="AX523" t="s">
        <v>1695</v>
      </c>
      <c r="AY523" t="s">
        <v>1694</v>
      </c>
      <c r="AZ523" t="s">
        <v>1694</v>
      </c>
      <c r="BA523" t="s">
        <v>1694</v>
      </c>
      <c r="BB523" t="s">
        <v>1695</v>
      </c>
      <c r="BC523" t="s">
        <v>1694</v>
      </c>
      <c r="BD523" t="s">
        <v>1694</v>
      </c>
      <c r="BE523" t="s">
        <v>1695</v>
      </c>
      <c r="BF523" t="s">
        <v>1694</v>
      </c>
      <c r="BG523" t="s">
        <v>1697</v>
      </c>
      <c r="BH523" t="s">
        <v>1698</v>
      </c>
      <c r="BI523" t="b">
        <v>1</v>
      </c>
      <c r="BJ523">
        <f t="shared" si="8"/>
        <v>1</v>
      </c>
    </row>
    <row r="524" spans="1:62" x14ac:dyDescent="0.2">
      <c r="A524" s="5" t="s">
        <v>880</v>
      </c>
      <c r="B524" s="6">
        <v>42102</v>
      </c>
      <c r="C524" s="7">
        <v>33.796069000000003</v>
      </c>
      <c r="D524" s="7">
        <v>-112.033061</v>
      </c>
      <c r="E524" s="17">
        <v>547</v>
      </c>
      <c r="F524" t="s">
        <v>1694</v>
      </c>
      <c r="G524" t="s">
        <v>1694</v>
      </c>
      <c r="H524" t="s">
        <v>1694</v>
      </c>
      <c r="I524">
        <v>0</v>
      </c>
      <c r="J524">
        <v>7.81611553056372</v>
      </c>
      <c r="K524">
        <v>77.241126711359996</v>
      </c>
      <c r="L524">
        <v>14.942757758076301</v>
      </c>
      <c r="M524">
        <v>2.5483499671657301</v>
      </c>
      <c r="N524">
        <v>2.2323897413671201</v>
      </c>
      <c r="O524">
        <v>8.3957266360111405E-3</v>
      </c>
      <c r="P524">
        <v>2.8535764520084101</v>
      </c>
      <c r="Q524">
        <v>3.9008099865169901</v>
      </c>
      <c r="R524">
        <v>3.6131252500113602</v>
      </c>
      <c r="S524">
        <v>0.80200000000000005</v>
      </c>
      <c r="T524">
        <v>0.96899999999999997</v>
      </c>
      <c r="U524">
        <v>0.32400000000000001</v>
      </c>
      <c r="V524">
        <v>0.78400000000000003</v>
      </c>
      <c r="W524">
        <v>0.47799999999999998</v>
      </c>
      <c r="X524">
        <v>0.185</v>
      </c>
      <c r="Y524">
        <v>1.64348925410872</v>
      </c>
      <c r="Z524">
        <v>1.8915510718789299</v>
      </c>
      <c r="AA524">
        <v>8.11</v>
      </c>
      <c r="AB524">
        <v>0.22800000000000001</v>
      </c>
      <c r="AC524">
        <v>1.9400352733685999</v>
      </c>
      <c r="AD524">
        <v>2.4734982332155599</v>
      </c>
      <c r="AE524">
        <v>0.20200000000000001</v>
      </c>
      <c r="AF524">
        <v>2.9000000000000001E-2</v>
      </c>
      <c r="AG524">
        <v>1.6344331598389785</v>
      </c>
      <c r="AH524">
        <v>3.9702970297029698</v>
      </c>
      <c r="AI524">
        <v>33.413793103448299</v>
      </c>
      <c r="AJ524" t="s">
        <v>1694</v>
      </c>
      <c r="AK524" t="s">
        <v>1694</v>
      </c>
      <c r="AL524" t="s">
        <v>1694</v>
      </c>
      <c r="AM524" t="s">
        <v>1694</v>
      </c>
      <c r="AN524" t="s">
        <v>1694</v>
      </c>
      <c r="AO524" t="s">
        <v>1694</v>
      </c>
      <c r="AP524" t="s">
        <v>1697</v>
      </c>
      <c r="AQ524" t="s">
        <v>1697</v>
      </c>
      <c r="AR524" t="s">
        <v>1694</v>
      </c>
      <c r="AS524" t="s">
        <v>1694</v>
      </c>
      <c r="AT524" t="s">
        <v>1694</v>
      </c>
      <c r="AU524" t="s">
        <v>1695</v>
      </c>
      <c r="AV524" t="s">
        <v>1694</v>
      </c>
      <c r="AW524" t="s">
        <v>1694</v>
      </c>
      <c r="AX524" t="s">
        <v>1695</v>
      </c>
      <c r="AY524" t="s">
        <v>1694</v>
      </c>
      <c r="AZ524" t="s">
        <v>1694</v>
      </c>
      <c r="BA524" t="s">
        <v>1694</v>
      </c>
      <c r="BB524" t="s">
        <v>1695</v>
      </c>
      <c r="BC524" t="s">
        <v>1694</v>
      </c>
      <c r="BD524" t="s">
        <v>1694</v>
      </c>
      <c r="BE524" t="s">
        <v>1695</v>
      </c>
      <c r="BF524" t="s">
        <v>1694</v>
      </c>
      <c r="BG524" t="s">
        <v>1697</v>
      </c>
      <c r="BH524" t="s">
        <v>1698</v>
      </c>
      <c r="BI524" t="b">
        <v>1</v>
      </c>
      <c r="BJ524">
        <f t="shared" si="8"/>
        <v>1</v>
      </c>
    </row>
    <row r="525" spans="1:62" x14ac:dyDescent="0.2">
      <c r="A525" s="5" t="s">
        <v>880</v>
      </c>
      <c r="B525" s="6">
        <v>45042</v>
      </c>
      <c r="C525" s="7">
        <v>33.796069000000003</v>
      </c>
      <c r="D525" s="7">
        <v>-112.033061</v>
      </c>
      <c r="E525" s="17">
        <v>547</v>
      </c>
      <c r="F525" t="s">
        <v>1694</v>
      </c>
      <c r="G525" t="s">
        <v>1694</v>
      </c>
      <c r="H525" t="s">
        <v>1694</v>
      </c>
      <c r="I525">
        <v>0</v>
      </c>
      <c r="J525" s="6" t="s">
        <v>1697</v>
      </c>
      <c r="K525" s="6" t="s">
        <v>1697</v>
      </c>
      <c r="L525" s="6" t="s">
        <v>1697</v>
      </c>
      <c r="M525" s="6" t="s">
        <v>1697</v>
      </c>
      <c r="N525" s="6" t="s">
        <v>1697</v>
      </c>
      <c r="O525" s="6" t="s">
        <v>1697</v>
      </c>
      <c r="P525" s="6" t="s">
        <v>1697</v>
      </c>
      <c r="Q525" s="6" t="s">
        <v>1697</v>
      </c>
      <c r="R525" s="6" t="s">
        <v>1697</v>
      </c>
      <c r="S525" s="6" t="s">
        <v>1697</v>
      </c>
      <c r="T525" s="6" t="s">
        <v>1697</v>
      </c>
      <c r="U525" s="6" t="s">
        <v>1697</v>
      </c>
      <c r="V525" s="6" t="s">
        <v>1697</v>
      </c>
      <c r="W525" s="6" t="s">
        <v>1697</v>
      </c>
      <c r="X525" s="6" t="s">
        <v>1697</v>
      </c>
      <c r="Y525" s="6" t="s">
        <v>1697</v>
      </c>
      <c r="Z525" s="6" t="s">
        <v>1697</v>
      </c>
      <c r="AA525" s="6" t="s">
        <v>1697</v>
      </c>
      <c r="AB525" s="6" t="s">
        <v>1697</v>
      </c>
      <c r="AC525" s="6" t="s">
        <v>1697</v>
      </c>
      <c r="AD525" s="6" t="s">
        <v>1697</v>
      </c>
      <c r="AE525" s="6" t="s">
        <v>1697</v>
      </c>
      <c r="AF525" s="6" t="s">
        <v>1697</v>
      </c>
      <c r="AG525" s="6" t="s">
        <v>1697</v>
      </c>
      <c r="AH525" s="6" t="s">
        <v>1697</v>
      </c>
      <c r="AI525" s="6" t="s">
        <v>1697</v>
      </c>
      <c r="AJ525" t="s">
        <v>1694</v>
      </c>
      <c r="AK525" t="s">
        <v>1694</v>
      </c>
      <c r="AL525" t="s">
        <v>1694</v>
      </c>
      <c r="AM525" t="s">
        <v>1694</v>
      </c>
      <c r="AN525" t="s">
        <v>1694</v>
      </c>
      <c r="AO525" t="s">
        <v>1694</v>
      </c>
      <c r="AP525" t="s">
        <v>1697</v>
      </c>
      <c r="AQ525" t="s">
        <v>1697</v>
      </c>
      <c r="AR525" t="s">
        <v>1694</v>
      </c>
      <c r="AS525" t="s">
        <v>1694</v>
      </c>
      <c r="AT525" t="s">
        <v>1694</v>
      </c>
      <c r="AU525" t="s">
        <v>1695</v>
      </c>
      <c r="AV525" t="s">
        <v>1694</v>
      </c>
      <c r="AW525" t="s">
        <v>1694</v>
      </c>
      <c r="AX525" t="s">
        <v>1695</v>
      </c>
      <c r="AY525" t="s">
        <v>1694</v>
      </c>
      <c r="AZ525" t="s">
        <v>1694</v>
      </c>
      <c r="BA525" t="s">
        <v>1694</v>
      </c>
      <c r="BB525" t="s">
        <v>1695</v>
      </c>
      <c r="BC525" t="s">
        <v>1694</v>
      </c>
      <c r="BD525" t="s">
        <v>1694</v>
      </c>
      <c r="BE525" t="s">
        <v>1695</v>
      </c>
      <c r="BF525" t="s">
        <v>1694</v>
      </c>
      <c r="BG525" s="6" t="s">
        <v>1697</v>
      </c>
      <c r="BH525" s="6" t="s">
        <v>1697</v>
      </c>
      <c r="BI525" t="b">
        <v>1</v>
      </c>
      <c r="BJ525">
        <f t="shared" si="8"/>
        <v>1</v>
      </c>
    </row>
    <row r="526" spans="1:62" x14ac:dyDescent="0.2">
      <c r="A526" s="5" t="s">
        <v>881</v>
      </c>
      <c r="B526" s="6">
        <v>38469</v>
      </c>
      <c r="C526" s="7">
        <v>33.741247000000001</v>
      </c>
      <c r="D526" s="7">
        <v>-112.046556</v>
      </c>
      <c r="E526" s="17">
        <v>499</v>
      </c>
      <c r="F526" t="s">
        <v>1694</v>
      </c>
      <c r="G526" t="s">
        <v>1694</v>
      </c>
      <c r="H526" t="s">
        <v>1694</v>
      </c>
      <c r="I526">
        <v>0</v>
      </c>
      <c r="J526" s="8">
        <v>13.539590953439779</v>
      </c>
      <c r="K526" s="8">
        <v>59.377662130082776</v>
      </c>
      <c r="L526" s="8">
        <v>27.082746916477447</v>
      </c>
      <c r="M526" s="8">
        <v>5.1942649435256909</v>
      </c>
      <c r="N526" s="8">
        <v>1.9939351926452318</v>
      </c>
      <c r="O526" s="8">
        <v>3.4006203302144753</v>
      </c>
      <c r="P526" s="8">
        <v>0.22431770917258856</v>
      </c>
      <c r="Q526" s="8">
        <v>11.151573954648089</v>
      </c>
      <c r="R526" s="8">
        <v>18.937659365218217</v>
      </c>
      <c r="S526" s="8">
        <v>0.54400000000000004</v>
      </c>
      <c r="T526" s="8">
        <v>0.378</v>
      </c>
      <c r="U526" s="8">
        <v>0.13400000000000001</v>
      </c>
      <c r="V526" s="8">
        <v>0.20499999999999999</v>
      </c>
      <c r="W526" s="8">
        <v>0.41000000000000003</v>
      </c>
      <c r="X526" s="8">
        <v>0.17300000000000001</v>
      </c>
      <c r="Y526" s="8">
        <v>3.8135593220338921</v>
      </c>
      <c r="Z526" s="8">
        <v>3.8095238095238009</v>
      </c>
      <c r="AA526" s="8">
        <v>7.63</v>
      </c>
      <c r="AB526">
        <v>0.28599999999999998</v>
      </c>
      <c r="AC526" s="8">
        <v>3.8135593220339112</v>
      </c>
      <c r="AD526" s="8">
        <v>6.8027210884353746</v>
      </c>
      <c r="AE526" s="8">
        <v>0.05</v>
      </c>
      <c r="AF526" s="8">
        <v>3.1E-2</v>
      </c>
      <c r="AG526" s="8">
        <v>1.5528687899916063</v>
      </c>
      <c r="AH526" s="8">
        <v>10.88</v>
      </c>
      <c r="AI526" s="8">
        <v>7.56</v>
      </c>
      <c r="AJ526" t="s">
        <v>1694</v>
      </c>
      <c r="AK526" t="s">
        <v>1694</v>
      </c>
      <c r="AL526" t="s">
        <v>1694</v>
      </c>
      <c r="AM526" t="s">
        <v>1694</v>
      </c>
      <c r="AN526" t="s">
        <v>1694</v>
      </c>
      <c r="AO526" t="s">
        <v>1694</v>
      </c>
      <c r="AP526" t="s">
        <v>1695</v>
      </c>
      <c r="AQ526" t="s">
        <v>1694</v>
      </c>
      <c r="AR526" t="s">
        <v>1694</v>
      </c>
      <c r="AS526" t="s">
        <v>1694</v>
      </c>
      <c r="AT526" t="s">
        <v>1694</v>
      </c>
      <c r="AU526" t="s">
        <v>1695</v>
      </c>
      <c r="AV526" t="s">
        <v>1711</v>
      </c>
      <c r="AW526" t="s">
        <v>1694</v>
      </c>
      <c r="AX526" t="s">
        <v>1695</v>
      </c>
      <c r="AY526" t="s">
        <v>1711</v>
      </c>
      <c r="AZ526" t="s">
        <v>1694</v>
      </c>
      <c r="BA526" t="s">
        <v>1694</v>
      </c>
      <c r="BB526" t="s">
        <v>1695</v>
      </c>
      <c r="BC526" t="s">
        <v>1711</v>
      </c>
      <c r="BD526" t="s">
        <v>1711</v>
      </c>
      <c r="BE526" t="s">
        <v>1695</v>
      </c>
      <c r="BF526" t="s">
        <v>1711</v>
      </c>
      <c r="BG526" t="s">
        <v>1697</v>
      </c>
      <c r="BH526" t="s">
        <v>1698</v>
      </c>
      <c r="BI526" t="b">
        <v>1</v>
      </c>
      <c r="BJ526">
        <f t="shared" si="8"/>
        <v>1</v>
      </c>
    </row>
    <row r="527" spans="1:62" x14ac:dyDescent="0.2">
      <c r="A527" s="5" t="s">
        <v>881</v>
      </c>
      <c r="B527" s="6">
        <v>40282</v>
      </c>
      <c r="C527" s="7">
        <v>33.741247000000001</v>
      </c>
      <c r="D527" s="7">
        <v>-112.046556</v>
      </c>
      <c r="E527" s="17">
        <v>499</v>
      </c>
      <c r="F527" t="s">
        <v>1694</v>
      </c>
      <c r="G527" t="s">
        <v>1694</v>
      </c>
      <c r="H527" t="s">
        <v>1694</v>
      </c>
      <c r="I527">
        <v>0</v>
      </c>
      <c r="J527" s="8">
        <v>14.045667436323267</v>
      </c>
      <c r="K527" s="8">
        <v>59.675873598291304</v>
      </c>
      <c r="L527" s="8">
        <v>26.278458965385425</v>
      </c>
      <c r="M527" s="8">
        <v>46.132624433833826</v>
      </c>
      <c r="N527" s="8">
        <v>0.91276953395997218</v>
      </c>
      <c r="O527" s="8">
        <v>1.3496246509898193</v>
      </c>
      <c r="P527" s="8">
        <v>0.92983064674427063</v>
      </c>
      <c r="Q527" s="8">
        <v>28.857428901164131</v>
      </c>
      <c r="R527" s="8">
        <v>6.3673659991261164</v>
      </c>
      <c r="S527" s="8">
        <v>0.73399999999999999</v>
      </c>
      <c r="T527" s="8">
        <v>0.45300000000000001</v>
      </c>
      <c r="U527" s="8">
        <v>3.1E-2</v>
      </c>
      <c r="V527" s="8">
        <v>0.16600000000000001</v>
      </c>
      <c r="W527" s="8">
        <v>0.70299999999999996</v>
      </c>
      <c r="X527" s="8">
        <v>0.28700000000000003</v>
      </c>
      <c r="Y527" s="8">
        <v>3.2394366197183158</v>
      </c>
      <c r="Z527" s="8">
        <v>3.1936127744511009</v>
      </c>
      <c r="AA527" s="8">
        <v>7.79</v>
      </c>
      <c r="AB527">
        <v>0.28999999999999998</v>
      </c>
      <c r="AC527" s="8">
        <v>3.2394366197182904</v>
      </c>
      <c r="AD527" s="8">
        <v>6.1876247504990118</v>
      </c>
      <c r="AE527" s="8">
        <v>8.4000000000000005E-2</v>
      </c>
      <c r="AF527" s="8">
        <v>3.5000000000000003E-2</v>
      </c>
      <c r="AG527" s="8">
        <v>1.5955010256601065</v>
      </c>
      <c r="AH527" s="8">
        <v>8.7380952380952372</v>
      </c>
      <c r="AI527" s="8">
        <v>5.3928571428571423</v>
      </c>
      <c r="AJ527" t="s">
        <v>1694</v>
      </c>
      <c r="AK527" t="s">
        <v>1694</v>
      </c>
      <c r="AL527" t="s">
        <v>1694</v>
      </c>
      <c r="AM527" t="s">
        <v>1694</v>
      </c>
      <c r="AN527" t="s">
        <v>1694</v>
      </c>
      <c r="AO527" t="s">
        <v>1694</v>
      </c>
      <c r="AP527" t="s">
        <v>1695</v>
      </c>
      <c r="AQ527" t="s">
        <v>1694</v>
      </c>
      <c r="AR527" t="s">
        <v>1694</v>
      </c>
      <c r="AS527" t="s">
        <v>1694</v>
      </c>
      <c r="AT527" t="s">
        <v>1694</v>
      </c>
      <c r="AU527" t="s">
        <v>1695</v>
      </c>
      <c r="AV527" t="s">
        <v>1711</v>
      </c>
      <c r="AW527" t="s">
        <v>1694</v>
      </c>
      <c r="AX527" t="s">
        <v>1695</v>
      </c>
      <c r="AY527" t="s">
        <v>1711</v>
      </c>
      <c r="AZ527" t="s">
        <v>1694</v>
      </c>
      <c r="BA527" t="s">
        <v>1694</v>
      </c>
      <c r="BB527" t="s">
        <v>1695</v>
      </c>
      <c r="BC527" t="s">
        <v>1711</v>
      </c>
      <c r="BD527" t="s">
        <v>1711</v>
      </c>
      <c r="BE527" t="s">
        <v>1695</v>
      </c>
      <c r="BF527" t="s">
        <v>1711</v>
      </c>
      <c r="BG527" t="s">
        <v>1697</v>
      </c>
      <c r="BH527" t="s">
        <v>1698</v>
      </c>
      <c r="BI527" t="b">
        <v>1</v>
      </c>
      <c r="BJ527">
        <f t="shared" si="8"/>
        <v>1</v>
      </c>
    </row>
    <row r="528" spans="1:62" x14ac:dyDescent="0.2">
      <c r="A528" s="5" t="s">
        <v>881</v>
      </c>
      <c r="B528" s="6">
        <v>45085</v>
      </c>
      <c r="C528" s="7">
        <v>33.741247000000001</v>
      </c>
      <c r="D528" s="7">
        <v>-112.046556</v>
      </c>
      <c r="E528" s="17">
        <v>499</v>
      </c>
      <c r="F528" t="s">
        <v>1694</v>
      </c>
      <c r="G528" t="s">
        <v>1694</v>
      </c>
      <c r="H528" t="s">
        <v>1694</v>
      </c>
      <c r="I528">
        <v>0</v>
      </c>
      <c r="J528" s="6" t="s">
        <v>1697</v>
      </c>
      <c r="K528" s="6" t="s">
        <v>1697</v>
      </c>
      <c r="L528" s="6" t="s">
        <v>1697</v>
      </c>
      <c r="M528" s="6" t="s">
        <v>1697</v>
      </c>
      <c r="N528" s="6" t="s">
        <v>1697</v>
      </c>
      <c r="O528" s="6" t="s">
        <v>1697</v>
      </c>
      <c r="P528" s="6" t="s">
        <v>1697</v>
      </c>
      <c r="Q528" s="6" t="s">
        <v>1697</v>
      </c>
      <c r="R528" s="6" t="s">
        <v>1697</v>
      </c>
      <c r="S528" s="6" t="s">
        <v>1697</v>
      </c>
      <c r="T528" s="6" t="s">
        <v>1697</v>
      </c>
      <c r="U528" s="6" t="s">
        <v>1697</v>
      </c>
      <c r="V528" s="6" t="s">
        <v>1697</v>
      </c>
      <c r="W528" s="6" t="s">
        <v>1697</v>
      </c>
      <c r="X528" s="6" t="s">
        <v>1697</v>
      </c>
      <c r="Y528" s="6" t="s">
        <v>1697</v>
      </c>
      <c r="Z528" s="6" t="s">
        <v>1697</v>
      </c>
      <c r="AA528" s="6" t="s">
        <v>1697</v>
      </c>
      <c r="AB528" s="6" t="s">
        <v>1697</v>
      </c>
      <c r="AC528" s="6" t="s">
        <v>1697</v>
      </c>
      <c r="AD528" s="6" t="s">
        <v>1697</v>
      </c>
      <c r="AE528" s="6" t="s">
        <v>1697</v>
      </c>
      <c r="AF528" s="6" t="s">
        <v>1697</v>
      </c>
      <c r="AG528" s="6" t="s">
        <v>1697</v>
      </c>
      <c r="AH528" s="6" t="s">
        <v>1697</v>
      </c>
      <c r="AI528" s="6" t="s">
        <v>1697</v>
      </c>
      <c r="AJ528" t="s">
        <v>1694</v>
      </c>
      <c r="AK528" t="s">
        <v>1694</v>
      </c>
      <c r="AL528" t="s">
        <v>1694</v>
      </c>
      <c r="AM528" t="s">
        <v>1694</v>
      </c>
      <c r="AN528" t="s">
        <v>1694</v>
      </c>
      <c r="AO528" t="s">
        <v>1694</v>
      </c>
      <c r="AP528" t="s">
        <v>1695</v>
      </c>
      <c r="AQ528" t="s">
        <v>1694</v>
      </c>
      <c r="AR528" t="s">
        <v>1694</v>
      </c>
      <c r="AS528" t="s">
        <v>1694</v>
      </c>
      <c r="AT528" t="s">
        <v>1694</v>
      </c>
      <c r="AU528" t="s">
        <v>1695</v>
      </c>
      <c r="AV528" t="s">
        <v>1711</v>
      </c>
      <c r="AW528" t="s">
        <v>1694</v>
      </c>
      <c r="AX528" t="s">
        <v>1695</v>
      </c>
      <c r="AY528" t="s">
        <v>1711</v>
      </c>
      <c r="AZ528" t="s">
        <v>1694</v>
      </c>
      <c r="BA528" t="s">
        <v>1694</v>
      </c>
      <c r="BB528" t="s">
        <v>1695</v>
      </c>
      <c r="BC528" t="s">
        <v>1711</v>
      </c>
      <c r="BD528" t="s">
        <v>1711</v>
      </c>
      <c r="BE528" t="s">
        <v>1695</v>
      </c>
      <c r="BF528" t="s">
        <v>1711</v>
      </c>
      <c r="BG528" s="6" t="s">
        <v>1697</v>
      </c>
      <c r="BH528" s="6" t="s">
        <v>1697</v>
      </c>
      <c r="BI528" t="b">
        <v>1</v>
      </c>
      <c r="BJ528">
        <f t="shared" si="8"/>
        <v>1</v>
      </c>
    </row>
    <row r="529" spans="1:62" x14ac:dyDescent="0.2">
      <c r="A529" s="5" t="s">
        <v>119</v>
      </c>
      <c r="B529" s="6">
        <v>38418</v>
      </c>
      <c r="C529" s="7">
        <v>33.658580999999998</v>
      </c>
      <c r="D529" s="7">
        <v>-112.037042</v>
      </c>
      <c r="E529" s="17">
        <v>475</v>
      </c>
      <c r="F529" s="11" t="s">
        <v>1694</v>
      </c>
      <c r="G529" t="s">
        <v>1694</v>
      </c>
      <c r="H529" t="s">
        <v>1694</v>
      </c>
      <c r="I529">
        <v>0</v>
      </c>
      <c r="J529" s="8">
        <v>6.4492729001605955</v>
      </c>
      <c r="K529" s="8">
        <v>78.253850372156137</v>
      </c>
      <c r="L529" s="8">
        <v>15.296876727683269</v>
      </c>
      <c r="M529" s="8">
        <v>2.9614023657720643</v>
      </c>
      <c r="N529" s="8">
        <v>0.88587777454344596</v>
      </c>
      <c r="O529" s="8">
        <v>1.0809118635068033</v>
      </c>
      <c r="P529" s="8">
        <v>1.4764629575724098E-2</v>
      </c>
      <c r="Q529" s="8">
        <v>6.4570299900032078</v>
      </c>
      <c r="R529" s="8">
        <v>3.5402300693791795</v>
      </c>
      <c r="S529" s="8">
        <v>0.83299999999999996</v>
      </c>
      <c r="T529" s="8">
        <v>0.35199999999999998</v>
      </c>
      <c r="U529" s="8">
        <v>0.10199999999999999</v>
      </c>
      <c r="V529" s="8">
        <v>0.113</v>
      </c>
      <c r="W529" s="8">
        <v>0.73099999999999998</v>
      </c>
      <c r="X529" s="8">
        <v>0.23899999999999999</v>
      </c>
      <c r="Y529" s="8">
        <v>2.7298850574712827</v>
      </c>
      <c r="Z529" s="8">
        <v>2.4967148488830424</v>
      </c>
      <c r="AA529" s="8">
        <v>8.1999999999999993</v>
      </c>
      <c r="AB529">
        <v>0.21199999999999999</v>
      </c>
      <c r="AC529" s="8">
        <v>5.0287356321839027</v>
      </c>
      <c r="AD529" s="8">
        <v>4.2049934296977707</v>
      </c>
      <c r="AE529" s="8">
        <v>4.9000000000000002E-2</v>
      </c>
      <c r="AF529" s="8">
        <v>1.7000000000000001E-2</v>
      </c>
      <c r="AG529" s="8">
        <v>1.4105001570313476</v>
      </c>
      <c r="AH529" s="8">
        <v>17</v>
      </c>
      <c r="AI529" s="8">
        <v>7.1836734693877542</v>
      </c>
      <c r="AJ529" t="s">
        <v>1694</v>
      </c>
      <c r="AK529" t="s">
        <v>1694</v>
      </c>
      <c r="AL529" t="s">
        <v>1694</v>
      </c>
      <c r="AM529" t="s">
        <v>1694</v>
      </c>
      <c r="AN529" t="s">
        <v>1694</v>
      </c>
      <c r="AO529" t="s">
        <v>1694</v>
      </c>
      <c r="AP529" t="s">
        <v>1695</v>
      </c>
      <c r="AQ529" t="s">
        <v>1694</v>
      </c>
      <c r="AR529" t="s">
        <v>1694</v>
      </c>
      <c r="AS529" t="s">
        <v>1694</v>
      </c>
      <c r="AT529" t="s">
        <v>1694</v>
      </c>
      <c r="AU529" t="s">
        <v>1695</v>
      </c>
      <c r="AV529" t="s">
        <v>1694</v>
      </c>
      <c r="AW529" t="s">
        <v>1694</v>
      </c>
      <c r="AX529" t="s">
        <v>1695</v>
      </c>
      <c r="AY529" t="s">
        <v>1711</v>
      </c>
      <c r="AZ529" t="s">
        <v>1694</v>
      </c>
      <c r="BA529" t="s">
        <v>1700</v>
      </c>
      <c r="BB529" t="s">
        <v>1695</v>
      </c>
      <c r="BC529" t="s">
        <v>1711</v>
      </c>
      <c r="BD529" t="s">
        <v>1694</v>
      </c>
      <c r="BE529" t="s">
        <v>1695</v>
      </c>
      <c r="BF529" t="s">
        <v>1711</v>
      </c>
      <c r="BG529" t="s">
        <v>1697</v>
      </c>
      <c r="BH529" t="s">
        <v>1698</v>
      </c>
      <c r="BI529" t="b">
        <v>0</v>
      </c>
      <c r="BJ529">
        <f t="shared" si="8"/>
        <v>0</v>
      </c>
    </row>
    <row r="530" spans="1:62" x14ac:dyDescent="0.2">
      <c r="A530" s="5" t="s">
        <v>119</v>
      </c>
      <c r="B530" s="6">
        <v>40291</v>
      </c>
      <c r="C530" s="7">
        <v>33.658580999999998</v>
      </c>
      <c r="D530" s="7">
        <v>-112.037042</v>
      </c>
      <c r="E530" s="17">
        <v>475</v>
      </c>
      <c r="F530" s="11" t="s">
        <v>1694</v>
      </c>
      <c r="G530" t="s">
        <v>1694</v>
      </c>
      <c r="H530" t="s">
        <v>1694</v>
      </c>
      <c r="I530">
        <v>0</v>
      </c>
      <c r="J530" s="8">
        <v>5.7672732751690221</v>
      </c>
      <c r="K530" s="8">
        <v>71.300757788774945</v>
      </c>
      <c r="L530" s="8">
        <v>22.931968936056037</v>
      </c>
      <c r="M530" s="8">
        <v>1.3818997687200409</v>
      </c>
      <c r="N530" s="8">
        <v>0.55499387751566209</v>
      </c>
      <c r="O530" s="8">
        <v>1.6501509002951078</v>
      </c>
      <c r="P530" s="8">
        <v>0.42304882491164142</v>
      </c>
      <c r="Q530" s="8">
        <v>15.247169212882113</v>
      </c>
      <c r="R530" s="8">
        <v>6.2720799887124548</v>
      </c>
      <c r="S530" s="8">
        <v>0.71399999999999997</v>
      </c>
      <c r="T530" s="8">
        <v>0.312</v>
      </c>
      <c r="U530" s="8">
        <v>2.9000000000000001E-2</v>
      </c>
      <c r="V530" s="8">
        <v>3.3000000000000002E-2</v>
      </c>
      <c r="W530" s="8">
        <v>0.68499999999999994</v>
      </c>
      <c r="X530" s="8">
        <v>0.27900000000000003</v>
      </c>
      <c r="Y530" s="8">
        <v>2.3850085178875435</v>
      </c>
      <c r="Z530" s="8">
        <v>2.1523178807946861</v>
      </c>
      <c r="AA530" s="8">
        <v>7.96</v>
      </c>
      <c r="AB530">
        <v>0.11799999999999999</v>
      </c>
      <c r="AC530" s="8">
        <v>0.51107325383306879</v>
      </c>
      <c r="AD530" s="8">
        <v>0.66225165562915445</v>
      </c>
      <c r="AE530" s="8">
        <v>3.6999999999999998E-2</v>
      </c>
      <c r="AF530" s="8">
        <v>1.7000000000000001E-2</v>
      </c>
      <c r="AG530" s="8">
        <v>1.6433778003319692</v>
      </c>
      <c r="AH530" s="8">
        <v>19.297297297297298</v>
      </c>
      <c r="AI530" s="8">
        <v>8.4324324324324333</v>
      </c>
      <c r="AJ530" t="s">
        <v>1694</v>
      </c>
      <c r="AK530" t="s">
        <v>1694</v>
      </c>
      <c r="AL530" t="s">
        <v>1694</v>
      </c>
      <c r="AM530" t="s">
        <v>1694</v>
      </c>
      <c r="AN530" t="s">
        <v>1694</v>
      </c>
      <c r="AO530" t="s">
        <v>1694</v>
      </c>
      <c r="AP530" t="s">
        <v>1695</v>
      </c>
      <c r="AQ530" t="s">
        <v>1694</v>
      </c>
      <c r="AR530" t="s">
        <v>1694</v>
      </c>
      <c r="AS530" t="s">
        <v>1694</v>
      </c>
      <c r="AT530" t="s">
        <v>1694</v>
      </c>
      <c r="AU530" t="s">
        <v>1695</v>
      </c>
      <c r="AV530" t="s">
        <v>1694</v>
      </c>
      <c r="AW530" t="s">
        <v>1694</v>
      </c>
      <c r="AX530" t="s">
        <v>1695</v>
      </c>
      <c r="AY530" t="s">
        <v>1711</v>
      </c>
      <c r="AZ530" t="s">
        <v>1694</v>
      </c>
      <c r="BA530" t="s">
        <v>1700</v>
      </c>
      <c r="BB530" t="s">
        <v>1695</v>
      </c>
      <c r="BC530" t="s">
        <v>1711</v>
      </c>
      <c r="BD530" t="s">
        <v>1694</v>
      </c>
      <c r="BE530" t="s">
        <v>1695</v>
      </c>
      <c r="BF530" t="s">
        <v>1711</v>
      </c>
      <c r="BG530" t="s">
        <v>1697</v>
      </c>
      <c r="BH530" t="s">
        <v>1698</v>
      </c>
      <c r="BI530" t="b">
        <v>1</v>
      </c>
      <c r="BJ530">
        <f t="shared" si="8"/>
        <v>1</v>
      </c>
    </row>
    <row r="531" spans="1:62" x14ac:dyDescent="0.2">
      <c r="A531" s="5" t="s">
        <v>119</v>
      </c>
      <c r="B531" s="6">
        <v>42116</v>
      </c>
      <c r="C531" s="7">
        <v>33.658580999999998</v>
      </c>
      <c r="D531" s="7">
        <v>-112.037042</v>
      </c>
      <c r="E531" s="17">
        <v>475</v>
      </c>
      <c r="F531" t="s">
        <v>1694</v>
      </c>
      <c r="G531" t="s">
        <v>1694</v>
      </c>
      <c r="H531" t="s">
        <v>1694</v>
      </c>
      <c r="I531">
        <v>0</v>
      </c>
      <c r="J531">
        <v>3.8708117592844702</v>
      </c>
      <c r="K531">
        <v>85.709174957237906</v>
      </c>
      <c r="L531">
        <v>10.4200132834776</v>
      </c>
      <c r="M531">
        <v>3.0074985857584302</v>
      </c>
      <c r="N531">
        <v>1.47031692025156</v>
      </c>
      <c r="O531">
        <v>4.4344139731620702</v>
      </c>
      <c r="P531">
        <v>5.7470304728805699</v>
      </c>
      <c r="Q531">
        <v>5.3987238331566099</v>
      </c>
      <c r="R531">
        <v>2.5307211743127098</v>
      </c>
      <c r="S531">
        <v>0.35699999999999998</v>
      </c>
      <c r="T531">
        <v>0.32900000000000001</v>
      </c>
      <c r="U531">
        <v>0.12</v>
      </c>
      <c r="V531">
        <v>0.127</v>
      </c>
      <c r="W531">
        <v>0.23699999999999999</v>
      </c>
      <c r="X531">
        <v>0.20200000000000001</v>
      </c>
      <c r="Y531">
        <v>1.50842945874002</v>
      </c>
      <c r="Z531">
        <v>1.2114537444933899</v>
      </c>
      <c r="AA531">
        <v>7.92</v>
      </c>
      <c r="AB531">
        <v>0.16</v>
      </c>
      <c r="AC531">
        <v>1.2168141592920501</v>
      </c>
      <c r="AD531">
        <v>1.4598540145985399</v>
      </c>
      <c r="AE531">
        <v>5.6000000000000001E-2</v>
      </c>
      <c r="AF531">
        <v>4.5999999999999999E-2</v>
      </c>
      <c r="AG531">
        <v>1.8172374205932791</v>
      </c>
      <c r="AH531">
        <v>6.375</v>
      </c>
      <c r="AI531">
        <v>7.1521739130434803</v>
      </c>
      <c r="AJ531" t="s">
        <v>1694</v>
      </c>
      <c r="AK531" t="s">
        <v>1694</v>
      </c>
      <c r="AL531" t="s">
        <v>1694</v>
      </c>
      <c r="AM531" t="s">
        <v>1694</v>
      </c>
      <c r="AN531" t="s">
        <v>1694</v>
      </c>
      <c r="AO531" t="s">
        <v>1694</v>
      </c>
      <c r="AP531" t="s">
        <v>1697</v>
      </c>
      <c r="AQ531" t="s">
        <v>1697</v>
      </c>
      <c r="AR531" t="s">
        <v>1694</v>
      </c>
      <c r="AS531" t="s">
        <v>1694</v>
      </c>
      <c r="AT531" t="s">
        <v>1694</v>
      </c>
      <c r="AU531" t="s">
        <v>1695</v>
      </c>
      <c r="AV531" t="s">
        <v>1694</v>
      </c>
      <c r="AW531" t="s">
        <v>1694</v>
      </c>
      <c r="AX531" t="s">
        <v>1695</v>
      </c>
      <c r="AY531" t="s">
        <v>1711</v>
      </c>
      <c r="AZ531" t="s">
        <v>1694</v>
      </c>
      <c r="BA531" t="s">
        <v>1700</v>
      </c>
      <c r="BB531" t="s">
        <v>1695</v>
      </c>
      <c r="BC531" t="s">
        <v>1711</v>
      </c>
      <c r="BD531" t="s">
        <v>1694</v>
      </c>
      <c r="BE531" t="s">
        <v>1695</v>
      </c>
      <c r="BF531" t="s">
        <v>1711</v>
      </c>
      <c r="BG531" t="s">
        <v>1697</v>
      </c>
      <c r="BH531" t="s">
        <v>1698</v>
      </c>
      <c r="BI531" t="b">
        <v>0</v>
      </c>
      <c r="BJ531">
        <f t="shared" si="8"/>
        <v>0</v>
      </c>
    </row>
    <row r="532" spans="1:62" x14ac:dyDescent="0.2">
      <c r="A532" s="5" t="s">
        <v>119</v>
      </c>
      <c r="B532" s="6">
        <v>45070</v>
      </c>
      <c r="C532" s="7">
        <v>33.658580999999998</v>
      </c>
      <c r="D532" s="7">
        <v>-112.037042</v>
      </c>
      <c r="E532" s="17">
        <v>475</v>
      </c>
      <c r="F532" t="s">
        <v>1694</v>
      </c>
      <c r="G532" t="s">
        <v>1694</v>
      </c>
      <c r="H532" t="s">
        <v>1694</v>
      </c>
      <c r="I532">
        <v>0</v>
      </c>
      <c r="J532" s="6" t="s">
        <v>1697</v>
      </c>
      <c r="K532" s="6" t="s">
        <v>1697</v>
      </c>
      <c r="L532" s="6" t="s">
        <v>1697</v>
      </c>
      <c r="M532" s="6" t="s">
        <v>1697</v>
      </c>
      <c r="N532" s="6" t="s">
        <v>1697</v>
      </c>
      <c r="O532" s="6" t="s">
        <v>1697</v>
      </c>
      <c r="P532" s="6" t="s">
        <v>1697</v>
      </c>
      <c r="Q532" s="6" t="s">
        <v>1697</v>
      </c>
      <c r="R532" s="6" t="s">
        <v>1697</v>
      </c>
      <c r="S532" s="6" t="s">
        <v>1697</v>
      </c>
      <c r="T532" s="6" t="s">
        <v>1697</v>
      </c>
      <c r="U532" s="6" t="s">
        <v>1697</v>
      </c>
      <c r="V532" s="6" t="s">
        <v>1697</v>
      </c>
      <c r="W532" s="6" t="s">
        <v>1697</v>
      </c>
      <c r="X532" s="6" t="s">
        <v>1697</v>
      </c>
      <c r="Y532" s="6" t="s">
        <v>1697</v>
      </c>
      <c r="Z532" s="6" t="s">
        <v>1697</v>
      </c>
      <c r="AA532" s="6" t="s">
        <v>1697</v>
      </c>
      <c r="AB532" s="6" t="s">
        <v>1697</v>
      </c>
      <c r="AC532" s="6" t="s">
        <v>1697</v>
      </c>
      <c r="AD532" s="6" t="s">
        <v>1697</v>
      </c>
      <c r="AE532" s="6" t="s">
        <v>1697</v>
      </c>
      <c r="AF532" s="6" t="s">
        <v>1697</v>
      </c>
      <c r="AG532" s="6" t="s">
        <v>1697</v>
      </c>
      <c r="AH532" s="6" t="s">
        <v>1697</v>
      </c>
      <c r="AI532" s="6" t="s">
        <v>1697</v>
      </c>
      <c r="AJ532" t="s">
        <v>1694</v>
      </c>
      <c r="AK532" t="s">
        <v>1694</v>
      </c>
      <c r="AL532" t="s">
        <v>1694</v>
      </c>
      <c r="AM532" t="s">
        <v>1694</v>
      </c>
      <c r="AN532" t="s">
        <v>1694</v>
      </c>
      <c r="AO532" t="s">
        <v>1694</v>
      </c>
      <c r="AP532" t="s">
        <v>1697</v>
      </c>
      <c r="AQ532" t="s">
        <v>1697</v>
      </c>
      <c r="AR532" t="s">
        <v>1694</v>
      </c>
      <c r="AS532" t="s">
        <v>1694</v>
      </c>
      <c r="AT532" t="s">
        <v>1694</v>
      </c>
      <c r="AU532" t="s">
        <v>1695</v>
      </c>
      <c r="AV532" t="s">
        <v>1694</v>
      </c>
      <c r="AW532" t="s">
        <v>1694</v>
      </c>
      <c r="AX532" t="s">
        <v>1695</v>
      </c>
      <c r="AY532" t="s">
        <v>1711</v>
      </c>
      <c r="AZ532" t="s">
        <v>1694</v>
      </c>
      <c r="BA532" t="s">
        <v>1700</v>
      </c>
      <c r="BB532" t="s">
        <v>1695</v>
      </c>
      <c r="BC532" t="s">
        <v>1711</v>
      </c>
      <c r="BD532" t="s">
        <v>1694</v>
      </c>
      <c r="BE532" t="s">
        <v>1695</v>
      </c>
      <c r="BF532" t="s">
        <v>1711</v>
      </c>
      <c r="BG532" s="6" t="s">
        <v>1697</v>
      </c>
      <c r="BH532" s="6" t="s">
        <v>1697</v>
      </c>
      <c r="BI532" t="b">
        <v>1</v>
      </c>
      <c r="BJ532">
        <f t="shared" si="8"/>
        <v>1</v>
      </c>
    </row>
    <row r="533" spans="1:62" x14ac:dyDescent="0.2">
      <c r="A533" s="5" t="s">
        <v>120</v>
      </c>
      <c r="B533" s="6">
        <v>38413</v>
      </c>
      <c r="C533" s="7">
        <v>33.621228000000002</v>
      </c>
      <c r="D533" s="7">
        <v>-112.040983</v>
      </c>
      <c r="E533" s="17">
        <v>451</v>
      </c>
      <c r="F533" t="s">
        <v>1706</v>
      </c>
      <c r="G533" t="s">
        <v>1724</v>
      </c>
      <c r="H533" t="s">
        <v>1724</v>
      </c>
      <c r="I533">
        <v>1</v>
      </c>
      <c r="J533" s="8">
        <v>11.481759406672197</v>
      </c>
      <c r="K533" s="8">
        <v>70.187058527401831</v>
      </c>
      <c r="L533" s="8">
        <v>18.331182065925972</v>
      </c>
      <c r="M533" s="8">
        <v>1.3654224984724022</v>
      </c>
      <c r="N533" s="8">
        <v>0.90665777443025319</v>
      </c>
      <c r="O533" s="8">
        <v>1.9180935097588503</v>
      </c>
      <c r="P533" s="8">
        <v>0.479233395055991</v>
      </c>
      <c r="Q533" s="8">
        <v>3.5452140578223292</v>
      </c>
      <c r="R533" s="8">
        <v>5.6316144829213144</v>
      </c>
      <c r="S533" s="8">
        <v>3.7040000000000002</v>
      </c>
      <c r="T533" s="8">
        <v>3.7850000000000001</v>
      </c>
      <c r="U533" s="8">
        <v>3.1739999999999999</v>
      </c>
      <c r="V533" s="8">
        <v>3.22</v>
      </c>
      <c r="W533" s="8">
        <v>0.53000000000000025</v>
      </c>
      <c r="X533" s="8">
        <v>0.56499999999999995</v>
      </c>
      <c r="Y533" s="8">
        <v>3.7151702786377743</v>
      </c>
      <c r="Z533" s="8">
        <v>4.0000000000000036</v>
      </c>
      <c r="AA533" s="8">
        <v>8.58</v>
      </c>
      <c r="AB533">
        <v>0.154</v>
      </c>
      <c r="AC533" s="8">
        <v>14.551083591331263</v>
      </c>
      <c r="AD533" s="8">
        <v>14.66666666666668</v>
      </c>
      <c r="AE533" s="8">
        <v>2.7E-2</v>
      </c>
      <c r="AF533" s="8">
        <v>2.4E-2</v>
      </c>
      <c r="AG533" s="8">
        <v>1.1323713438419571</v>
      </c>
      <c r="AH533" s="8">
        <v>137.18518518518519</v>
      </c>
      <c r="AI533" s="8">
        <v>140.18518518518519</v>
      </c>
      <c r="AJ533" t="s">
        <v>1694</v>
      </c>
      <c r="AK533" t="s">
        <v>1694</v>
      </c>
      <c r="AL533" t="s">
        <v>1694</v>
      </c>
      <c r="AM533" t="s">
        <v>1694</v>
      </c>
      <c r="AN533" t="s">
        <v>1694</v>
      </c>
      <c r="AO533" t="s">
        <v>1694</v>
      </c>
      <c r="AP533" t="s">
        <v>1695</v>
      </c>
      <c r="AQ533" t="s">
        <v>1694</v>
      </c>
      <c r="AR533" t="s">
        <v>1694</v>
      </c>
      <c r="AS533" t="s">
        <v>1694</v>
      </c>
      <c r="AT533" t="s">
        <v>1694</v>
      </c>
      <c r="AU533" t="s">
        <v>1695</v>
      </c>
      <c r="AV533" t="s">
        <v>1711</v>
      </c>
      <c r="AW533" t="s">
        <v>1711</v>
      </c>
      <c r="AX533" t="s">
        <v>1695</v>
      </c>
      <c r="AY533" t="s">
        <v>1711</v>
      </c>
      <c r="AZ533" t="s">
        <v>1711</v>
      </c>
      <c r="BA533" t="s">
        <v>1700</v>
      </c>
      <c r="BB533" t="s">
        <v>1734</v>
      </c>
      <c r="BC533" t="s">
        <v>1734</v>
      </c>
      <c r="BD533" t="s">
        <v>1700</v>
      </c>
      <c r="BE533" t="s">
        <v>1706</v>
      </c>
      <c r="BF533" t="s">
        <v>1723</v>
      </c>
      <c r="BG533">
        <v>15</v>
      </c>
      <c r="BH533" s="12" t="s">
        <v>1708</v>
      </c>
      <c r="BI533" t="b">
        <v>0</v>
      </c>
      <c r="BJ533">
        <f t="shared" si="8"/>
        <v>0</v>
      </c>
    </row>
    <row r="534" spans="1:62" x14ac:dyDescent="0.2">
      <c r="A534" s="5" t="s">
        <v>120</v>
      </c>
      <c r="B534" s="6">
        <v>40330</v>
      </c>
      <c r="C534" s="7">
        <v>33.621228000000002</v>
      </c>
      <c r="D534" s="7">
        <v>-112.040983</v>
      </c>
      <c r="E534" s="17">
        <v>451</v>
      </c>
      <c r="F534" t="s">
        <v>1706</v>
      </c>
      <c r="G534" t="s">
        <v>1724</v>
      </c>
      <c r="H534" t="s">
        <v>1724</v>
      </c>
      <c r="I534">
        <v>1</v>
      </c>
      <c r="J534" t="s">
        <v>1697</v>
      </c>
      <c r="K534" t="s">
        <v>1697</v>
      </c>
      <c r="L534" t="s">
        <v>1697</v>
      </c>
      <c r="M534" t="s">
        <v>1697</v>
      </c>
      <c r="N534" t="s">
        <v>1697</v>
      </c>
      <c r="O534" t="s">
        <v>1697</v>
      </c>
      <c r="P534" t="s">
        <v>1697</v>
      </c>
      <c r="Q534" t="s">
        <v>1697</v>
      </c>
      <c r="R534" t="s">
        <v>1697</v>
      </c>
      <c r="S534" t="s">
        <v>1697</v>
      </c>
      <c r="T534" t="s">
        <v>1697</v>
      </c>
      <c r="U534" t="s">
        <v>1697</v>
      </c>
      <c r="V534" t="s">
        <v>1697</v>
      </c>
      <c r="W534" t="s">
        <v>1697</v>
      </c>
      <c r="X534" t="s">
        <v>1697</v>
      </c>
      <c r="Y534" t="s">
        <v>1697</v>
      </c>
      <c r="Z534" t="s">
        <v>1697</v>
      </c>
      <c r="AA534" t="s">
        <v>1697</v>
      </c>
      <c r="AB534" t="s">
        <v>1697</v>
      </c>
      <c r="AC534" t="s">
        <v>1697</v>
      </c>
      <c r="AD534" t="s">
        <v>1697</v>
      </c>
      <c r="AE534" t="s">
        <v>1697</v>
      </c>
      <c r="AF534" t="s">
        <v>1697</v>
      </c>
      <c r="AG534" t="s">
        <v>1697</v>
      </c>
      <c r="AH534" t="s">
        <v>1697</v>
      </c>
      <c r="AI534" t="s">
        <v>1697</v>
      </c>
      <c r="AJ534" t="s">
        <v>1694</v>
      </c>
      <c r="AK534" t="s">
        <v>1694</v>
      </c>
      <c r="AL534" t="s">
        <v>1694</v>
      </c>
      <c r="AM534" t="s">
        <v>1694</v>
      </c>
      <c r="AN534" t="s">
        <v>1694</v>
      </c>
      <c r="AO534" t="s">
        <v>1694</v>
      </c>
      <c r="AP534" t="s">
        <v>1695</v>
      </c>
      <c r="AQ534" t="s">
        <v>1694</v>
      </c>
      <c r="AR534" t="s">
        <v>1694</v>
      </c>
      <c r="AS534" t="s">
        <v>1694</v>
      </c>
      <c r="AT534" t="s">
        <v>1694</v>
      </c>
      <c r="AU534" t="s">
        <v>1695</v>
      </c>
      <c r="AV534" t="s">
        <v>1711</v>
      </c>
      <c r="AW534" t="s">
        <v>1711</v>
      </c>
      <c r="AX534" t="s">
        <v>1695</v>
      </c>
      <c r="AY534" t="s">
        <v>1711</v>
      </c>
      <c r="AZ534" t="s">
        <v>1711</v>
      </c>
      <c r="BA534" t="s">
        <v>1700</v>
      </c>
      <c r="BB534" t="s">
        <v>1734</v>
      </c>
      <c r="BC534" t="s">
        <v>1734</v>
      </c>
      <c r="BD534" t="s">
        <v>1700</v>
      </c>
      <c r="BE534" t="s">
        <v>1706</v>
      </c>
      <c r="BF534" t="s">
        <v>1723</v>
      </c>
      <c r="BG534" s="6" t="s">
        <v>1697</v>
      </c>
      <c r="BH534" s="6" t="s">
        <v>1697</v>
      </c>
      <c r="BI534" t="b">
        <v>0</v>
      </c>
      <c r="BJ534">
        <f t="shared" si="8"/>
        <v>0</v>
      </c>
    </row>
    <row r="535" spans="1:62" x14ac:dyDescent="0.2">
      <c r="A535" s="5" t="s">
        <v>120</v>
      </c>
      <c r="B535" s="6">
        <v>42174</v>
      </c>
      <c r="C535" s="7">
        <v>33.621228000000002</v>
      </c>
      <c r="D535" s="7">
        <v>-112.040983</v>
      </c>
      <c r="E535" s="17">
        <v>451</v>
      </c>
      <c r="F535" t="s">
        <v>1706</v>
      </c>
      <c r="G535" t="s">
        <v>1724</v>
      </c>
      <c r="H535" t="s">
        <v>1724</v>
      </c>
      <c r="I535">
        <v>1</v>
      </c>
      <c r="J535">
        <v>8.7820210547114907</v>
      </c>
      <c r="K535">
        <v>66.093582725945097</v>
      </c>
      <c r="L535">
        <v>25.124396219343499</v>
      </c>
      <c r="M535">
        <v>2.2564282789462902</v>
      </c>
      <c r="N535" t="s">
        <v>1697</v>
      </c>
      <c r="O535">
        <v>49.260053976996403</v>
      </c>
      <c r="P535" t="s">
        <v>1697</v>
      </c>
      <c r="Q535">
        <v>4.1054597913478803</v>
      </c>
      <c r="R535" t="s">
        <v>1697</v>
      </c>
      <c r="S535">
        <v>2.8719999999999999</v>
      </c>
      <c r="T535" t="s">
        <v>1697</v>
      </c>
      <c r="U535">
        <v>2.1840000000000002</v>
      </c>
      <c r="V535" t="s">
        <v>1697</v>
      </c>
      <c r="W535">
        <v>0.68799999999999994</v>
      </c>
      <c r="X535" t="s">
        <v>1697</v>
      </c>
      <c r="Y535">
        <v>0.19493177387913799</v>
      </c>
      <c r="Z535" t="s">
        <v>1697</v>
      </c>
      <c r="AA535">
        <v>8.4600000000000009</v>
      </c>
      <c r="AB535">
        <v>0.93300000000000005</v>
      </c>
      <c r="AC535">
        <v>4.4520547945205404</v>
      </c>
      <c r="AD535" t="s">
        <v>1697</v>
      </c>
      <c r="AE535">
        <v>0.05</v>
      </c>
      <c r="AF535" t="s">
        <v>1697</v>
      </c>
      <c r="AG535">
        <v>1.2855771796344411</v>
      </c>
      <c r="AH535">
        <v>57.44</v>
      </c>
      <c r="AI535" t="s">
        <v>1697</v>
      </c>
      <c r="AJ535" t="s">
        <v>1694</v>
      </c>
      <c r="AK535" t="s">
        <v>1694</v>
      </c>
      <c r="AL535" t="s">
        <v>1694</v>
      </c>
      <c r="AM535" t="s">
        <v>1694</v>
      </c>
      <c r="AN535" t="s">
        <v>1694</v>
      </c>
      <c r="AO535" t="s">
        <v>1694</v>
      </c>
      <c r="AP535" t="s">
        <v>1697</v>
      </c>
      <c r="AQ535" t="s">
        <v>1697</v>
      </c>
      <c r="AR535" t="s">
        <v>1694</v>
      </c>
      <c r="AS535" t="s">
        <v>1694</v>
      </c>
      <c r="AT535" t="s">
        <v>1694</v>
      </c>
      <c r="AU535" t="s">
        <v>1695</v>
      </c>
      <c r="AV535" t="s">
        <v>1711</v>
      </c>
      <c r="AW535" t="s">
        <v>1711</v>
      </c>
      <c r="AX535" t="s">
        <v>1695</v>
      </c>
      <c r="AY535" t="s">
        <v>1711</v>
      </c>
      <c r="AZ535" t="s">
        <v>1711</v>
      </c>
      <c r="BA535" t="s">
        <v>1700</v>
      </c>
      <c r="BB535" t="s">
        <v>1734</v>
      </c>
      <c r="BC535" t="s">
        <v>1734</v>
      </c>
      <c r="BD535" t="s">
        <v>1700</v>
      </c>
      <c r="BE535" t="s">
        <v>1706</v>
      </c>
      <c r="BF535" t="s">
        <v>1723</v>
      </c>
      <c r="BG535">
        <v>25</v>
      </c>
      <c r="BH535" t="s">
        <v>1709</v>
      </c>
      <c r="BI535" t="b">
        <v>0</v>
      </c>
      <c r="BJ535">
        <f t="shared" si="8"/>
        <v>0</v>
      </c>
    </row>
    <row r="536" spans="1:62" x14ac:dyDescent="0.2">
      <c r="A536" s="5" t="s">
        <v>120</v>
      </c>
      <c r="B536" s="6">
        <v>45062</v>
      </c>
      <c r="C536" s="7">
        <v>33.621228000000002</v>
      </c>
      <c r="D536" s="7">
        <v>-112.040983</v>
      </c>
      <c r="E536" s="17">
        <v>451</v>
      </c>
      <c r="F536" t="s">
        <v>1706</v>
      </c>
      <c r="G536" t="s">
        <v>1724</v>
      </c>
      <c r="H536" t="s">
        <v>1724</v>
      </c>
      <c r="I536">
        <v>1</v>
      </c>
      <c r="J536" t="s">
        <v>1697</v>
      </c>
      <c r="K536" t="s">
        <v>1697</v>
      </c>
      <c r="L536" t="s">
        <v>1697</v>
      </c>
      <c r="M536" t="s">
        <v>1697</v>
      </c>
      <c r="N536" t="s">
        <v>1697</v>
      </c>
      <c r="O536" t="s">
        <v>1697</v>
      </c>
      <c r="P536" t="s">
        <v>1697</v>
      </c>
      <c r="Q536" t="s">
        <v>1697</v>
      </c>
      <c r="R536" t="s">
        <v>1697</v>
      </c>
      <c r="S536" t="s">
        <v>1697</v>
      </c>
      <c r="T536" t="s">
        <v>1697</v>
      </c>
      <c r="U536" t="s">
        <v>1697</v>
      </c>
      <c r="V536" t="s">
        <v>1697</v>
      </c>
      <c r="W536" t="s">
        <v>1697</v>
      </c>
      <c r="X536" t="s">
        <v>1697</v>
      </c>
      <c r="Y536" t="s">
        <v>1697</v>
      </c>
      <c r="Z536" t="s">
        <v>1697</v>
      </c>
      <c r="AA536" t="s">
        <v>1697</v>
      </c>
      <c r="AB536" t="s">
        <v>1697</v>
      </c>
      <c r="AC536" t="s">
        <v>1697</v>
      </c>
      <c r="AD536" t="s">
        <v>1697</v>
      </c>
      <c r="AE536" t="s">
        <v>1697</v>
      </c>
      <c r="AF536" t="s">
        <v>1697</v>
      </c>
      <c r="AG536" t="s">
        <v>1697</v>
      </c>
      <c r="AH536" t="s">
        <v>1697</v>
      </c>
      <c r="AI536" t="s">
        <v>1697</v>
      </c>
      <c r="AJ536" t="s">
        <v>1694</v>
      </c>
      <c r="AK536" t="s">
        <v>1694</v>
      </c>
      <c r="AL536" t="s">
        <v>1694</v>
      </c>
      <c r="AM536" t="s">
        <v>1694</v>
      </c>
      <c r="AN536" t="s">
        <v>1694</v>
      </c>
      <c r="AO536" t="s">
        <v>1694</v>
      </c>
      <c r="AP536" t="s">
        <v>1695</v>
      </c>
      <c r="AQ536" t="s">
        <v>1694</v>
      </c>
      <c r="AR536" t="s">
        <v>1694</v>
      </c>
      <c r="AS536" t="s">
        <v>1694</v>
      </c>
      <c r="AT536" t="s">
        <v>1694</v>
      </c>
      <c r="AU536" t="s">
        <v>1695</v>
      </c>
      <c r="AV536" t="s">
        <v>1711</v>
      </c>
      <c r="AW536" t="s">
        <v>1711</v>
      </c>
      <c r="AX536" t="s">
        <v>1695</v>
      </c>
      <c r="AY536" t="s">
        <v>1711</v>
      </c>
      <c r="AZ536" t="s">
        <v>1711</v>
      </c>
      <c r="BA536" t="s">
        <v>1700</v>
      </c>
      <c r="BB536" t="s">
        <v>1734</v>
      </c>
      <c r="BC536" t="s">
        <v>1734</v>
      </c>
      <c r="BD536" t="s">
        <v>1700</v>
      </c>
      <c r="BE536" t="s">
        <v>1706</v>
      </c>
      <c r="BF536" t="s">
        <v>1723</v>
      </c>
      <c r="BG536" s="6" t="s">
        <v>1697</v>
      </c>
      <c r="BH536" s="6" t="s">
        <v>1697</v>
      </c>
      <c r="BI536" t="b">
        <v>0</v>
      </c>
      <c r="BJ536">
        <f t="shared" si="8"/>
        <v>0</v>
      </c>
    </row>
    <row r="537" spans="1:62" x14ac:dyDescent="0.2">
      <c r="A537" s="5" t="s">
        <v>121</v>
      </c>
      <c r="B537" s="6">
        <v>40330</v>
      </c>
      <c r="C537" s="7">
        <v>33.582985999999998</v>
      </c>
      <c r="D537" s="7">
        <v>-112.02250600000001</v>
      </c>
      <c r="E537" s="17">
        <v>441</v>
      </c>
      <c r="F537" t="s">
        <v>1697</v>
      </c>
      <c r="G537" t="s">
        <v>1697</v>
      </c>
      <c r="H537" t="s">
        <v>1697</v>
      </c>
      <c r="I537" t="s">
        <v>1697</v>
      </c>
      <c r="J537" t="s">
        <v>1697</v>
      </c>
      <c r="K537" t="s">
        <v>1697</v>
      </c>
      <c r="L537" t="s">
        <v>1697</v>
      </c>
      <c r="M537" t="s">
        <v>1697</v>
      </c>
      <c r="N537" t="s">
        <v>1697</v>
      </c>
      <c r="O537" t="s">
        <v>1697</v>
      </c>
      <c r="P537" t="s">
        <v>1697</v>
      </c>
      <c r="Q537" t="s">
        <v>1697</v>
      </c>
      <c r="R537" t="s">
        <v>1697</v>
      </c>
      <c r="S537" t="s">
        <v>1697</v>
      </c>
      <c r="T537" t="s">
        <v>1697</v>
      </c>
      <c r="U537" t="s">
        <v>1697</v>
      </c>
      <c r="V537" t="s">
        <v>1697</v>
      </c>
      <c r="W537" t="s">
        <v>1697</v>
      </c>
      <c r="X537" t="s">
        <v>1697</v>
      </c>
      <c r="Y537" t="s">
        <v>1697</v>
      </c>
      <c r="Z537" t="s">
        <v>1697</v>
      </c>
      <c r="AA537" t="s">
        <v>1697</v>
      </c>
      <c r="AB537" t="s">
        <v>1697</v>
      </c>
      <c r="AC537" t="s">
        <v>1697</v>
      </c>
      <c r="AD537" t="s">
        <v>1697</v>
      </c>
      <c r="AE537" t="s">
        <v>1697</v>
      </c>
      <c r="AF537" t="s">
        <v>1697</v>
      </c>
      <c r="AG537" t="s">
        <v>1697</v>
      </c>
      <c r="AH537" t="s">
        <v>1697</v>
      </c>
      <c r="AI537" t="s">
        <v>1697</v>
      </c>
      <c r="AJ537" t="s">
        <v>1694</v>
      </c>
      <c r="AK537" t="s">
        <v>1694</v>
      </c>
      <c r="AL537" t="s">
        <v>1694</v>
      </c>
      <c r="AM537" t="s">
        <v>1694</v>
      </c>
      <c r="AN537" t="s">
        <v>1694</v>
      </c>
      <c r="AO537" t="s">
        <v>1694</v>
      </c>
      <c r="AP537" t="s">
        <v>1695</v>
      </c>
      <c r="AQ537" t="s">
        <v>1694</v>
      </c>
      <c r="AR537" t="s">
        <v>1694</v>
      </c>
      <c r="AS537" t="s">
        <v>1700</v>
      </c>
      <c r="AT537" t="s">
        <v>1700</v>
      </c>
      <c r="AU537" t="s">
        <v>1755</v>
      </c>
      <c r="AV537" t="s">
        <v>1756</v>
      </c>
      <c r="AW537" t="s">
        <v>1700</v>
      </c>
      <c r="AX537" t="s">
        <v>1755</v>
      </c>
      <c r="AY537" t="s">
        <v>1756</v>
      </c>
      <c r="AZ537" t="s">
        <v>1700</v>
      </c>
      <c r="BA537" t="s">
        <v>1700</v>
      </c>
      <c r="BB537" t="s">
        <v>1755</v>
      </c>
      <c r="BC537" t="s">
        <v>1756</v>
      </c>
      <c r="BD537" t="s">
        <v>1700</v>
      </c>
      <c r="BE537" t="s">
        <v>1755</v>
      </c>
      <c r="BF537" t="s">
        <v>1756</v>
      </c>
      <c r="BG537" s="6" t="s">
        <v>1697</v>
      </c>
      <c r="BH537" s="6" t="s">
        <v>1697</v>
      </c>
      <c r="BI537" t="b">
        <v>0</v>
      </c>
      <c r="BJ537">
        <f t="shared" si="8"/>
        <v>0</v>
      </c>
    </row>
    <row r="538" spans="1:62" x14ac:dyDescent="0.2">
      <c r="A538" s="5" t="s">
        <v>121</v>
      </c>
      <c r="B538" s="6">
        <v>42153</v>
      </c>
      <c r="C538" s="7">
        <v>33.582985999999998</v>
      </c>
      <c r="D538" s="7">
        <v>-112.02250600000001</v>
      </c>
      <c r="E538" s="17">
        <v>441</v>
      </c>
      <c r="F538" t="s">
        <v>1700</v>
      </c>
      <c r="G538" t="s">
        <v>1755</v>
      </c>
      <c r="H538" t="s">
        <v>1755</v>
      </c>
      <c r="I538">
        <v>1</v>
      </c>
      <c r="J538">
        <v>9.6663989331748805</v>
      </c>
      <c r="K538">
        <v>76.587709139121003</v>
      </c>
      <c r="L538">
        <v>13.745891927704101</v>
      </c>
      <c r="M538">
        <v>5.8553621373239002</v>
      </c>
      <c r="N538" t="s">
        <v>1697</v>
      </c>
      <c r="O538">
        <v>12.142799343305301</v>
      </c>
      <c r="P538" t="s">
        <v>1697</v>
      </c>
      <c r="Q538">
        <v>13.050392537587101</v>
      </c>
      <c r="R538" t="s">
        <v>1697</v>
      </c>
      <c r="S538">
        <v>0.90400000000000003</v>
      </c>
      <c r="T538" t="s">
        <v>1697</v>
      </c>
      <c r="U538">
        <v>0.29299999999999998</v>
      </c>
      <c r="V538" t="s">
        <v>1697</v>
      </c>
      <c r="W538">
        <v>0.61099999999999999</v>
      </c>
      <c r="X538" t="s">
        <v>1697</v>
      </c>
      <c r="Y538">
        <v>1.59313725490197</v>
      </c>
      <c r="Z538" t="s">
        <v>1697</v>
      </c>
      <c r="AA538">
        <v>8.1999999999999993</v>
      </c>
      <c r="AB538">
        <v>0.26300000000000001</v>
      </c>
      <c r="AC538">
        <v>3.3783783783783701</v>
      </c>
      <c r="AD538" t="s">
        <v>1697</v>
      </c>
      <c r="AE538">
        <v>5.8000000000000003E-2</v>
      </c>
      <c r="AF538" t="s">
        <v>1697</v>
      </c>
      <c r="AG538">
        <v>1.2394401292957078</v>
      </c>
      <c r="AH538">
        <v>15.586206896551699</v>
      </c>
      <c r="AI538" t="s">
        <v>1697</v>
      </c>
      <c r="AJ538" t="s">
        <v>1694</v>
      </c>
      <c r="AK538" t="s">
        <v>1694</v>
      </c>
      <c r="AL538" t="s">
        <v>1694</v>
      </c>
      <c r="AM538" t="s">
        <v>1694</v>
      </c>
      <c r="AN538" t="s">
        <v>1694</v>
      </c>
      <c r="AO538" t="s">
        <v>1694</v>
      </c>
      <c r="AP538" t="s">
        <v>1695</v>
      </c>
      <c r="AQ538" t="s">
        <v>1694</v>
      </c>
      <c r="AR538" t="s">
        <v>1694</v>
      </c>
      <c r="AS538" t="s">
        <v>1700</v>
      </c>
      <c r="AT538" t="s">
        <v>1700</v>
      </c>
      <c r="AU538" t="s">
        <v>1755</v>
      </c>
      <c r="AV538" t="s">
        <v>1756</v>
      </c>
      <c r="AW538" t="s">
        <v>1700</v>
      </c>
      <c r="AX538" t="s">
        <v>1755</v>
      </c>
      <c r="AY538" t="s">
        <v>1756</v>
      </c>
      <c r="AZ538" t="s">
        <v>1700</v>
      </c>
      <c r="BA538" t="s">
        <v>1700</v>
      </c>
      <c r="BB538" t="s">
        <v>1755</v>
      </c>
      <c r="BC538" t="s">
        <v>1756</v>
      </c>
      <c r="BD538" t="s">
        <v>1700</v>
      </c>
      <c r="BE538" t="s">
        <v>1755</v>
      </c>
      <c r="BF538" t="s">
        <v>1756</v>
      </c>
      <c r="BG538">
        <v>45</v>
      </c>
      <c r="BH538" t="s">
        <v>1729</v>
      </c>
      <c r="BI538" t="b">
        <v>1</v>
      </c>
      <c r="BJ538">
        <f t="shared" si="8"/>
        <v>1</v>
      </c>
    </row>
    <row r="539" spans="1:62" x14ac:dyDescent="0.2">
      <c r="A539" s="5" t="s">
        <v>122</v>
      </c>
      <c r="B539" s="6">
        <v>36627</v>
      </c>
      <c r="C539" s="7">
        <v>33.552168999999999</v>
      </c>
      <c r="D539" s="7">
        <v>-112.054761</v>
      </c>
      <c r="E539" s="17">
        <v>384</v>
      </c>
      <c r="F539" t="s">
        <v>1706</v>
      </c>
      <c r="G539" t="s">
        <v>1710</v>
      </c>
      <c r="H539" t="s">
        <v>1710</v>
      </c>
      <c r="I539">
        <v>1</v>
      </c>
      <c r="J539" s="8">
        <v>11.95433741063399</v>
      </c>
      <c r="K539" s="8">
        <v>71.543705531065072</v>
      </c>
      <c r="L539" s="8">
        <v>16.501957058300945</v>
      </c>
      <c r="M539" s="8">
        <v>7.1651387924274701</v>
      </c>
      <c r="N539" s="8">
        <v>6.5458380681213599</v>
      </c>
      <c r="O539" s="8">
        <v>46.552492492120656</v>
      </c>
      <c r="P539" s="8">
        <v>16.908615651498984</v>
      </c>
      <c r="Q539" s="8">
        <v>31.733091684947563</v>
      </c>
      <c r="R539" s="8">
        <v>7.7984613683033208</v>
      </c>
      <c r="S539" s="8">
        <v>1.488</v>
      </c>
      <c r="T539" s="8">
        <v>0.873</v>
      </c>
      <c r="U539" s="8">
        <v>0.39800000000000002</v>
      </c>
      <c r="V539" s="8">
        <v>0.36599999999999999</v>
      </c>
      <c r="W539" s="8">
        <v>1.0900000000000001</v>
      </c>
      <c r="X539" s="8">
        <v>0.50700000000000001</v>
      </c>
      <c r="Y539" s="8">
        <v>2.88097</v>
      </c>
      <c r="Z539" s="8">
        <v>1.8348599999999999</v>
      </c>
      <c r="AA539" s="9">
        <v>7.26</v>
      </c>
      <c r="AB539" s="10">
        <v>0.64200000000000002</v>
      </c>
      <c r="AC539" s="8">
        <v>7.1029900000000001</v>
      </c>
      <c r="AD539" s="8">
        <v>7.3082900000000004</v>
      </c>
      <c r="AE539" s="8">
        <v>9.9000000000000005E-2</v>
      </c>
      <c r="AF539" s="8">
        <v>4.2999999999999997E-2</v>
      </c>
      <c r="AG539" s="8">
        <v>1.3589105889505608</v>
      </c>
      <c r="AH539" s="8">
        <v>15.030303030303029</v>
      </c>
      <c r="AI539" s="8">
        <v>8.8181818181818183</v>
      </c>
      <c r="AJ539" t="s">
        <v>1694</v>
      </c>
      <c r="AK539" t="s">
        <v>1694</v>
      </c>
      <c r="AL539" t="s">
        <v>1694</v>
      </c>
      <c r="AM539" t="s">
        <v>1694</v>
      </c>
      <c r="AN539" t="s">
        <v>1700</v>
      </c>
      <c r="AO539" t="s">
        <v>1700</v>
      </c>
      <c r="AP539" t="s">
        <v>1697</v>
      </c>
      <c r="AQ539" t="s">
        <v>1697</v>
      </c>
      <c r="AR539" t="s">
        <v>1700</v>
      </c>
      <c r="AS539" t="s">
        <v>1700</v>
      </c>
      <c r="AT539" t="s">
        <v>1700</v>
      </c>
      <c r="AU539" t="s">
        <v>1706</v>
      </c>
      <c r="AV539" t="s">
        <v>1723</v>
      </c>
      <c r="AW539" t="s">
        <v>1706</v>
      </c>
      <c r="AX539" t="s">
        <v>1706</v>
      </c>
      <c r="AY539" t="s">
        <v>1723</v>
      </c>
      <c r="AZ539" t="s">
        <v>1706</v>
      </c>
      <c r="BA539" t="s">
        <v>1700</v>
      </c>
      <c r="BB539" t="s">
        <v>1706</v>
      </c>
      <c r="BC539" t="s">
        <v>1723</v>
      </c>
      <c r="BD539" t="s">
        <v>1706</v>
      </c>
      <c r="BE539" t="s">
        <v>1706</v>
      </c>
      <c r="BF539" t="s">
        <v>1723</v>
      </c>
      <c r="BG539">
        <v>66</v>
      </c>
      <c r="BH539" s="12" t="s">
        <v>1712</v>
      </c>
      <c r="BI539" t="b">
        <v>0</v>
      </c>
      <c r="BJ539">
        <f t="shared" si="8"/>
        <v>0</v>
      </c>
    </row>
    <row r="540" spans="1:62" x14ac:dyDescent="0.2">
      <c r="A540" s="5" t="s">
        <v>122</v>
      </c>
      <c r="B540" s="6">
        <v>38421</v>
      </c>
      <c r="C540" s="7">
        <v>33.552168999999999</v>
      </c>
      <c r="D540" s="7">
        <v>-112.054761</v>
      </c>
      <c r="E540" s="17">
        <v>384</v>
      </c>
      <c r="F540" t="s">
        <v>1706</v>
      </c>
      <c r="G540" t="s">
        <v>1728</v>
      </c>
      <c r="H540" t="s">
        <v>1728</v>
      </c>
      <c r="I540">
        <v>1</v>
      </c>
      <c r="J540" s="8">
        <v>10.78094245534035</v>
      </c>
      <c r="K540" s="8">
        <v>80.054872588498469</v>
      </c>
      <c r="L540" s="8">
        <v>9.1641849561611792</v>
      </c>
      <c r="M540" s="8">
        <v>2.8872724556085938</v>
      </c>
      <c r="N540" s="8">
        <v>1.9030979433106197</v>
      </c>
      <c r="O540" s="8">
        <v>6.2988128044724325</v>
      </c>
      <c r="P540" s="8">
        <v>0.83443525206696401</v>
      </c>
      <c r="Q540" s="8">
        <v>52.831674618272451</v>
      </c>
      <c r="R540" s="8">
        <v>9.2583299111023347</v>
      </c>
      <c r="S540" s="8">
        <v>1.9139999999999999</v>
      </c>
      <c r="T540" s="8">
        <v>0.86499999999999999</v>
      </c>
      <c r="U540" s="8">
        <v>0.64700000000000002</v>
      </c>
      <c r="V540" s="8">
        <v>0.63800000000000001</v>
      </c>
      <c r="W540" s="8">
        <v>1.2669999999999999</v>
      </c>
      <c r="X540" s="8">
        <v>0.22699999999999998</v>
      </c>
      <c r="Y540" s="8">
        <v>4.9056603773584859</v>
      </c>
      <c r="Z540" s="8">
        <v>2.4509803921568398</v>
      </c>
      <c r="AA540" s="8">
        <v>8.7200000000000006</v>
      </c>
      <c r="AB540">
        <v>0.20799999999999999</v>
      </c>
      <c r="AC540" s="8">
        <v>13.58490566037737</v>
      </c>
      <c r="AD540" s="8">
        <v>9.6405228758170214</v>
      </c>
      <c r="AE540" s="8">
        <v>0.14899999999999999</v>
      </c>
      <c r="AF540" s="8">
        <v>1.7999999999999999E-2</v>
      </c>
      <c r="AG540" s="8">
        <v>1.3359680464609414</v>
      </c>
      <c r="AH540" s="8">
        <v>12.845637583892618</v>
      </c>
      <c r="AI540" s="8">
        <v>5.8053691275167791</v>
      </c>
      <c r="AJ540" t="s">
        <v>1694</v>
      </c>
      <c r="AK540" t="s">
        <v>1694</v>
      </c>
      <c r="AL540" t="s">
        <v>1694</v>
      </c>
      <c r="AM540" t="s">
        <v>1694</v>
      </c>
      <c r="AN540" t="s">
        <v>1700</v>
      </c>
      <c r="AO540" t="s">
        <v>1700</v>
      </c>
      <c r="AP540" t="s">
        <v>1697</v>
      </c>
      <c r="AQ540" t="s">
        <v>1697</v>
      </c>
      <c r="AR540" t="s">
        <v>1700</v>
      </c>
      <c r="AS540" t="s">
        <v>1700</v>
      </c>
      <c r="AT540" t="s">
        <v>1700</v>
      </c>
      <c r="AU540" t="s">
        <v>1706</v>
      </c>
      <c r="AV540" t="s">
        <v>1723</v>
      </c>
      <c r="AW540" t="s">
        <v>1706</v>
      </c>
      <c r="AX540" t="s">
        <v>1706</v>
      </c>
      <c r="AY540" t="s">
        <v>1723</v>
      </c>
      <c r="AZ540" t="s">
        <v>1706</v>
      </c>
      <c r="BA540" t="s">
        <v>1700</v>
      </c>
      <c r="BB540" t="s">
        <v>1706</v>
      </c>
      <c r="BC540" t="s">
        <v>1723</v>
      </c>
      <c r="BD540" t="s">
        <v>1706</v>
      </c>
      <c r="BE540" t="s">
        <v>1706</v>
      </c>
      <c r="BF540" t="s">
        <v>1723</v>
      </c>
      <c r="BG540">
        <v>71</v>
      </c>
      <c r="BH540" s="12" t="s">
        <v>1712</v>
      </c>
      <c r="BI540" t="b">
        <v>0</v>
      </c>
      <c r="BJ540">
        <f t="shared" si="8"/>
        <v>0</v>
      </c>
    </row>
    <row r="541" spans="1:62" x14ac:dyDescent="0.2">
      <c r="A541" s="5" t="s">
        <v>122</v>
      </c>
      <c r="B541" s="6">
        <v>40277</v>
      </c>
      <c r="C541" s="7">
        <v>33.552168999999999</v>
      </c>
      <c r="D541" s="7">
        <v>-112.054761</v>
      </c>
      <c r="E541" s="17">
        <v>384</v>
      </c>
      <c r="F541" t="s">
        <v>1706</v>
      </c>
      <c r="G541" t="s">
        <v>1728</v>
      </c>
      <c r="H541" t="s">
        <v>1728</v>
      </c>
      <c r="I541">
        <v>1</v>
      </c>
      <c r="J541" s="8">
        <v>9.4535705500033895</v>
      </c>
      <c r="K541" s="8">
        <v>65.382873199589156</v>
      </c>
      <c r="L541" s="8">
        <v>25.163556250407453</v>
      </c>
      <c r="M541" s="8">
        <v>12.681015964000046</v>
      </c>
      <c r="N541" s="8">
        <v>5.0000000000000001E-3</v>
      </c>
      <c r="O541" s="8">
        <v>68.495998637664485</v>
      </c>
      <c r="P541" s="8">
        <v>1.9319855658563398</v>
      </c>
      <c r="Q541" s="8">
        <v>35.676648386410001</v>
      </c>
      <c r="R541" s="8">
        <v>9.0523936707255661</v>
      </c>
      <c r="S541" s="8">
        <v>1.149</v>
      </c>
      <c r="T541" s="8">
        <v>0.72199999999999998</v>
      </c>
      <c r="U541" s="8">
        <v>0.38600000000000001</v>
      </c>
      <c r="V541" s="8">
        <v>0.57999999999999996</v>
      </c>
      <c r="W541" s="8">
        <v>0.76300000000000001</v>
      </c>
      <c r="X541" s="8">
        <v>0.14200000000000002</v>
      </c>
      <c r="Y541" s="8">
        <v>3.9903264812575583</v>
      </c>
      <c r="Z541" s="8">
        <v>2.9239766081871497</v>
      </c>
      <c r="AA541" s="8">
        <v>8.49</v>
      </c>
      <c r="AB541">
        <v>0.221</v>
      </c>
      <c r="AC541" s="8">
        <v>5.3204353083434039</v>
      </c>
      <c r="AD541" s="8">
        <v>4.2397660818713323</v>
      </c>
      <c r="AE541" s="8">
        <v>8.1000000000000003E-2</v>
      </c>
      <c r="AF541" s="8">
        <v>1.7000000000000001E-2</v>
      </c>
      <c r="AG541" s="8">
        <v>1.7512546551418084</v>
      </c>
      <c r="AH541" s="8">
        <v>14.185185185185185</v>
      </c>
      <c r="AI541" s="8">
        <v>8.913580246913579</v>
      </c>
      <c r="AJ541" t="s">
        <v>1694</v>
      </c>
      <c r="AK541" t="s">
        <v>1694</v>
      </c>
      <c r="AL541" t="s">
        <v>1694</v>
      </c>
      <c r="AM541" t="s">
        <v>1694</v>
      </c>
      <c r="AN541" t="s">
        <v>1700</v>
      </c>
      <c r="AO541" t="s">
        <v>1700</v>
      </c>
      <c r="AP541" t="s">
        <v>1697</v>
      </c>
      <c r="AQ541" t="s">
        <v>1697</v>
      </c>
      <c r="AR541" t="s">
        <v>1700</v>
      </c>
      <c r="AS541" t="s">
        <v>1700</v>
      </c>
      <c r="AT541" t="s">
        <v>1700</v>
      </c>
      <c r="AU541" t="s">
        <v>1706</v>
      </c>
      <c r="AV541" t="s">
        <v>1723</v>
      </c>
      <c r="AW541" t="s">
        <v>1706</v>
      </c>
      <c r="AX541" t="s">
        <v>1706</v>
      </c>
      <c r="AY541" t="s">
        <v>1723</v>
      </c>
      <c r="AZ541" t="s">
        <v>1706</v>
      </c>
      <c r="BA541" t="s">
        <v>1700</v>
      </c>
      <c r="BB541" t="s">
        <v>1706</v>
      </c>
      <c r="BC541" t="s">
        <v>1723</v>
      </c>
      <c r="BD541" t="s">
        <v>1706</v>
      </c>
      <c r="BE541" t="s">
        <v>1706</v>
      </c>
      <c r="BF541" t="s">
        <v>1723</v>
      </c>
      <c r="BG541">
        <v>76</v>
      </c>
      <c r="BH541" s="12" t="s">
        <v>1712</v>
      </c>
      <c r="BI541" t="b">
        <v>0</v>
      </c>
      <c r="BJ541">
        <f t="shared" si="8"/>
        <v>0</v>
      </c>
    </row>
    <row r="542" spans="1:62" x14ac:dyDescent="0.2">
      <c r="A542" s="5" t="s">
        <v>122</v>
      </c>
      <c r="B542" s="6">
        <v>42138</v>
      </c>
      <c r="C542" s="7">
        <v>33.552168999999999</v>
      </c>
      <c r="D542" s="7">
        <v>-112.054761</v>
      </c>
      <c r="E542" s="17">
        <v>384</v>
      </c>
      <c r="F542" t="s">
        <v>1706</v>
      </c>
      <c r="G542" t="s">
        <v>1728</v>
      </c>
      <c r="H542" t="s">
        <v>1728</v>
      </c>
      <c r="I542">
        <v>1</v>
      </c>
      <c r="J542">
        <v>4.9108304306997201</v>
      </c>
      <c r="K542">
        <v>85.307809586790697</v>
      </c>
      <c r="L542">
        <v>9.7813599825096293</v>
      </c>
      <c r="M542">
        <v>3.2595002389276702</v>
      </c>
      <c r="N542" t="s">
        <v>1697</v>
      </c>
      <c r="O542">
        <v>17.748504526806101</v>
      </c>
      <c r="P542" t="s">
        <v>1697</v>
      </c>
      <c r="Q542">
        <v>3.75077720975675</v>
      </c>
      <c r="R542" t="s">
        <v>1697</v>
      </c>
      <c r="S542">
        <v>0.73899999999999999</v>
      </c>
      <c r="T542" t="s">
        <v>1697</v>
      </c>
      <c r="U542">
        <v>0.51</v>
      </c>
      <c r="V542" t="s">
        <v>1697</v>
      </c>
      <c r="W542">
        <v>0.22900000000000001</v>
      </c>
      <c r="X542" t="s">
        <v>1697</v>
      </c>
      <c r="Y542">
        <v>1.55382907880134</v>
      </c>
      <c r="Z542" t="s">
        <v>1697</v>
      </c>
      <c r="AA542">
        <v>8.14</v>
      </c>
      <c r="AB542">
        <v>0.223</v>
      </c>
      <c r="AC542">
        <v>2.3564064801178199</v>
      </c>
      <c r="AD542" t="s">
        <v>1697</v>
      </c>
      <c r="AE542">
        <v>1.7000000000000001E-2</v>
      </c>
      <c r="AF542" t="s">
        <v>1697</v>
      </c>
      <c r="AG542">
        <v>1.7521973866358056</v>
      </c>
      <c r="AH542">
        <v>43.470588235294102</v>
      </c>
      <c r="AI542" t="s">
        <v>1697</v>
      </c>
      <c r="AJ542" t="s">
        <v>1694</v>
      </c>
      <c r="AK542" t="s">
        <v>1694</v>
      </c>
      <c r="AL542" t="s">
        <v>1694</v>
      </c>
      <c r="AM542" t="s">
        <v>1694</v>
      </c>
      <c r="AN542" t="s">
        <v>1700</v>
      </c>
      <c r="AO542" t="s">
        <v>1700</v>
      </c>
      <c r="AP542" t="s">
        <v>1697</v>
      </c>
      <c r="AQ542" t="s">
        <v>1697</v>
      </c>
      <c r="AR542" t="s">
        <v>1700</v>
      </c>
      <c r="AS542" t="s">
        <v>1700</v>
      </c>
      <c r="AT542" t="s">
        <v>1700</v>
      </c>
      <c r="AU542" t="s">
        <v>1706</v>
      </c>
      <c r="AV542" t="s">
        <v>1723</v>
      </c>
      <c r="AW542" t="s">
        <v>1706</v>
      </c>
      <c r="AX542" t="s">
        <v>1706</v>
      </c>
      <c r="AY542" t="s">
        <v>1723</v>
      </c>
      <c r="AZ542" t="s">
        <v>1706</v>
      </c>
      <c r="BA542" t="s">
        <v>1700</v>
      </c>
      <c r="BB542" t="s">
        <v>1706</v>
      </c>
      <c r="BC542" t="s">
        <v>1723</v>
      </c>
      <c r="BD542" t="s">
        <v>1706</v>
      </c>
      <c r="BE542" t="s">
        <v>1706</v>
      </c>
      <c r="BF542" t="s">
        <v>1723</v>
      </c>
      <c r="BG542">
        <v>81</v>
      </c>
      <c r="BH542" t="s">
        <v>1713</v>
      </c>
      <c r="BI542" t="b">
        <v>0</v>
      </c>
      <c r="BJ542">
        <f t="shared" si="8"/>
        <v>0</v>
      </c>
    </row>
    <row r="543" spans="1:62" x14ac:dyDescent="0.2">
      <c r="A543" s="5" t="s">
        <v>123</v>
      </c>
      <c r="B543" s="6">
        <v>38467</v>
      </c>
      <c r="C543" s="7">
        <v>33.519058000000001</v>
      </c>
      <c r="D543" s="7">
        <v>-112.02269200000001</v>
      </c>
      <c r="E543" s="18">
        <v>374</v>
      </c>
      <c r="F543" s="11" t="s">
        <v>1741</v>
      </c>
      <c r="G543" s="11" t="s">
        <v>1741</v>
      </c>
      <c r="H543" t="s">
        <v>1742</v>
      </c>
      <c r="I543">
        <v>1</v>
      </c>
      <c r="J543" s="8">
        <v>12.137925156547507</v>
      </c>
      <c r="K543" s="8">
        <v>56.024162596925088</v>
      </c>
      <c r="L543" s="8">
        <v>31.837912246527409</v>
      </c>
      <c r="M543" s="8">
        <v>2.4938318507350892</v>
      </c>
      <c r="N543" s="8">
        <v>2.5185179805374598</v>
      </c>
      <c r="O543" s="8">
        <v>14.705814694803479</v>
      </c>
      <c r="P543" s="8">
        <v>5.2208197056006274</v>
      </c>
      <c r="Q543" s="8">
        <v>49.739535358452834</v>
      </c>
      <c r="R543" s="8">
        <v>13.378893279649134</v>
      </c>
      <c r="S543" s="8">
        <v>4.1040000000000001</v>
      </c>
      <c r="T543" s="8">
        <v>0.76900000000000002</v>
      </c>
      <c r="U543" s="8">
        <v>0.13500000000000001</v>
      </c>
      <c r="V543" s="8">
        <v>0.46200000000000002</v>
      </c>
      <c r="W543" s="8">
        <v>3.9690000000000003</v>
      </c>
      <c r="X543" s="8">
        <v>0.307</v>
      </c>
      <c r="Y543" s="8">
        <v>10.114192495921696</v>
      </c>
      <c r="Z543" s="8">
        <v>3.4207525655644124</v>
      </c>
      <c r="AA543" s="8">
        <v>7.77</v>
      </c>
      <c r="AB543">
        <v>0.76</v>
      </c>
      <c r="AC543" s="8">
        <v>26.101141924959208</v>
      </c>
      <c r="AD543" s="8">
        <v>9.9201824401368413</v>
      </c>
      <c r="AE543" s="8">
        <v>0.43099999999999999</v>
      </c>
      <c r="AF543" s="8">
        <v>6.9000000000000006E-2</v>
      </c>
      <c r="AG543" s="8">
        <v>1.2255589885627738</v>
      </c>
      <c r="AH543" s="8">
        <v>9.5220417633410683</v>
      </c>
      <c r="AI543" s="8">
        <v>1.7842227378190256</v>
      </c>
      <c r="AJ543" t="s">
        <v>1694</v>
      </c>
      <c r="AK543" t="s">
        <v>1694</v>
      </c>
      <c r="AL543" t="s">
        <v>1702</v>
      </c>
      <c r="AM543" t="s">
        <v>1703</v>
      </c>
      <c r="AN543" t="s">
        <v>1700</v>
      </c>
      <c r="AO543" t="s">
        <v>1700</v>
      </c>
      <c r="AP543" t="s">
        <v>1697</v>
      </c>
      <c r="AQ543" t="s">
        <v>1697</v>
      </c>
      <c r="AR543" t="s">
        <v>1700</v>
      </c>
      <c r="AS543" t="s">
        <v>1700</v>
      </c>
      <c r="AT543" t="s">
        <v>1700</v>
      </c>
      <c r="AU543" t="s">
        <v>1695</v>
      </c>
      <c r="AV543" t="s">
        <v>1742</v>
      </c>
      <c r="AW543" t="s">
        <v>1741</v>
      </c>
      <c r="AX543" t="s">
        <v>1695</v>
      </c>
      <c r="AY543" t="s">
        <v>1742</v>
      </c>
      <c r="AZ543" t="s">
        <v>1741</v>
      </c>
      <c r="BA543" t="s">
        <v>1700</v>
      </c>
      <c r="BB543" t="s">
        <v>1695</v>
      </c>
      <c r="BC543" t="s">
        <v>1742</v>
      </c>
      <c r="BD543" t="s">
        <v>1741</v>
      </c>
      <c r="BE543" t="s">
        <v>1695</v>
      </c>
      <c r="BF543" t="s">
        <v>1742</v>
      </c>
      <c r="BG543">
        <v>25</v>
      </c>
      <c r="BH543" s="12" t="s">
        <v>1709</v>
      </c>
      <c r="BI543" t="b">
        <v>0</v>
      </c>
      <c r="BJ543">
        <f t="shared" si="8"/>
        <v>0</v>
      </c>
    </row>
    <row r="544" spans="1:62" x14ac:dyDescent="0.2">
      <c r="A544" s="5" t="s">
        <v>123</v>
      </c>
      <c r="B544" s="6">
        <v>40336</v>
      </c>
      <c r="C544" s="7">
        <v>33.519058000000001</v>
      </c>
      <c r="D544" s="7">
        <v>-112.02269200000001</v>
      </c>
      <c r="E544" s="18">
        <v>374</v>
      </c>
      <c r="F544" t="s">
        <v>1697</v>
      </c>
      <c r="G544" t="s">
        <v>1697</v>
      </c>
      <c r="H544" t="s">
        <v>1697</v>
      </c>
      <c r="I544" t="s">
        <v>1697</v>
      </c>
      <c r="J544" t="s">
        <v>1697</v>
      </c>
      <c r="K544" t="s">
        <v>1697</v>
      </c>
      <c r="L544" t="s">
        <v>1697</v>
      </c>
      <c r="M544" t="s">
        <v>1697</v>
      </c>
      <c r="N544" t="s">
        <v>1697</v>
      </c>
      <c r="O544" t="s">
        <v>1697</v>
      </c>
      <c r="P544" t="s">
        <v>1697</v>
      </c>
      <c r="Q544" t="s">
        <v>1697</v>
      </c>
      <c r="R544" t="s">
        <v>1697</v>
      </c>
      <c r="S544" t="s">
        <v>1697</v>
      </c>
      <c r="T544" t="s">
        <v>1697</v>
      </c>
      <c r="U544" t="s">
        <v>1697</v>
      </c>
      <c r="V544" t="s">
        <v>1697</v>
      </c>
      <c r="W544" t="s">
        <v>1697</v>
      </c>
      <c r="X544" t="s">
        <v>1697</v>
      </c>
      <c r="Y544" t="s">
        <v>1697</v>
      </c>
      <c r="Z544" t="s">
        <v>1697</v>
      </c>
      <c r="AA544" t="s">
        <v>1697</v>
      </c>
      <c r="AB544" t="s">
        <v>1697</v>
      </c>
      <c r="AC544" t="s">
        <v>1697</v>
      </c>
      <c r="AD544" t="s">
        <v>1697</v>
      </c>
      <c r="AE544" t="s">
        <v>1697</v>
      </c>
      <c r="AF544" t="s">
        <v>1697</v>
      </c>
      <c r="AG544" t="s">
        <v>1697</v>
      </c>
      <c r="AH544" t="s">
        <v>1697</v>
      </c>
      <c r="AI544" t="s">
        <v>1697</v>
      </c>
      <c r="AJ544" t="s">
        <v>1694</v>
      </c>
      <c r="AK544" t="s">
        <v>1694</v>
      </c>
      <c r="AL544" t="s">
        <v>1702</v>
      </c>
      <c r="AM544" t="s">
        <v>1703</v>
      </c>
      <c r="AN544" t="s">
        <v>1700</v>
      </c>
      <c r="AO544" t="s">
        <v>1700</v>
      </c>
      <c r="AP544" t="s">
        <v>1697</v>
      </c>
      <c r="AQ544" t="s">
        <v>1697</v>
      </c>
      <c r="AR544" t="s">
        <v>1700</v>
      </c>
      <c r="AS544" t="s">
        <v>1700</v>
      </c>
      <c r="AT544" t="s">
        <v>1700</v>
      </c>
      <c r="AU544" t="s">
        <v>1695</v>
      </c>
      <c r="AV544" t="s">
        <v>1742</v>
      </c>
      <c r="AW544" t="s">
        <v>1741</v>
      </c>
      <c r="AX544" t="s">
        <v>1695</v>
      </c>
      <c r="AY544" t="s">
        <v>1742</v>
      </c>
      <c r="AZ544" t="s">
        <v>1741</v>
      </c>
      <c r="BA544" t="s">
        <v>1700</v>
      </c>
      <c r="BB544" t="s">
        <v>1695</v>
      </c>
      <c r="BC544" t="s">
        <v>1742</v>
      </c>
      <c r="BD544" t="s">
        <v>1741</v>
      </c>
      <c r="BE544" t="s">
        <v>1695</v>
      </c>
      <c r="BF544" t="s">
        <v>1742</v>
      </c>
      <c r="BG544" s="6" t="s">
        <v>1697</v>
      </c>
      <c r="BH544" s="6" t="s">
        <v>1697</v>
      </c>
      <c r="BI544" t="b">
        <v>0</v>
      </c>
      <c r="BJ544">
        <f t="shared" si="8"/>
        <v>0</v>
      </c>
    </row>
    <row r="545" spans="1:62" x14ac:dyDescent="0.2">
      <c r="A545" s="5" t="s">
        <v>123</v>
      </c>
      <c r="B545" s="6">
        <v>42072</v>
      </c>
      <c r="C545" s="7">
        <v>33.519058000000001</v>
      </c>
      <c r="D545" s="7">
        <v>-112.02269200000001</v>
      </c>
      <c r="E545" s="18">
        <v>374</v>
      </c>
      <c r="F545" t="s">
        <v>1697</v>
      </c>
      <c r="G545" t="s">
        <v>1697</v>
      </c>
      <c r="H545" t="s">
        <v>1697</v>
      </c>
      <c r="I545" t="s">
        <v>1697</v>
      </c>
      <c r="J545" t="s">
        <v>1697</v>
      </c>
      <c r="K545" t="s">
        <v>1697</v>
      </c>
      <c r="L545" t="s">
        <v>1697</v>
      </c>
      <c r="M545" t="s">
        <v>1697</v>
      </c>
      <c r="N545" t="s">
        <v>1697</v>
      </c>
      <c r="O545" t="s">
        <v>1697</v>
      </c>
      <c r="P545" t="s">
        <v>1697</v>
      </c>
      <c r="Q545" t="s">
        <v>1697</v>
      </c>
      <c r="R545" t="s">
        <v>1697</v>
      </c>
      <c r="S545" t="s">
        <v>1697</v>
      </c>
      <c r="T545" t="s">
        <v>1697</v>
      </c>
      <c r="U545" t="s">
        <v>1697</v>
      </c>
      <c r="V545" t="s">
        <v>1697</v>
      </c>
      <c r="W545" t="s">
        <v>1697</v>
      </c>
      <c r="X545" t="s">
        <v>1697</v>
      </c>
      <c r="Y545" t="s">
        <v>1697</v>
      </c>
      <c r="Z545" t="s">
        <v>1697</v>
      </c>
      <c r="AA545" t="s">
        <v>1697</v>
      </c>
      <c r="AB545" t="s">
        <v>1697</v>
      </c>
      <c r="AC545" t="s">
        <v>1697</v>
      </c>
      <c r="AD545" t="s">
        <v>1697</v>
      </c>
      <c r="AE545" t="s">
        <v>1697</v>
      </c>
      <c r="AF545" t="s">
        <v>1697</v>
      </c>
      <c r="AG545" t="s">
        <v>1697</v>
      </c>
      <c r="AH545" t="s">
        <v>1697</v>
      </c>
      <c r="AI545" t="s">
        <v>1697</v>
      </c>
      <c r="AJ545" t="s">
        <v>1694</v>
      </c>
      <c r="AK545" t="s">
        <v>1694</v>
      </c>
      <c r="AL545" t="s">
        <v>1702</v>
      </c>
      <c r="AM545" t="s">
        <v>1703</v>
      </c>
      <c r="AN545" t="s">
        <v>1700</v>
      </c>
      <c r="AO545" t="s">
        <v>1700</v>
      </c>
      <c r="AP545" t="s">
        <v>1697</v>
      </c>
      <c r="AQ545" t="s">
        <v>1697</v>
      </c>
      <c r="AR545" t="s">
        <v>1700</v>
      </c>
      <c r="AS545" t="s">
        <v>1700</v>
      </c>
      <c r="AT545" t="s">
        <v>1700</v>
      </c>
      <c r="AU545" t="s">
        <v>1695</v>
      </c>
      <c r="AV545" t="s">
        <v>1742</v>
      </c>
      <c r="AW545" t="s">
        <v>1741</v>
      </c>
      <c r="AX545" t="s">
        <v>1695</v>
      </c>
      <c r="AY545" t="s">
        <v>1742</v>
      </c>
      <c r="AZ545" t="s">
        <v>1741</v>
      </c>
      <c r="BA545" t="s">
        <v>1700</v>
      </c>
      <c r="BB545" t="s">
        <v>1695</v>
      </c>
      <c r="BC545" t="s">
        <v>1742</v>
      </c>
      <c r="BD545" t="s">
        <v>1741</v>
      </c>
      <c r="BE545" t="s">
        <v>1695</v>
      </c>
      <c r="BF545" t="s">
        <v>1742</v>
      </c>
      <c r="BG545">
        <v>40</v>
      </c>
      <c r="BH545" s="12" t="s">
        <v>1709</v>
      </c>
      <c r="BI545" t="b">
        <v>0</v>
      </c>
      <c r="BJ545">
        <f t="shared" si="8"/>
        <v>0</v>
      </c>
    </row>
    <row r="546" spans="1:62" x14ac:dyDescent="0.2">
      <c r="A546" s="5" t="s">
        <v>124</v>
      </c>
      <c r="B546" s="6">
        <v>38453</v>
      </c>
      <c r="C546" s="7">
        <v>33.470435999999999</v>
      </c>
      <c r="D546" s="7">
        <v>-112.04685000000001</v>
      </c>
      <c r="E546" s="17">
        <v>337</v>
      </c>
      <c r="F546" t="s">
        <v>1700</v>
      </c>
      <c r="G546" t="s">
        <v>1699</v>
      </c>
      <c r="H546" t="s">
        <v>1701</v>
      </c>
      <c r="I546">
        <v>1</v>
      </c>
      <c r="J546" s="8">
        <v>16.449440842536475</v>
      </c>
      <c r="K546" s="8">
        <v>65.798737565386688</v>
      </c>
      <c r="L546" s="8">
        <v>17.751821592076837</v>
      </c>
      <c r="M546" s="8">
        <v>1.6315289783641698</v>
      </c>
      <c r="N546" s="8">
        <v>0.90841834041711844</v>
      </c>
      <c r="O546" s="8">
        <v>20.859400123381906</v>
      </c>
      <c r="P546" s="8">
        <v>2.1256989165760571</v>
      </c>
      <c r="Q546" s="8">
        <v>70.471309287696798</v>
      </c>
      <c r="R546" s="8">
        <v>7.3759243440248987</v>
      </c>
      <c r="S546" s="8">
        <v>3.7029999999999998</v>
      </c>
      <c r="T546" s="8">
        <v>1.2689999999999999</v>
      </c>
      <c r="U546" s="8">
        <v>0.32800000000000001</v>
      </c>
      <c r="V546" s="8">
        <v>0.48099999999999998</v>
      </c>
      <c r="W546" s="8">
        <v>3.375</v>
      </c>
      <c r="X546" s="8">
        <v>0.78799999999999992</v>
      </c>
      <c r="Y546" s="8">
        <v>7.5555555555555527</v>
      </c>
      <c r="Z546" s="8">
        <v>4.5801526717557293</v>
      </c>
      <c r="AA546" s="8">
        <v>7.33</v>
      </c>
      <c r="AB546">
        <v>0.94199999999999995</v>
      </c>
      <c r="AC546" s="8">
        <v>8.5925925925925934</v>
      </c>
      <c r="AD546" s="8">
        <v>9.1603053435114585</v>
      </c>
      <c r="AE546" s="8">
        <v>0.28199999999999997</v>
      </c>
      <c r="AF546" s="8">
        <v>6.4000000000000001E-2</v>
      </c>
      <c r="AG546" s="8">
        <v>1.1123477917484152</v>
      </c>
      <c r="AH546" s="8">
        <v>13.131205673758865</v>
      </c>
      <c r="AI546" s="8">
        <v>4.5</v>
      </c>
      <c r="AJ546" t="s">
        <v>1702</v>
      </c>
      <c r="AK546" t="s">
        <v>1703</v>
      </c>
      <c r="AL546" t="s">
        <v>1700</v>
      </c>
      <c r="AM546" t="s">
        <v>1700</v>
      </c>
      <c r="AN546" t="s">
        <v>1700</v>
      </c>
      <c r="AO546" t="s">
        <v>1700</v>
      </c>
      <c r="AP546" t="s">
        <v>1706</v>
      </c>
      <c r="AQ546" t="s">
        <v>1723</v>
      </c>
      <c r="AR546" t="s">
        <v>1706</v>
      </c>
      <c r="AS546" t="s">
        <v>1700</v>
      </c>
      <c r="AT546" t="s">
        <v>1700</v>
      </c>
      <c r="AU546" t="s">
        <v>1706</v>
      </c>
      <c r="AV546" t="s">
        <v>1723</v>
      </c>
      <c r="AW546" t="s">
        <v>1706</v>
      </c>
      <c r="AX546" t="s">
        <v>1706</v>
      </c>
      <c r="AY546" t="s">
        <v>1723</v>
      </c>
      <c r="AZ546" t="s">
        <v>1706</v>
      </c>
      <c r="BA546" t="s">
        <v>1700</v>
      </c>
      <c r="BB546" t="s">
        <v>1706</v>
      </c>
      <c r="BC546" t="s">
        <v>1723</v>
      </c>
      <c r="BD546" t="s">
        <v>1706</v>
      </c>
      <c r="BE546" t="s">
        <v>1706</v>
      </c>
      <c r="BF546" t="s">
        <v>1723</v>
      </c>
      <c r="BG546">
        <v>93</v>
      </c>
      <c r="BH546" s="12" t="s">
        <v>1713</v>
      </c>
      <c r="BI546" t="b">
        <v>0</v>
      </c>
      <c r="BJ546">
        <f t="shared" si="8"/>
        <v>0</v>
      </c>
    </row>
    <row r="547" spans="1:62" x14ac:dyDescent="0.2">
      <c r="A547" s="5" t="s">
        <v>124</v>
      </c>
      <c r="B547" s="6">
        <v>40303</v>
      </c>
      <c r="C547" s="7">
        <v>33.470435999999999</v>
      </c>
      <c r="D547" s="7">
        <v>-112.04685000000001</v>
      </c>
      <c r="E547" s="17">
        <v>337</v>
      </c>
      <c r="F547" t="s">
        <v>1700</v>
      </c>
      <c r="G547" t="s">
        <v>1699</v>
      </c>
      <c r="H547" t="s">
        <v>1701</v>
      </c>
      <c r="I547">
        <v>1</v>
      </c>
      <c r="J547" s="8" t="s">
        <v>1697</v>
      </c>
      <c r="K547" s="8" t="s">
        <v>1697</v>
      </c>
      <c r="L547" s="8" t="s">
        <v>1697</v>
      </c>
      <c r="M547" s="8">
        <v>5.0000000000000001E-3</v>
      </c>
      <c r="N547" s="8">
        <v>0.17516729623857333</v>
      </c>
      <c r="O547" s="8">
        <v>72.405939996529867</v>
      </c>
      <c r="P547" s="8">
        <v>13.724447952712961</v>
      </c>
      <c r="Q547" s="8">
        <v>44.59780036196576</v>
      </c>
      <c r="R547" s="8">
        <v>10.925326652765486</v>
      </c>
      <c r="S547" s="8">
        <v>3.0790000000000002</v>
      </c>
      <c r="T547" s="8">
        <v>1.468</v>
      </c>
      <c r="U547" s="8">
        <v>0.21</v>
      </c>
      <c r="V547" s="8">
        <v>0.61</v>
      </c>
      <c r="W547" s="8">
        <v>2.8690000000000002</v>
      </c>
      <c r="X547" s="8">
        <v>0.85799999999999998</v>
      </c>
      <c r="Y547" s="8">
        <v>6.8912710566615774</v>
      </c>
      <c r="Z547" s="8">
        <v>4.0128410914927768</v>
      </c>
      <c r="AA547" s="8" t="s">
        <v>1697</v>
      </c>
      <c r="AB547" t="s">
        <v>1697</v>
      </c>
      <c r="AC547" s="8">
        <v>7.6569678407350672</v>
      </c>
      <c r="AD547" s="8">
        <v>12.038523274478329</v>
      </c>
      <c r="AE547" s="8">
        <v>0.224</v>
      </c>
      <c r="AF547" s="8">
        <v>7.8E-2</v>
      </c>
      <c r="AG547" s="8" t="s">
        <v>1697</v>
      </c>
      <c r="AH547" s="8">
        <v>13.745535714285715</v>
      </c>
      <c r="AI547" s="8">
        <v>6.5535714285714279</v>
      </c>
      <c r="AJ547" t="s">
        <v>1702</v>
      </c>
      <c r="AK547" t="s">
        <v>1703</v>
      </c>
      <c r="AL547" t="s">
        <v>1700</v>
      </c>
      <c r="AM547" t="s">
        <v>1700</v>
      </c>
      <c r="AN547" t="s">
        <v>1700</v>
      </c>
      <c r="AO547" t="s">
        <v>1700</v>
      </c>
      <c r="AP547" t="s">
        <v>1706</v>
      </c>
      <c r="AQ547" t="s">
        <v>1723</v>
      </c>
      <c r="AR547" t="s">
        <v>1706</v>
      </c>
      <c r="AS547" t="s">
        <v>1700</v>
      </c>
      <c r="AT547" t="s">
        <v>1700</v>
      </c>
      <c r="AU547" t="s">
        <v>1706</v>
      </c>
      <c r="AV547" t="s">
        <v>1723</v>
      </c>
      <c r="AW547" t="s">
        <v>1706</v>
      </c>
      <c r="AX547" t="s">
        <v>1706</v>
      </c>
      <c r="AY547" t="s">
        <v>1723</v>
      </c>
      <c r="AZ547" t="s">
        <v>1706</v>
      </c>
      <c r="BA547" t="s">
        <v>1700</v>
      </c>
      <c r="BB547" t="s">
        <v>1706</v>
      </c>
      <c r="BC547" t="s">
        <v>1723</v>
      </c>
      <c r="BD547" t="s">
        <v>1706</v>
      </c>
      <c r="BE547" t="s">
        <v>1706</v>
      </c>
      <c r="BF547" t="s">
        <v>1723</v>
      </c>
      <c r="BG547">
        <v>98</v>
      </c>
      <c r="BH547" s="12" t="s">
        <v>1713</v>
      </c>
      <c r="BI547" t="b">
        <v>0</v>
      </c>
      <c r="BJ547">
        <f t="shared" si="8"/>
        <v>0</v>
      </c>
    </row>
    <row r="548" spans="1:62" x14ac:dyDescent="0.2">
      <c r="A548" s="5" t="s">
        <v>124</v>
      </c>
      <c r="B548" s="6">
        <v>42115</v>
      </c>
      <c r="C548" s="7">
        <v>33.470435999999999</v>
      </c>
      <c r="D548" s="7">
        <v>-112.04685000000001</v>
      </c>
      <c r="E548" s="17">
        <v>337</v>
      </c>
      <c r="F548" t="s">
        <v>1700</v>
      </c>
      <c r="G548" t="s">
        <v>1699</v>
      </c>
      <c r="H548" t="s">
        <v>1701</v>
      </c>
      <c r="I548">
        <v>1</v>
      </c>
      <c r="J548" t="s">
        <v>1697</v>
      </c>
      <c r="K548" t="s">
        <v>1697</v>
      </c>
      <c r="L548" t="s">
        <v>1697</v>
      </c>
      <c r="M548" t="s">
        <v>1697</v>
      </c>
      <c r="N548" t="s">
        <v>1697</v>
      </c>
      <c r="O548" t="s">
        <v>1697</v>
      </c>
      <c r="P548" t="s">
        <v>1697</v>
      </c>
      <c r="Q548" t="s">
        <v>1697</v>
      </c>
      <c r="R548" t="s">
        <v>1697</v>
      </c>
      <c r="S548" t="s">
        <v>1697</v>
      </c>
      <c r="T548" t="s">
        <v>1697</v>
      </c>
      <c r="U548" t="s">
        <v>1697</v>
      </c>
      <c r="V548" t="s">
        <v>1697</v>
      </c>
      <c r="W548" t="s">
        <v>1697</v>
      </c>
      <c r="X548" t="s">
        <v>1697</v>
      </c>
      <c r="Y548" t="s">
        <v>1697</v>
      </c>
      <c r="Z548" t="s">
        <v>1697</v>
      </c>
      <c r="AA548" t="s">
        <v>1697</v>
      </c>
      <c r="AB548" t="s">
        <v>1697</v>
      </c>
      <c r="AC548" t="s">
        <v>1697</v>
      </c>
      <c r="AD548" t="s">
        <v>1697</v>
      </c>
      <c r="AE548" t="s">
        <v>1697</v>
      </c>
      <c r="AF548" t="s">
        <v>1697</v>
      </c>
      <c r="AG548" t="s">
        <v>1697</v>
      </c>
      <c r="AH548" t="s">
        <v>1697</v>
      </c>
      <c r="AI548" t="s">
        <v>1697</v>
      </c>
      <c r="AJ548" t="s">
        <v>1702</v>
      </c>
      <c r="AK548" t="s">
        <v>1703</v>
      </c>
      <c r="AL548" t="s">
        <v>1700</v>
      </c>
      <c r="AM548" t="s">
        <v>1700</v>
      </c>
      <c r="AN548" t="s">
        <v>1700</v>
      </c>
      <c r="AO548" t="s">
        <v>1700</v>
      </c>
      <c r="AP548" t="s">
        <v>1706</v>
      </c>
      <c r="AQ548" t="s">
        <v>1723</v>
      </c>
      <c r="AR548" t="s">
        <v>1706</v>
      </c>
      <c r="AS548" t="s">
        <v>1700</v>
      </c>
      <c r="AT548" t="s">
        <v>1700</v>
      </c>
      <c r="AU548" t="s">
        <v>1706</v>
      </c>
      <c r="AV548" t="s">
        <v>1723</v>
      </c>
      <c r="AW548" t="s">
        <v>1706</v>
      </c>
      <c r="AX548" t="s">
        <v>1706</v>
      </c>
      <c r="AY548" t="s">
        <v>1723</v>
      </c>
      <c r="AZ548" t="s">
        <v>1706</v>
      </c>
      <c r="BA548" t="s">
        <v>1700</v>
      </c>
      <c r="BB548" t="s">
        <v>1706</v>
      </c>
      <c r="BC548" t="s">
        <v>1723</v>
      </c>
      <c r="BD548" t="s">
        <v>1706</v>
      </c>
      <c r="BE548" t="s">
        <v>1706</v>
      </c>
      <c r="BF548" t="s">
        <v>1723</v>
      </c>
      <c r="BG548">
        <v>103</v>
      </c>
      <c r="BH548" t="s">
        <v>1731</v>
      </c>
      <c r="BI548" t="b">
        <v>0</v>
      </c>
      <c r="BJ548">
        <f t="shared" si="8"/>
        <v>0</v>
      </c>
    </row>
    <row r="549" spans="1:62" x14ac:dyDescent="0.2">
      <c r="A549" s="5" t="s">
        <v>125</v>
      </c>
      <c r="B549" s="6">
        <v>36294</v>
      </c>
      <c r="C549" s="7">
        <v>33.38785</v>
      </c>
      <c r="D549" s="7">
        <v>-112.02885000000001</v>
      </c>
      <c r="E549" s="17">
        <v>347</v>
      </c>
      <c r="F549" t="s">
        <v>1697</v>
      </c>
      <c r="G549" t="s">
        <v>1697</v>
      </c>
      <c r="H549" t="s">
        <v>1697</v>
      </c>
      <c r="I549" t="s">
        <v>1697</v>
      </c>
      <c r="J549" t="s">
        <v>1697</v>
      </c>
      <c r="K549" t="s">
        <v>1697</v>
      </c>
      <c r="L549" t="s">
        <v>1697</v>
      </c>
      <c r="M549" t="s">
        <v>1697</v>
      </c>
      <c r="N549" t="s">
        <v>1697</v>
      </c>
      <c r="O549" t="s">
        <v>1697</v>
      </c>
      <c r="P549" t="s">
        <v>1697</v>
      </c>
      <c r="Q549" t="s">
        <v>1697</v>
      </c>
      <c r="R549" t="s">
        <v>1697</v>
      </c>
      <c r="S549" t="s">
        <v>1697</v>
      </c>
      <c r="T549" t="s">
        <v>1697</v>
      </c>
      <c r="U549" t="s">
        <v>1697</v>
      </c>
      <c r="V549" t="s">
        <v>1697</v>
      </c>
      <c r="W549" t="s">
        <v>1697</v>
      </c>
      <c r="X549" t="s">
        <v>1697</v>
      </c>
      <c r="Y549" t="s">
        <v>1697</v>
      </c>
      <c r="Z549" t="s">
        <v>1697</v>
      </c>
      <c r="AA549" t="s">
        <v>1697</v>
      </c>
      <c r="AB549" t="s">
        <v>1697</v>
      </c>
      <c r="AC549" t="s">
        <v>1697</v>
      </c>
      <c r="AD549" t="s">
        <v>1697</v>
      </c>
      <c r="AE549" t="s">
        <v>1697</v>
      </c>
      <c r="AF549" t="s">
        <v>1697</v>
      </c>
      <c r="AG549" t="s">
        <v>1697</v>
      </c>
      <c r="AH549" t="s">
        <v>1697</v>
      </c>
      <c r="AI549" t="s">
        <v>1697</v>
      </c>
      <c r="AJ549" t="s">
        <v>1702</v>
      </c>
      <c r="AK549" t="s">
        <v>1703</v>
      </c>
      <c r="AL549" t="s">
        <v>1702</v>
      </c>
      <c r="AM549" t="s">
        <v>1703</v>
      </c>
      <c r="AN549" t="s">
        <v>1702</v>
      </c>
      <c r="AO549" t="s">
        <v>1703</v>
      </c>
      <c r="AP549" t="s">
        <v>1702</v>
      </c>
      <c r="AQ549" t="s">
        <v>1705</v>
      </c>
      <c r="AR549" t="s">
        <v>1703</v>
      </c>
      <c r="AS549" t="s">
        <v>1702</v>
      </c>
      <c r="AT549" t="s">
        <v>1703</v>
      </c>
      <c r="AU549" t="s">
        <v>1704</v>
      </c>
      <c r="AV549" t="s">
        <v>1705</v>
      </c>
      <c r="AW549" t="s">
        <v>1703</v>
      </c>
      <c r="AX549" t="s">
        <v>1704</v>
      </c>
      <c r="AY549" t="s">
        <v>1705</v>
      </c>
      <c r="AZ549" t="s">
        <v>1703</v>
      </c>
      <c r="BA549" t="s">
        <v>1700</v>
      </c>
      <c r="BB549" t="s">
        <v>1704</v>
      </c>
      <c r="BC549" t="s">
        <v>1705</v>
      </c>
      <c r="BD549" t="s">
        <v>1703</v>
      </c>
      <c r="BE549" t="s">
        <v>1704</v>
      </c>
      <c r="BF549" t="s">
        <v>1705</v>
      </c>
      <c r="BG549" s="6" t="s">
        <v>1697</v>
      </c>
      <c r="BH549" s="6" t="s">
        <v>1697</v>
      </c>
      <c r="BI549" t="b">
        <v>0</v>
      </c>
      <c r="BJ549">
        <f t="shared" si="8"/>
        <v>0</v>
      </c>
    </row>
    <row r="550" spans="1:62" x14ac:dyDescent="0.2">
      <c r="A550" s="5" t="s">
        <v>125</v>
      </c>
      <c r="B550" s="6">
        <v>36566</v>
      </c>
      <c r="C550" s="7">
        <v>33.38785</v>
      </c>
      <c r="D550" s="7">
        <v>-112.02885000000001</v>
      </c>
      <c r="E550" s="17">
        <v>347</v>
      </c>
      <c r="F550" t="s">
        <v>1703</v>
      </c>
      <c r="G550" t="s">
        <v>1738</v>
      </c>
      <c r="H550" t="s">
        <v>1725</v>
      </c>
      <c r="I550">
        <v>0</v>
      </c>
      <c r="J550" s="8">
        <v>13.983864140605132</v>
      </c>
      <c r="K550" s="8">
        <v>63.120019289581144</v>
      </c>
      <c r="L550" s="8">
        <v>22.896116569813728</v>
      </c>
      <c r="M550" s="8">
        <v>4.3622014960952082</v>
      </c>
      <c r="N550" s="8">
        <v>1.3817821438384545</v>
      </c>
      <c r="O550" s="8">
        <v>71.589027359599186</v>
      </c>
      <c r="P550" s="8">
        <v>99.816038412170386</v>
      </c>
      <c r="Q550" s="8">
        <v>12.364584814984889</v>
      </c>
      <c r="R550" s="8">
        <v>6.3259538710801557</v>
      </c>
      <c r="S550" s="8">
        <v>0.64</v>
      </c>
      <c r="T550" s="8">
        <v>0.53900000000000003</v>
      </c>
      <c r="U550" s="8">
        <v>8.7999999999999995E-2</v>
      </c>
      <c r="V550" s="8">
        <v>0.11899999999999999</v>
      </c>
      <c r="W550" s="8">
        <v>0.55200000000000005</v>
      </c>
      <c r="X550" s="8">
        <v>0.42</v>
      </c>
      <c r="Y550" s="8">
        <v>1.6877599999999999</v>
      </c>
      <c r="Z550" s="8">
        <v>1.6632</v>
      </c>
      <c r="AA550" s="9">
        <v>7.68</v>
      </c>
      <c r="AB550" s="10">
        <v>0.74150000000000005</v>
      </c>
      <c r="AC550" s="8">
        <v>1.8089299999999999</v>
      </c>
      <c r="AD550" s="8">
        <v>5.68119</v>
      </c>
      <c r="AE550" s="8">
        <v>6.8000000000000005E-2</v>
      </c>
      <c r="AF550" s="8">
        <v>0.06</v>
      </c>
      <c r="AG550" s="8">
        <v>1.6549870583387796</v>
      </c>
      <c r="AH550" s="8">
        <v>9.4117647058823533</v>
      </c>
      <c r="AI550" s="8">
        <v>7.9264705882352944</v>
      </c>
      <c r="AJ550" t="s">
        <v>1702</v>
      </c>
      <c r="AK550" t="s">
        <v>1703</v>
      </c>
      <c r="AL550" t="s">
        <v>1702</v>
      </c>
      <c r="AM550" t="s">
        <v>1703</v>
      </c>
      <c r="AN550" t="s">
        <v>1702</v>
      </c>
      <c r="AO550" t="s">
        <v>1703</v>
      </c>
      <c r="AP550" t="s">
        <v>1702</v>
      </c>
      <c r="AQ550" t="s">
        <v>1705</v>
      </c>
      <c r="AR550" t="s">
        <v>1703</v>
      </c>
      <c r="AS550" t="s">
        <v>1702</v>
      </c>
      <c r="AT550" t="s">
        <v>1703</v>
      </c>
      <c r="AU550" t="s">
        <v>1704</v>
      </c>
      <c r="AV550" t="s">
        <v>1705</v>
      </c>
      <c r="AW550" t="s">
        <v>1703</v>
      </c>
      <c r="AX550" t="s">
        <v>1704</v>
      </c>
      <c r="AY550" t="s">
        <v>1705</v>
      </c>
      <c r="AZ550" t="s">
        <v>1703</v>
      </c>
      <c r="BA550" t="s">
        <v>1700</v>
      </c>
      <c r="BB550" t="s">
        <v>1704</v>
      </c>
      <c r="BC550" t="s">
        <v>1705</v>
      </c>
      <c r="BD550" t="s">
        <v>1703</v>
      </c>
      <c r="BE550" t="s">
        <v>1704</v>
      </c>
      <c r="BF550" t="s">
        <v>1705</v>
      </c>
      <c r="BG550" t="s">
        <v>1697</v>
      </c>
      <c r="BH550" t="s">
        <v>1727</v>
      </c>
      <c r="BI550" t="b">
        <v>0</v>
      </c>
      <c r="BJ550">
        <f t="shared" si="8"/>
        <v>0</v>
      </c>
    </row>
    <row r="551" spans="1:62" x14ac:dyDescent="0.2">
      <c r="A551" s="5" t="s">
        <v>125</v>
      </c>
      <c r="B551" s="6">
        <v>38434</v>
      </c>
      <c r="C551" s="7">
        <v>33.38785</v>
      </c>
      <c r="D551" s="7">
        <v>-112.02885000000001</v>
      </c>
      <c r="E551" s="17">
        <v>347</v>
      </c>
      <c r="F551" t="s">
        <v>1703</v>
      </c>
      <c r="G551" t="s">
        <v>1720</v>
      </c>
      <c r="H551" t="s">
        <v>1703</v>
      </c>
      <c r="I551">
        <v>0</v>
      </c>
      <c r="J551" s="8">
        <v>12.149043975075354</v>
      </c>
      <c r="K551" s="8">
        <v>69.4678276049884</v>
      </c>
      <c r="L551" s="8">
        <v>18.383128419936241</v>
      </c>
      <c r="M551" s="8">
        <v>3.1198611568814236</v>
      </c>
      <c r="N551" s="8">
        <v>4.9413781645926331</v>
      </c>
      <c r="O551" s="8">
        <v>10.902181487102307</v>
      </c>
      <c r="P551" s="8">
        <v>5.5655522485411781</v>
      </c>
      <c r="Q551" s="8">
        <v>8.1483432567961884</v>
      </c>
      <c r="R551" s="8">
        <v>7.5975692208902474</v>
      </c>
      <c r="S551" s="8">
        <v>0.69199999999999995</v>
      </c>
      <c r="T551" s="8">
        <v>0.51700000000000002</v>
      </c>
      <c r="U551" s="8">
        <v>0.30399999999999999</v>
      </c>
      <c r="V551" s="8">
        <v>0.32400000000000001</v>
      </c>
      <c r="W551" s="8">
        <v>0.38799999999999996</v>
      </c>
      <c r="X551" s="8">
        <v>0.193</v>
      </c>
      <c r="Y551" s="8">
        <v>2.5445292620865274</v>
      </c>
      <c r="Z551" s="8">
        <v>2.0895522388059522</v>
      </c>
      <c r="AA551" s="8">
        <v>8.65</v>
      </c>
      <c r="AB551">
        <v>0.28199999999999997</v>
      </c>
      <c r="AC551" s="8">
        <v>8.269720101781175</v>
      </c>
      <c r="AD551" s="8">
        <v>8.9552238805970372</v>
      </c>
      <c r="AE551" s="8">
        <v>4.2000000000000003E-2</v>
      </c>
      <c r="AF551" s="8">
        <v>4.1000000000000002E-2</v>
      </c>
      <c r="AG551" s="8">
        <v>1.593803089781094</v>
      </c>
      <c r="AH551" s="8">
        <v>16.476190476190474</v>
      </c>
      <c r="AI551" s="8">
        <v>12.309523809523808</v>
      </c>
      <c r="AJ551" t="s">
        <v>1702</v>
      </c>
      <c r="AK551" t="s">
        <v>1703</v>
      </c>
      <c r="AL551" t="s">
        <v>1702</v>
      </c>
      <c r="AM551" t="s">
        <v>1703</v>
      </c>
      <c r="AN551" t="s">
        <v>1702</v>
      </c>
      <c r="AO551" t="s">
        <v>1703</v>
      </c>
      <c r="AP551" t="s">
        <v>1702</v>
      </c>
      <c r="AQ551" t="s">
        <v>1705</v>
      </c>
      <c r="AR551" t="s">
        <v>1703</v>
      </c>
      <c r="AS551" t="s">
        <v>1702</v>
      </c>
      <c r="AT551" t="s">
        <v>1703</v>
      </c>
      <c r="AU551" t="s">
        <v>1704</v>
      </c>
      <c r="AV551" t="s">
        <v>1705</v>
      </c>
      <c r="AW551" t="s">
        <v>1703</v>
      </c>
      <c r="AX551" t="s">
        <v>1704</v>
      </c>
      <c r="AY551" t="s">
        <v>1705</v>
      </c>
      <c r="AZ551" t="s">
        <v>1703</v>
      </c>
      <c r="BA551" t="s">
        <v>1700</v>
      </c>
      <c r="BB551" t="s">
        <v>1704</v>
      </c>
      <c r="BC551" t="s">
        <v>1705</v>
      </c>
      <c r="BD551" t="s">
        <v>1703</v>
      </c>
      <c r="BE551" t="s">
        <v>1704</v>
      </c>
      <c r="BF551" t="s">
        <v>1705</v>
      </c>
      <c r="BG551" t="s">
        <v>1697</v>
      </c>
      <c r="BH551" t="s">
        <v>1727</v>
      </c>
      <c r="BI551" t="b">
        <v>0</v>
      </c>
      <c r="BJ551">
        <f t="shared" si="8"/>
        <v>0</v>
      </c>
    </row>
    <row r="552" spans="1:62" x14ac:dyDescent="0.2">
      <c r="A552" s="5" t="s">
        <v>125</v>
      </c>
      <c r="B552" s="6">
        <v>40305</v>
      </c>
      <c r="C552" s="7">
        <v>33.38785</v>
      </c>
      <c r="D552" s="7">
        <v>-112.02885000000001</v>
      </c>
      <c r="E552" s="17">
        <v>347</v>
      </c>
      <c r="F552" t="s">
        <v>1703</v>
      </c>
      <c r="G552" t="s">
        <v>1720</v>
      </c>
      <c r="H552" t="s">
        <v>1703</v>
      </c>
      <c r="I552">
        <v>0</v>
      </c>
      <c r="J552" s="8">
        <v>9.9923588235352252</v>
      </c>
      <c r="K552" s="8">
        <v>64.711725514076178</v>
      </c>
      <c r="L552" s="8">
        <v>25.295915662388595</v>
      </c>
      <c r="M552" s="8">
        <v>3.8518946775995251</v>
      </c>
      <c r="N552" s="8">
        <v>5.0000000000000001E-3</v>
      </c>
      <c r="O552" s="8">
        <v>76.010721637963954</v>
      </c>
      <c r="P552" s="8">
        <v>37.061927745075728</v>
      </c>
      <c r="Q552" s="8">
        <v>13.617086625189749</v>
      </c>
      <c r="R552" s="8">
        <v>9.7147866430436647</v>
      </c>
      <c r="S552" s="8">
        <v>1.355</v>
      </c>
      <c r="T552" s="8">
        <v>0.371</v>
      </c>
      <c r="U552" s="8">
        <v>0.13200000000000001</v>
      </c>
      <c r="V552" s="8">
        <v>4.5999999999999999E-2</v>
      </c>
      <c r="W552" s="8">
        <v>1.2229999999999999</v>
      </c>
      <c r="X552" s="8">
        <v>0.32500000000000001</v>
      </c>
      <c r="Y552" s="8">
        <v>3.9024390243902474</v>
      </c>
      <c r="Z552" s="8">
        <v>2.3550724637681144</v>
      </c>
      <c r="AA552" s="8">
        <v>8.27</v>
      </c>
      <c r="AB552">
        <v>0.57299999999999995</v>
      </c>
      <c r="AC552" s="8">
        <v>7.3170731707316961</v>
      </c>
      <c r="AD552" s="8">
        <v>4.7101449275362448</v>
      </c>
      <c r="AE552" s="8">
        <v>7.6999999999999999E-2</v>
      </c>
      <c r="AF552" s="8">
        <v>0.04</v>
      </c>
      <c r="AG552" s="8">
        <v>0.94715975874664904</v>
      </c>
      <c r="AH552" s="8">
        <v>17.597402597402599</v>
      </c>
      <c r="AI552" s="8">
        <v>4.8181818181818183</v>
      </c>
      <c r="AJ552" t="s">
        <v>1702</v>
      </c>
      <c r="AK552" t="s">
        <v>1703</v>
      </c>
      <c r="AL552" t="s">
        <v>1702</v>
      </c>
      <c r="AM552" t="s">
        <v>1703</v>
      </c>
      <c r="AN552" t="s">
        <v>1702</v>
      </c>
      <c r="AO552" t="s">
        <v>1703</v>
      </c>
      <c r="AP552" t="s">
        <v>1702</v>
      </c>
      <c r="AQ552" t="s">
        <v>1705</v>
      </c>
      <c r="AR552" t="s">
        <v>1703</v>
      </c>
      <c r="AS552" t="s">
        <v>1702</v>
      </c>
      <c r="AT552" t="s">
        <v>1703</v>
      </c>
      <c r="AU552" t="s">
        <v>1704</v>
      </c>
      <c r="AV552" t="s">
        <v>1705</v>
      </c>
      <c r="AW552" t="s">
        <v>1703</v>
      </c>
      <c r="AX552" t="s">
        <v>1704</v>
      </c>
      <c r="AY552" t="s">
        <v>1705</v>
      </c>
      <c r="AZ552" t="s">
        <v>1703</v>
      </c>
      <c r="BA552" t="s">
        <v>1700</v>
      </c>
      <c r="BB552" t="s">
        <v>1704</v>
      </c>
      <c r="BC552" t="s">
        <v>1705</v>
      </c>
      <c r="BD552" t="s">
        <v>1703</v>
      </c>
      <c r="BE552" t="s">
        <v>1704</v>
      </c>
      <c r="BF552" t="s">
        <v>1705</v>
      </c>
      <c r="BG552" t="s">
        <v>1697</v>
      </c>
      <c r="BH552" t="s">
        <v>1727</v>
      </c>
      <c r="BI552" t="b">
        <v>0</v>
      </c>
      <c r="BJ552">
        <f t="shared" si="8"/>
        <v>0</v>
      </c>
    </row>
    <row r="553" spans="1:62" x14ac:dyDescent="0.2">
      <c r="A553" s="5" t="s">
        <v>125</v>
      </c>
      <c r="B553" s="6">
        <v>42132</v>
      </c>
      <c r="C553" s="7">
        <v>33.38785</v>
      </c>
      <c r="D553" s="7">
        <v>-112.02885000000001</v>
      </c>
      <c r="E553" s="17">
        <v>347</v>
      </c>
      <c r="F553" t="s">
        <v>1711</v>
      </c>
      <c r="G553" t="s">
        <v>1711</v>
      </c>
      <c r="H553" t="s">
        <v>1711</v>
      </c>
      <c r="I553">
        <v>1</v>
      </c>
      <c r="J553" t="s">
        <v>1697</v>
      </c>
      <c r="K553" t="s">
        <v>1697</v>
      </c>
      <c r="L553" t="s">
        <v>1697</v>
      </c>
      <c r="M553" t="s">
        <v>1697</v>
      </c>
      <c r="N553" t="s">
        <v>1697</v>
      </c>
      <c r="O553" t="s">
        <v>1697</v>
      </c>
      <c r="P553" t="s">
        <v>1697</v>
      </c>
      <c r="Q553" t="s">
        <v>1697</v>
      </c>
      <c r="R553" t="s">
        <v>1697</v>
      </c>
      <c r="S553" t="s">
        <v>1697</v>
      </c>
      <c r="T553" t="s">
        <v>1697</v>
      </c>
      <c r="U553" t="s">
        <v>1697</v>
      </c>
      <c r="V553" t="s">
        <v>1697</v>
      </c>
      <c r="W553" t="s">
        <v>1697</v>
      </c>
      <c r="X553" t="s">
        <v>1697</v>
      </c>
      <c r="Y553" t="s">
        <v>1697</v>
      </c>
      <c r="Z553" t="s">
        <v>1697</v>
      </c>
      <c r="AA553" t="s">
        <v>1697</v>
      </c>
      <c r="AB553" t="s">
        <v>1697</v>
      </c>
      <c r="AC553" t="s">
        <v>1697</v>
      </c>
      <c r="AD553" t="s">
        <v>1697</v>
      </c>
      <c r="AE553" t="s">
        <v>1697</v>
      </c>
      <c r="AF553" t="s">
        <v>1697</v>
      </c>
      <c r="AG553" t="s">
        <v>1697</v>
      </c>
      <c r="AH553" t="s">
        <v>1697</v>
      </c>
      <c r="AI553" t="s">
        <v>1697</v>
      </c>
      <c r="AJ553" t="s">
        <v>1702</v>
      </c>
      <c r="AK553" t="s">
        <v>1703</v>
      </c>
      <c r="AL553" t="s">
        <v>1702</v>
      </c>
      <c r="AM553" t="s">
        <v>1703</v>
      </c>
      <c r="AN553" t="s">
        <v>1702</v>
      </c>
      <c r="AO553" t="s">
        <v>1703</v>
      </c>
      <c r="AP553" t="s">
        <v>1702</v>
      </c>
      <c r="AQ553" t="s">
        <v>1705</v>
      </c>
      <c r="AR553" t="s">
        <v>1703</v>
      </c>
      <c r="AS553" t="s">
        <v>1702</v>
      </c>
      <c r="AT553" t="s">
        <v>1703</v>
      </c>
      <c r="AU553" t="s">
        <v>1704</v>
      </c>
      <c r="AV553" t="s">
        <v>1705</v>
      </c>
      <c r="AW553" t="s">
        <v>1703</v>
      </c>
      <c r="AX553" t="s">
        <v>1704</v>
      </c>
      <c r="AY553" t="s">
        <v>1705</v>
      </c>
      <c r="AZ553" t="s">
        <v>1703</v>
      </c>
      <c r="BA553" t="s">
        <v>1700</v>
      </c>
      <c r="BB553" t="s">
        <v>1704</v>
      </c>
      <c r="BC553" t="s">
        <v>1705</v>
      </c>
      <c r="BD553" t="s">
        <v>1703</v>
      </c>
      <c r="BE553" t="s">
        <v>1704</v>
      </c>
      <c r="BF553" t="s">
        <v>1705</v>
      </c>
      <c r="BG553">
        <v>5</v>
      </c>
      <c r="BH553" t="s">
        <v>1708</v>
      </c>
      <c r="BI553" t="b">
        <v>0</v>
      </c>
      <c r="BJ553">
        <f t="shared" si="8"/>
        <v>0</v>
      </c>
    </row>
    <row r="554" spans="1:62" x14ac:dyDescent="0.2">
      <c r="A554" s="5" t="s">
        <v>125</v>
      </c>
      <c r="B554" s="6">
        <v>45054</v>
      </c>
      <c r="C554" s="7">
        <v>33.38785</v>
      </c>
      <c r="D554" s="7">
        <v>-112.02885000000001</v>
      </c>
      <c r="E554" s="17">
        <v>347</v>
      </c>
      <c r="F554" t="s">
        <v>1706</v>
      </c>
      <c r="G554" t="s">
        <v>1697</v>
      </c>
      <c r="H554" t="s">
        <v>1697</v>
      </c>
      <c r="I554">
        <v>1</v>
      </c>
      <c r="J554" t="s">
        <v>1697</v>
      </c>
      <c r="K554" t="s">
        <v>1697</v>
      </c>
      <c r="L554" t="s">
        <v>1697</v>
      </c>
      <c r="M554" t="s">
        <v>1697</v>
      </c>
      <c r="N554" t="s">
        <v>1697</v>
      </c>
      <c r="O554" t="s">
        <v>1697</v>
      </c>
      <c r="P554" t="s">
        <v>1697</v>
      </c>
      <c r="Q554" t="s">
        <v>1697</v>
      </c>
      <c r="R554" t="s">
        <v>1697</v>
      </c>
      <c r="S554" t="s">
        <v>1697</v>
      </c>
      <c r="T554" t="s">
        <v>1697</v>
      </c>
      <c r="U554" t="s">
        <v>1697</v>
      </c>
      <c r="V554" t="s">
        <v>1697</v>
      </c>
      <c r="W554" t="s">
        <v>1697</v>
      </c>
      <c r="X554" t="s">
        <v>1697</v>
      </c>
      <c r="Y554" t="s">
        <v>1697</v>
      </c>
      <c r="Z554" t="s">
        <v>1697</v>
      </c>
      <c r="AA554" t="s">
        <v>1697</v>
      </c>
      <c r="AB554" t="s">
        <v>1697</v>
      </c>
      <c r="AC554" t="s">
        <v>1697</v>
      </c>
      <c r="AD554" t="s">
        <v>1697</v>
      </c>
      <c r="AE554" t="s">
        <v>1697</v>
      </c>
      <c r="AF554" t="s">
        <v>1697</v>
      </c>
      <c r="AG554" t="s">
        <v>1697</v>
      </c>
      <c r="AH554" t="s">
        <v>1697</v>
      </c>
      <c r="AI554" t="s">
        <v>1697</v>
      </c>
      <c r="AJ554" t="s">
        <v>1702</v>
      </c>
      <c r="AK554" t="s">
        <v>1703</v>
      </c>
      <c r="AL554" t="s">
        <v>1702</v>
      </c>
      <c r="AM554" t="s">
        <v>1703</v>
      </c>
      <c r="AN554" t="s">
        <v>1702</v>
      </c>
      <c r="AO554" t="s">
        <v>1703</v>
      </c>
      <c r="AP554" t="s">
        <v>1702</v>
      </c>
      <c r="AQ554" t="s">
        <v>1705</v>
      </c>
      <c r="AR554" t="s">
        <v>1703</v>
      </c>
      <c r="AS554" t="s">
        <v>1702</v>
      </c>
      <c r="AT554" t="s">
        <v>1703</v>
      </c>
      <c r="AU554" t="s">
        <v>1704</v>
      </c>
      <c r="AV554" t="s">
        <v>1705</v>
      </c>
      <c r="AW554" t="s">
        <v>1703</v>
      </c>
      <c r="AX554" t="s">
        <v>1704</v>
      </c>
      <c r="AY554" t="s">
        <v>1705</v>
      </c>
      <c r="AZ554" t="s">
        <v>1703</v>
      </c>
      <c r="BA554" t="s">
        <v>1700</v>
      </c>
      <c r="BB554" t="s">
        <v>1704</v>
      </c>
      <c r="BC554" t="s">
        <v>1705</v>
      </c>
      <c r="BD554" t="s">
        <v>1703</v>
      </c>
      <c r="BE554" t="s">
        <v>1704</v>
      </c>
      <c r="BF554" t="s">
        <v>1705</v>
      </c>
      <c r="BG554" s="6" t="s">
        <v>1697</v>
      </c>
      <c r="BH554" s="6" t="s">
        <v>1697</v>
      </c>
      <c r="BI554" t="b">
        <v>1</v>
      </c>
      <c r="BJ554">
        <f t="shared" si="8"/>
        <v>1</v>
      </c>
    </row>
    <row r="555" spans="1:62" x14ac:dyDescent="0.2">
      <c r="A555" s="5" t="s">
        <v>126</v>
      </c>
      <c r="B555" s="6">
        <v>36641</v>
      </c>
      <c r="C555" s="7">
        <v>33.360711000000002</v>
      </c>
      <c r="D555" s="7">
        <v>-112.021006</v>
      </c>
      <c r="E555" s="17">
        <v>547</v>
      </c>
      <c r="F555" t="s">
        <v>1694</v>
      </c>
      <c r="G555" t="s">
        <v>1694</v>
      </c>
      <c r="H555" t="s">
        <v>1694</v>
      </c>
      <c r="I555">
        <v>0</v>
      </c>
      <c r="J555" s="8">
        <v>14.248276575446035</v>
      </c>
      <c r="K555" s="8">
        <v>57.319137918619859</v>
      </c>
      <c r="L555" s="8">
        <v>28.4325855059341</v>
      </c>
      <c r="M555" s="8">
        <v>2.2415481336762721</v>
      </c>
      <c r="N555" s="8">
        <v>1.1131434166299932</v>
      </c>
      <c r="O555" s="8">
        <v>4.2918254421962443</v>
      </c>
      <c r="P555" s="8">
        <v>0.78220762855923986</v>
      </c>
      <c r="Q555" s="8">
        <v>5.5978387826019453</v>
      </c>
      <c r="R555" s="8">
        <v>4.7748774270917886</v>
      </c>
      <c r="S555" s="8">
        <v>0.44400000000000001</v>
      </c>
      <c r="T555" s="8">
        <v>0.504</v>
      </c>
      <c r="U555" s="8">
        <v>0.03</v>
      </c>
      <c r="V555" s="8">
        <v>0.106</v>
      </c>
      <c r="W555" s="8">
        <v>0.41399999999999998</v>
      </c>
      <c r="X555" s="8">
        <v>0.39800000000000002</v>
      </c>
      <c r="Y555" s="8">
        <v>1.6023700000000001</v>
      </c>
      <c r="Z555" s="8">
        <v>1.3325899999999999</v>
      </c>
      <c r="AA555" s="9">
        <v>7.6</v>
      </c>
      <c r="AB555" s="10">
        <v>0.245</v>
      </c>
      <c r="AC555" s="8">
        <v>1.1156999999999999</v>
      </c>
      <c r="AD555" s="8">
        <v>2.02522</v>
      </c>
      <c r="AE555" s="8">
        <v>3.5000000000000003E-2</v>
      </c>
      <c r="AF555" s="8">
        <v>4.2999999999999997E-2</v>
      </c>
      <c r="AG555" s="8">
        <v>1.5445242651590165</v>
      </c>
      <c r="AH555" s="8">
        <v>12.685714285714285</v>
      </c>
      <c r="AI555" s="8">
        <v>14.399999999999999</v>
      </c>
      <c r="AJ555" t="s">
        <v>1694</v>
      </c>
      <c r="AK555" t="s">
        <v>1694</v>
      </c>
      <c r="AL555" t="s">
        <v>1726</v>
      </c>
      <c r="AM555" t="s">
        <v>1694</v>
      </c>
      <c r="AN555" t="s">
        <v>1726</v>
      </c>
      <c r="AO555" t="s">
        <v>1694</v>
      </c>
      <c r="AP555" t="s">
        <v>1695</v>
      </c>
      <c r="AQ555" t="s">
        <v>1694</v>
      </c>
      <c r="AR555" t="s">
        <v>1694</v>
      </c>
      <c r="AS555" t="s">
        <v>1726</v>
      </c>
      <c r="AT555" t="s">
        <v>1694</v>
      </c>
      <c r="AU555" t="s">
        <v>1695</v>
      </c>
      <c r="AV555" t="s">
        <v>1694</v>
      </c>
      <c r="AW555" t="s">
        <v>1694</v>
      </c>
      <c r="AX555" t="s">
        <v>1695</v>
      </c>
      <c r="AY555" t="s">
        <v>1694</v>
      </c>
      <c r="AZ555" t="s">
        <v>1694</v>
      </c>
      <c r="BA555" t="s">
        <v>1726</v>
      </c>
      <c r="BB555" t="s">
        <v>1695</v>
      </c>
      <c r="BC555" t="s">
        <v>1694</v>
      </c>
      <c r="BD555" t="s">
        <v>1694</v>
      </c>
      <c r="BE555" t="s">
        <v>1695</v>
      </c>
      <c r="BF555" t="s">
        <v>1694</v>
      </c>
      <c r="BG555" t="s">
        <v>1697</v>
      </c>
      <c r="BH555" t="s">
        <v>1698</v>
      </c>
      <c r="BI555" t="b">
        <v>0</v>
      </c>
      <c r="BJ555">
        <f t="shared" si="8"/>
        <v>0</v>
      </c>
    </row>
    <row r="556" spans="1:62" x14ac:dyDescent="0.2">
      <c r="A556" s="5" t="s">
        <v>126</v>
      </c>
      <c r="B556" s="6">
        <v>38425</v>
      </c>
      <c r="C556" s="7">
        <v>33.360711000000002</v>
      </c>
      <c r="D556" s="7">
        <v>-112.021006</v>
      </c>
      <c r="E556" s="17">
        <v>547</v>
      </c>
      <c r="F556" t="s">
        <v>1694</v>
      </c>
      <c r="G556" t="s">
        <v>1694</v>
      </c>
      <c r="H556" t="s">
        <v>1694</v>
      </c>
      <c r="I556">
        <v>0</v>
      </c>
      <c r="J556" s="8">
        <v>11.912696123796744</v>
      </c>
      <c r="K556" s="8">
        <v>60.709666968084008</v>
      </c>
      <c r="L556" s="8">
        <v>27.377636908119243</v>
      </c>
      <c r="M556" s="8">
        <v>1.7104690790402362</v>
      </c>
      <c r="N556" s="8">
        <v>1.0873073123708279</v>
      </c>
      <c r="O556" s="8">
        <v>19.860446528856073</v>
      </c>
      <c r="P556" s="8">
        <v>2.9868971463363327</v>
      </c>
      <c r="Q556" s="8">
        <v>8.4889946885700596</v>
      </c>
      <c r="R556" s="8">
        <v>1.7302986499791522</v>
      </c>
      <c r="S556" s="8">
        <v>0.77900000000000003</v>
      </c>
      <c r="T556" s="8">
        <v>0.65300000000000002</v>
      </c>
      <c r="U556" s="8">
        <v>0.187</v>
      </c>
      <c r="V556" s="8">
        <v>0.16</v>
      </c>
      <c r="W556" s="8">
        <v>0.59200000000000008</v>
      </c>
      <c r="X556" s="8">
        <v>0.49299999999999999</v>
      </c>
      <c r="Y556" s="8">
        <v>2.4999999999999964</v>
      </c>
      <c r="Z556" s="8">
        <v>2.2471910112359565</v>
      </c>
      <c r="AA556" s="8">
        <v>7.57</v>
      </c>
      <c r="AB556">
        <v>0.127</v>
      </c>
      <c r="AC556" s="8">
        <v>5.5555555555555607</v>
      </c>
      <c r="AD556" s="8">
        <v>6.0393258426966243</v>
      </c>
      <c r="AE556" s="8">
        <v>6.9000000000000006E-2</v>
      </c>
      <c r="AF556" s="8">
        <v>4.2000000000000003E-2</v>
      </c>
      <c r="AG556" s="8">
        <v>1.2040692728484905</v>
      </c>
      <c r="AH556" s="8">
        <v>11.289855072463768</v>
      </c>
      <c r="AI556" s="8">
        <v>9.4637681159420293</v>
      </c>
      <c r="AJ556" t="s">
        <v>1694</v>
      </c>
      <c r="AK556" t="s">
        <v>1694</v>
      </c>
      <c r="AL556" t="s">
        <v>1726</v>
      </c>
      <c r="AM556" t="s">
        <v>1694</v>
      </c>
      <c r="AN556" t="s">
        <v>1726</v>
      </c>
      <c r="AO556" t="s">
        <v>1694</v>
      </c>
      <c r="AP556" t="s">
        <v>1695</v>
      </c>
      <c r="AQ556" t="s">
        <v>1694</v>
      </c>
      <c r="AR556" t="s">
        <v>1694</v>
      </c>
      <c r="AS556" t="s">
        <v>1726</v>
      </c>
      <c r="AT556" t="s">
        <v>1694</v>
      </c>
      <c r="AU556" t="s">
        <v>1695</v>
      </c>
      <c r="AV556" t="s">
        <v>1694</v>
      </c>
      <c r="AW556" t="s">
        <v>1694</v>
      </c>
      <c r="AX556" t="s">
        <v>1695</v>
      </c>
      <c r="AY556" t="s">
        <v>1694</v>
      </c>
      <c r="AZ556" t="s">
        <v>1694</v>
      </c>
      <c r="BA556" t="s">
        <v>1726</v>
      </c>
      <c r="BB556" t="s">
        <v>1695</v>
      </c>
      <c r="BC556" t="s">
        <v>1694</v>
      </c>
      <c r="BD556" t="s">
        <v>1694</v>
      </c>
      <c r="BE556" t="s">
        <v>1695</v>
      </c>
      <c r="BF556" t="s">
        <v>1694</v>
      </c>
      <c r="BG556" t="s">
        <v>1697</v>
      </c>
      <c r="BH556" t="s">
        <v>1698</v>
      </c>
      <c r="BI556" t="b">
        <v>0</v>
      </c>
      <c r="BJ556">
        <f t="shared" si="8"/>
        <v>0</v>
      </c>
    </row>
    <row r="557" spans="1:62" x14ac:dyDescent="0.2">
      <c r="A557" s="5" t="s">
        <v>126</v>
      </c>
      <c r="B557" s="6">
        <v>40247</v>
      </c>
      <c r="C557" s="7">
        <v>33.360711000000002</v>
      </c>
      <c r="D557" s="7">
        <v>-112.021006</v>
      </c>
      <c r="E557" s="17">
        <v>547</v>
      </c>
      <c r="F557" t="s">
        <v>1694</v>
      </c>
      <c r="G557" t="s">
        <v>1694</v>
      </c>
      <c r="H557" t="s">
        <v>1694</v>
      </c>
      <c r="I557">
        <v>0</v>
      </c>
      <c r="J557" s="8">
        <v>12.354577189146976</v>
      </c>
      <c r="K557" s="8">
        <v>57.004295723626811</v>
      </c>
      <c r="L557" s="8">
        <v>30.641127087226209</v>
      </c>
      <c r="M557" s="8">
        <v>5.0000000000000001E-3</v>
      </c>
      <c r="N557" s="8">
        <v>5.0000000000000001E-3</v>
      </c>
      <c r="O557" s="8">
        <v>38.247221238545002</v>
      </c>
      <c r="P557" s="8">
        <v>11.463505289372447</v>
      </c>
      <c r="Q557" s="8">
        <v>25.373156573283115</v>
      </c>
      <c r="R557" s="8">
        <v>9.4142548700013009</v>
      </c>
      <c r="S557" s="8">
        <v>0.75</v>
      </c>
      <c r="T557" s="8">
        <v>0.40899999999999997</v>
      </c>
      <c r="U557" s="8">
        <v>7.4999999999999997E-2</v>
      </c>
      <c r="V557" s="8">
        <v>5.6000000000000001E-2</v>
      </c>
      <c r="W557" s="8">
        <v>0.67500000000000004</v>
      </c>
      <c r="X557" s="8">
        <v>0.35299999999999998</v>
      </c>
      <c r="Y557" s="8">
        <v>2.4287222808870159</v>
      </c>
      <c r="Z557" s="8">
        <v>1.708074534161482</v>
      </c>
      <c r="AA557" s="8">
        <v>7.57</v>
      </c>
      <c r="AB557">
        <v>0.154</v>
      </c>
      <c r="AC557" s="8">
        <v>12.14361140443506</v>
      </c>
      <c r="AD557" s="8">
        <v>7.1428571428571566</v>
      </c>
      <c r="AE557" s="8">
        <v>7.1999999999999995E-2</v>
      </c>
      <c r="AF557" s="8">
        <v>3.4000000000000002E-2</v>
      </c>
      <c r="AG557" s="8">
        <v>1.4982374645100485</v>
      </c>
      <c r="AH557" s="8">
        <v>10.416666666666668</v>
      </c>
      <c r="AI557" s="8">
        <v>5.6805555555555554</v>
      </c>
      <c r="AJ557" t="s">
        <v>1694</v>
      </c>
      <c r="AK557" t="s">
        <v>1694</v>
      </c>
      <c r="AL557" t="s">
        <v>1726</v>
      </c>
      <c r="AM557" t="s">
        <v>1694</v>
      </c>
      <c r="AN557" t="s">
        <v>1726</v>
      </c>
      <c r="AO557" t="s">
        <v>1694</v>
      </c>
      <c r="AP557" t="s">
        <v>1695</v>
      </c>
      <c r="AQ557" t="s">
        <v>1694</v>
      </c>
      <c r="AR557" t="s">
        <v>1694</v>
      </c>
      <c r="AS557" t="s">
        <v>1726</v>
      </c>
      <c r="AT557" t="s">
        <v>1694</v>
      </c>
      <c r="AU557" t="s">
        <v>1695</v>
      </c>
      <c r="AV557" t="s">
        <v>1694</v>
      </c>
      <c r="AW557" t="s">
        <v>1694</v>
      </c>
      <c r="AX557" t="s">
        <v>1695</v>
      </c>
      <c r="AY557" t="s">
        <v>1694</v>
      </c>
      <c r="AZ557" t="s">
        <v>1694</v>
      </c>
      <c r="BA557" t="s">
        <v>1726</v>
      </c>
      <c r="BB557" t="s">
        <v>1695</v>
      </c>
      <c r="BC557" t="s">
        <v>1694</v>
      </c>
      <c r="BD557" t="s">
        <v>1694</v>
      </c>
      <c r="BE557" t="s">
        <v>1695</v>
      </c>
      <c r="BF557" t="s">
        <v>1694</v>
      </c>
      <c r="BG557" t="s">
        <v>1697</v>
      </c>
      <c r="BH557" t="s">
        <v>1698</v>
      </c>
      <c r="BI557" t="b">
        <v>0</v>
      </c>
      <c r="BJ557">
        <f t="shared" si="8"/>
        <v>0</v>
      </c>
    </row>
    <row r="558" spans="1:62" x14ac:dyDescent="0.2">
      <c r="A558" s="5" t="s">
        <v>126</v>
      </c>
      <c r="B558" s="6">
        <v>42062</v>
      </c>
      <c r="C558" s="7">
        <v>33.360711000000002</v>
      </c>
      <c r="D558" s="7">
        <v>-112.021006</v>
      </c>
      <c r="E558" s="17">
        <v>547</v>
      </c>
      <c r="F558" t="s">
        <v>1694</v>
      </c>
      <c r="G558" t="s">
        <v>1694</v>
      </c>
      <c r="H558" t="s">
        <v>1694</v>
      </c>
      <c r="I558">
        <v>0</v>
      </c>
      <c r="J558">
        <v>4.4484651344824302</v>
      </c>
      <c r="K558">
        <v>75.213957483345396</v>
      </c>
      <c r="L558">
        <v>20.3375773821721</v>
      </c>
      <c r="M558">
        <v>4.2806109526924798</v>
      </c>
      <c r="N558">
        <v>3.6983471428686001</v>
      </c>
      <c r="O558">
        <v>5.4791820194463803</v>
      </c>
      <c r="P558">
        <v>7.6162308741266598</v>
      </c>
      <c r="Q558">
        <v>7.24069040690532</v>
      </c>
      <c r="R558">
        <v>6.8168435775852396</v>
      </c>
      <c r="S558">
        <v>0.56399999999999995</v>
      </c>
      <c r="T558">
        <v>0.35099999999999998</v>
      </c>
      <c r="U558">
        <v>2.4E-2</v>
      </c>
      <c r="V558">
        <v>1.7999999999999999E-2</v>
      </c>
      <c r="W558">
        <v>0.54</v>
      </c>
      <c r="X558">
        <v>0.33300000000000002</v>
      </c>
      <c r="Y558">
        <v>1.6431924882629001</v>
      </c>
      <c r="Z558">
        <v>1.010101010101</v>
      </c>
      <c r="AA558">
        <v>8.23</v>
      </c>
      <c r="AB558">
        <v>0.20699999999999999</v>
      </c>
      <c r="AC558">
        <v>1.2759170653907499</v>
      </c>
      <c r="AD558">
        <v>0.430107526881711</v>
      </c>
      <c r="AE558">
        <v>9.4E-2</v>
      </c>
      <c r="AF558">
        <v>5.7000000000000002E-2</v>
      </c>
      <c r="AG558">
        <v>1.397450651387171</v>
      </c>
      <c r="AH558">
        <v>6</v>
      </c>
      <c r="AI558">
        <v>6.1578947368421</v>
      </c>
      <c r="AJ558" t="s">
        <v>1694</v>
      </c>
      <c r="AK558" t="s">
        <v>1694</v>
      </c>
      <c r="AL558" t="s">
        <v>1726</v>
      </c>
      <c r="AM558" t="s">
        <v>1694</v>
      </c>
      <c r="AN558" t="s">
        <v>1726</v>
      </c>
      <c r="AO558" t="s">
        <v>1694</v>
      </c>
      <c r="AP558" t="s">
        <v>1695</v>
      </c>
      <c r="AQ558" t="s">
        <v>1694</v>
      </c>
      <c r="AR558" t="s">
        <v>1694</v>
      </c>
      <c r="AS558" t="s">
        <v>1726</v>
      </c>
      <c r="AT558" t="s">
        <v>1694</v>
      </c>
      <c r="AU558" t="s">
        <v>1695</v>
      </c>
      <c r="AV558" t="s">
        <v>1694</v>
      </c>
      <c r="AW558" t="s">
        <v>1694</v>
      </c>
      <c r="AX558" t="s">
        <v>1695</v>
      </c>
      <c r="AY558" t="s">
        <v>1694</v>
      </c>
      <c r="AZ558" t="s">
        <v>1694</v>
      </c>
      <c r="BA558" t="s">
        <v>1726</v>
      </c>
      <c r="BB558" t="s">
        <v>1695</v>
      </c>
      <c r="BC558" t="s">
        <v>1694</v>
      </c>
      <c r="BD558" t="s">
        <v>1694</v>
      </c>
      <c r="BE558" t="s">
        <v>1695</v>
      </c>
      <c r="BF558" t="s">
        <v>1694</v>
      </c>
      <c r="BG558" t="s">
        <v>1697</v>
      </c>
      <c r="BH558" t="s">
        <v>1698</v>
      </c>
      <c r="BI558" t="b">
        <v>0</v>
      </c>
      <c r="BJ558">
        <f t="shared" si="8"/>
        <v>0</v>
      </c>
    </row>
    <row r="559" spans="1:62" x14ac:dyDescent="0.2">
      <c r="A559" s="5" t="s">
        <v>126</v>
      </c>
      <c r="B559" s="6">
        <v>45022</v>
      </c>
      <c r="C559" s="7">
        <v>33.360711000000002</v>
      </c>
      <c r="D559" s="7">
        <v>-112.021006</v>
      </c>
      <c r="E559" s="17">
        <v>547</v>
      </c>
      <c r="F559" t="s">
        <v>1694</v>
      </c>
      <c r="G559" t="s">
        <v>1694</v>
      </c>
      <c r="H559" t="s">
        <v>1694</v>
      </c>
      <c r="I559">
        <v>0</v>
      </c>
      <c r="J559" s="6" t="s">
        <v>1697</v>
      </c>
      <c r="K559" s="6" t="s">
        <v>1697</v>
      </c>
      <c r="L559" s="6" t="s">
        <v>1697</v>
      </c>
      <c r="M559" s="6" t="s">
        <v>1697</v>
      </c>
      <c r="N559" s="6" t="s">
        <v>1697</v>
      </c>
      <c r="O559" s="6" t="s">
        <v>1697</v>
      </c>
      <c r="P559" s="6" t="s">
        <v>1697</v>
      </c>
      <c r="Q559" s="6" t="s">
        <v>1697</v>
      </c>
      <c r="R559" s="6" t="s">
        <v>1697</v>
      </c>
      <c r="S559" s="6" t="s">
        <v>1697</v>
      </c>
      <c r="T559" s="6" t="s">
        <v>1697</v>
      </c>
      <c r="U559" s="6" t="s">
        <v>1697</v>
      </c>
      <c r="V559" s="6" t="s">
        <v>1697</v>
      </c>
      <c r="W559" s="6" t="s">
        <v>1697</v>
      </c>
      <c r="X559" s="6" t="s">
        <v>1697</v>
      </c>
      <c r="Y559" s="6" t="s">
        <v>1697</v>
      </c>
      <c r="Z559" s="6" t="s">
        <v>1697</v>
      </c>
      <c r="AA559" s="6" t="s">
        <v>1697</v>
      </c>
      <c r="AB559" s="6" t="s">
        <v>1697</v>
      </c>
      <c r="AC559" s="6" t="s">
        <v>1697</v>
      </c>
      <c r="AD559" s="6" t="s">
        <v>1697</v>
      </c>
      <c r="AE559" s="6" t="s">
        <v>1697</v>
      </c>
      <c r="AF559" s="6" t="s">
        <v>1697</v>
      </c>
      <c r="AG559" s="6" t="s">
        <v>1697</v>
      </c>
      <c r="AH559" s="6" t="s">
        <v>1697</v>
      </c>
      <c r="AI559" s="6" t="s">
        <v>1697</v>
      </c>
      <c r="AJ559" t="s">
        <v>1694</v>
      </c>
      <c r="AK559" t="s">
        <v>1694</v>
      </c>
      <c r="AL559" t="s">
        <v>1726</v>
      </c>
      <c r="AM559" t="s">
        <v>1694</v>
      </c>
      <c r="AN559" t="s">
        <v>1726</v>
      </c>
      <c r="AO559" t="s">
        <v>1694</v>
      </c>
      <c r="AP559" t="s">
        <v>1695</v>
      </c>
      <c r="AQ559" t="s">
        <v>1694</v>
      </c>
      <c r="AR559" t="s">
        <v>1694</v>
      </c>
      <c r="AS559" t="s">
        <v>1726</v>
      </c>
      <c r="AT559" t="s">
        <v>1694</v>
      </c>
      <c r="AU559" t="s">
        <v>1695</v>
      </c>
      <c r="AV559" t="s">
        <v>1694</v>
      </c>
      <c r="AW559" t="s">
        <v>1694</v>
      </c>
      <c r="AX559" t="s">
        <v>1695</v>
      </c>
      <c r="AY559" t="s">
        <v>1694</v>
      </c>
      <c r="AZ559" t="s">
        <v>1694</v>
      </c>
      <c r="BA559" t="s">
        <v>1726</v>
      </c>
      <c r="BB559" t="s">
        <v>1695</v>
      </c>
      <c r="BC559" t="s">
        <v>1694</v>
      </c>
      <c r="BD559" t="s">
        <v>1694</v>
      </c>
      <c r="BE559" t="s">
        <v>1695</v>
      </c>
      <c r="BF559" t="s">
        <v>1694</v>
      </c>
      <c r="BG559" s="6" t="s">
        <v>1697</v>
      </c>
      <c r="BH559" s="6" t="s">
        <v>1697</v>
      </c>
      <c r="BI559" t="b">
        <v>1</v>
      </c>
      <c r="BJ559">
        <f t="shared" si="8"/>
        <v>1</v>
      </c>
    </row>
    <row r="560" spans="1:62" x14ac:dyDescent="0.2">
      <c r="A560" s="5" t="s">
        <v>127</v>
      </c>
      <c r="B560" s="6">
        <v>36640</v>
      </c>
      <c r="C560" s="7">
        <v>33.328158000000002</v>
      </c>
      <c r="D560" s="7">
        <v>-112.03227200000001</v>
      </c>
      <c r="E560" s="17">
        <v>455</v>
      </c>
      <c r="F560" t="s">
        <v>1694</v>
      </c>
      <c r="G560" t="s">
        <v>1694</v>
      </c>
      <c r="H560" t="s">
        <v>1694</v>
      </c>
      <c r="I560">
        <v>0</v>
      </c>
      <c r="J560" s="8">
        <v>10.95635559789117</v>
      </c>
      <c r="K560" s="8">
        <v>62.132071401875969</v>
      </c>
      <c r="L560" s="8">
        <v>26.911573000232863</v>
      </c>
      <c r="M560" s="8">
        <v>5.2545264910175407</v>
      </c>
      <c r="N560" s="8">
        <v>3.2122843989333258</v>
      </c>
      <c r="O560" s="8">
        <v>24.326516237881101</v>
      </c>
      <c r="P560" s="8">
        <v>26.179650958737398</v>
      </c>
      <c r="Q560" s="8">
        <v>20.699046827746681</v>
      </c>
      <c r="R560" s="8">
        <v>3.8632342768836363</v>
      </c>
      <c r="S560" s="8">
        <v>0.59799999999999998</v>
      </c>
      <c r="T560" s="8">
        <v>0.52700000000000002</v>
      </c>
      <c r="U560" s="8">
        <v>0.03</v>
      </c>
      <c r="V560" s="8">
        <v>0.26200000000000001</v>
      </c>
      <c r="W560" s="8">
        <v>0.56799999999999995</v>
      </c>
      <c r="X560" s="8">
        <v>0.26500000000000001</v>
      </c>
      <c r="Y560" s="8">
        <v>2.1564999999999999</v>
      </c>
      <c r="Z560" s="8">
        <v>1.67564</v>
      </c>
      <c r="AA560" s="9">
        <v>8.7100000000000009</v>
      </c>
      <c r="AB560" s="10">
        <v>0.28050000000000003</v>
      </c>
      <c r="AC560" s="8">
        <v>3.4291</v>
      </c>
      <c r="AD560" s="8">
        <v>6.4841499999999996</v>
      </c>
      <c r="AE560" s="8">
        <v>5.6000000000000001E-2</v>
      </c>
      <c r="AF560" s="8">
        <v>0.03</v>
      </c>
      <c r="AG560" s="8">
        <v>1.5788845082817671</v>
      </c>
      <c r="AH560" s="8">
        <v>10.678571428571427</v>
      </c>
      <c r="AI560" s="8">
        <v>9.4107142857142865</v>
      </c>
      <c r="AJ560" t="s">
        <v>1694</v>
      </c>
      <c r="AK560" t="s">
        <v>1694</v>
      </c>
      <c r="AL560" t="s">
        <v>1726</v>
      </c>
      <c r="AM560" t="s">
        <v>1694</v>
      </c>
      <c r="AN560" t="s">
        <v>1726</v>
      </c>
      <c r="AO560" t="s">
        <v>1694</v>
      </c>
      <c r="AP560" t="s">
        <v>1695</v>
      </c>
      <c r="AQ560" t="s">
        <v>1694</v>
      </c>
      <c r="AR560" t="s">
        <v>1694</v>
      </c>
      <c r="AS560" t="s">
        <v>1726</v>
      </c>
      <c r="AT560" t="s">
        <v>1694</v>
      </c>
      <c r="AU560" t="s">
        <v>1695</v>
      </c>
      <c r="AV560" t="s">
        <v>1694</v>
      </c>
      <c r="AW560" t="s">
        <v>1694</v>
      </c>
      <c r="AX560" t="s">
        <v>1695</v>
      </c>
      <c r="AY560" t="s">
        <v>1694</v>
      </c>
      <c r="AZ560" t="s">
        <v>1694</v>
      </c>
      <c r="BA560" t="s">
        <v>1726</v>
      </c>
      <c r="BB560" t="s">
        <v>1695</v>
      </c>
      <c r="BC560" t="s">
        <v>1694</v>
      </c>
      <c r="BD560" t="s">
        <v>1694</v>
      </c>
      <c r="BE560" t="s">
        <v>1695</v>
      </c>
      <c r="BF560" t="s">
        <v>1694</v>
      </c>
      <c r="BG560" t="s">
        <v>1697</v>
      </c>
      <c r="BH560" t="s">
        <v>1698</v>
      </c>
      <c r="BI560" t="b">
        <v>0</v>
      </c>
      <c r="BJ560">
        <f t="shared" si="8"/>
        <v>0</v>
      </c>
    </row>
    <row r="561" spans="1:62" x14ac:dyDescent="0.2">
      <c r="A561" s="5" t="s">
        <v>127</v>
      </c>
      <c r="B561" s="6">
        <v>38436</v>
      </c>
      <c r="C561" s="7">
        <v>33.328158000000002</v>
      </c>
      <c r="D561" s="7">
        <v>-112.03227200000001</v>
      </c>
      <c r="E561" s="17">
        <v>455</v>
      </c>
      <c r="F561" t="s">
        <v>1694</v>
      </c>
      <c r="G561" t="s">
        <v>1694</v>
      </c>
      <c r="H561" t="s">
        <v>1694</v>
      </c>
      <c r="I561">
        <v>0</v>
      </c>
      <c r="J561" s="8">
        <v>14.417465068924241</v>
      </c>
      <c r="K561" s="8">
        <v>60.0059400114528</v>
      </c>
      <c r="L561" s="8">
        <v>25.576594919622963</v>
      </c>
      <c r="M561" s="8">
        <v>1.2805575578693544</v>
      </c>
      <c r="N561" s="8">
        <v>1.0834708683793319</v>
      </c>
      <c r="O561" s="8">
        <v>0.26285128819423587</v>
      </c>
      <c r="P561" s="8">
        <v>0.79228807250238653</v>
      </c>
      <c r="Q561" s="8">
        <v>13.35357610763911</v>
      </c>
      <c r="R561" s="8">
        <v>1.8923007380326595</v>
      </c>
      <c r="S561" s="8">
        <v>0.86399999999999999</v>
      </c>
      <c r="T561" s="8">
        <v>0.55400000000000005</v>
      </c>
      <c r="U561" s="8">
        <v>8.6999999999999994E-2</v>
      </c>
      <c r="V561" s="8">
        <v>7.3999999999999996E-2</v>
      </c>
      <c r="W561" s="8">
        <v>0.77700000000000002</v>
      </c>
      <c r="X561" s="8">
        <v>0.48000000000000004</v>
      </c>
      <c r="Y561" s="8">
        <v>1.0152284263959399</v>
      </c>
      <c r="Z561" s="8">
        <v>2.7173913043478404</v>
      </c>
      <c r="AA561" s="8">
        <v>8.49</v>
      </c>
      <c r="AB561">
        <v>0.27200000000000002</v>
      </c>
      <c r="AC561" s="8">
        <v>3.6802030456852681</v>
      </c>
      <c r="AD561" s="8">
        <v>4.483695652173914</v>
      </c>
      <c r="AE561" s="8">
        <v>7.5999999999999998E-2</v>
      </c>
      <c r="AF561" s="8">
        <v>3.3000000000000002E-2</v>
      </c>
      <c r="AG561" s="8">
        <v>1.2931332941656817</v>
      </c>
      <c r="AH561" s="8">
        <v>11.368421052631579</v>
      </c>
      <c r="AI561" s="8">
        <v>7.2894736842105274</v>
      </c>
      <c r="AJ561" t="s">
        <v>1694</v>
      </c>
      <c r="AK561" t="s">
        <v>1694</v>
      </c>
      <c r="AL561" t="s">
        <v>1726</v>
      </c>
      <c r="AM561" t="s">
        <v>1694</v>
      </c>
      <c r="AN561" t="s">
        <v>1726</v>
      </c>
      <c r="AO561" t="s">
        <v>1694</v>
      </c>
      <c r="AP561" t="s">
        <v>1695</v>
      </c>
      <c r="AQ561" t="s">
        <v>1694</v>
      </c>
      <c r="AR561" t="s">
        <v>1694</v>
      </c>
      <c r="AS561" t="s">
        <v>1726</v>
      </c>
      <c r="AT561" t="s">
        <v>1694</v>
      </c>
      <c r="AU561" t="s">
        <v>1695</v>
      </c>
      <c r="AV561" t="s">
        <v>1694</v>
      </c>
      <c r="AW561" t="s">
        <v>1694</v>
      </c>
      <c r="AX561" t="s">
        <v>1695</v>
      </c>
      <c r="AY561" t="s">
        <v>1694</v>
      </c>
      <c r="AZ561" t="s">
        <v>1694</v>
      </c>
      <c r="BA561" t="s">
        <v>1726</v>
      </c>
      <c r="BB561" t="s">
        <v>1695</v>
      </c>
      <c r="BC561" t="s">
        <v>1694</v>
      </c>
      <c r="BD561" t="s">
        <v>1694</v>
      </c>
      <c r="BE561" t="s">
        <v>1695</v>
      </c>
      <c r="BF561" t="s">
        <v>1694</v>
      </c>
      <c r="BG561" t="s">
        <v>1697</v>
      </c>
      <c r="BH561" t="s">
        <v>1698</v>
      </c>
      <c r="BI561" t="b">
        <v>0</v>
      </c>
      <c r="BJ561">
        <f t="shared" si="8"/>
        <v>0</v>
      </c>
    </row>
    <row r="562" spans="1:62" x14ac:dyDescent="0.2">
      <c r="A562" s="5" t="s">
        <v>127</v>
      </c>
      <c r="B562" s="6">
        <v>40268</v>
      </c>
      <c r="C562" s="7">
        <v>33.328158000000002</v>
      </c>
      <c r="D562" s="7">
        <v>-112.03227200000001</v>
      </c>
      <c r="E562" s="17">
        <v>455</v>
      </c>
      <c r="F562" t="s">
        <v>1694</v>
      </c>
      <c r="G562" t="s">
        <v>1694</v>
      </c>
      <c r="H562" t="s">
        <v>1694</v>
      </c>
      <c r="I562">
        <v>0</v>
      </c>
      <c r="J562" s="8">
        <v>17.556646676231672</v>
      </c>
      <c r="K562" s="8">
        <v>53.781354358678129</v>
      </c>
      <c r="L562" s="8">
        <v>28.661998965090191</v>
      </c>
      <c r="M562" s="8">
        <v>2.6986947623115795E-3</v>
      </c>
      <c r="N562" s="8">
        <v>1.0100856750501725</v>
      </c>
      <c r="O562" s="8">
        <v>6.1551892000000494</v>
      </c>
      <c r="P562" s="8">
        <v>12.29329077386644</v>
      </c>
      <c r="Q562" s="8">
        <v>18.99973904464337</v>
      </c>
      <c r="R562" s="8">
        <v>2.5000000000000001E-3</v>
      </c>
      <c r="S562" s="8">
        <v>0.65500000000000003</v>
      </c>
      <c r="T562" s="8">
        <v>0.25900000000000001</v>
      </c>
      <c r="U562" s="8">
        <v>0.13200000000000001</v>
      </c>
      <c r="V562" s="8">
        <v>2.9000000000000001E-2</v>
      </c>
      <c r="W562" s="8">
        <v>0.52300000000000002</v>
      </c>
      <c r="X562" s="8">
        <v>0.23</v>
      </c>
      <c r="Y562" s="8">
        <v>3.1969309462915603</v>
      </c>
      <c r="Z562" s="8">
        <v>2.8485757121439206</v>
      </c>
      <c r="AA562" s="8">
        <v>8.32</v>
      </c>
      <c r="AB562">
        <v>0.35699999999999998</v>
      </c>
      <c r="AC562" s="8">
        <v>3.1969309462915603</v>
      </c>
      <c r="AD562" s="8">
        <v>4.4977511244377917</v>
      </c>
      <c r="AE562" s="8">
        <v>5.2999999999999999E-2</v>
      </c>
      <c r="AF562" s="8">
        <v>0.02</v>
      </c>
      <c r="AG562" s="8">
        <v>1.505075405145448</v>
      </c>
      <c r="AH562" s="8">
        <v>12.358490566037737</v>
      </c>
      <c r="AI562" s="8">
        <v>4.8867924528301891</v>
      </c>
      <c r="AJ562" t="s">
        <v>1694</v>
      </c>
      <c r="AK562" t="s">
        <v>1694</v>
      </c>
      <c r="AL562" t="s">
        <v>1726</v>
      </c>
      <c r="AM562" t="s">
        <v>1694</v>
      </c>
      <c r="AN562" t="s">
        <v>1726</v>
      </c>
      <c r="AO562" t="s">
        <v>1694</v>
      </c>
      <c r="AP562" t="s">
        <v>1695</v>
      </c>
      <c r="AQ562" t="s">
        <v>1694</v>
      </c>
      <c r="AR562" t="s">
        <v>1694</v>
      </c>
      <c r="AS562" t="s">
        <v>1726</v>
      </c>
      <c r="AT562" t="s">
        <v>1694</v>
      </c>
      <c r="AU562" t="s">
        <v>1695</v>
      </c>
      <c r="AV562" t="s">
        <v>1694</v>
      </c>
      <c r="AW562" t="s">
        <v>1694</v>
      </c>
      <c r="AX562" t="s">
        <v>1695</v>
      </c>
      <c r="AY562" t="s">
        <v>1694</v>
      </c>
      <c r="AZ562" t="s">
        <v>1694</v>
      </c>
      <c r="BA562" t="s">
        <v>1726</v>
      </c>
      <c r="BB562" t="s">
        <v>1695</v>
      </c>
      <c r="BC562" t="s">
        <v>1694</v>
      </c>
      <c r="BD562" t="s">
        <v>1694</v>
      </c>
      <c r="BE562" t="s">
        <v>1695</v>
      </c>
      <c r="BF562" t="s">
        <v>1694</v>
      </c>
      <c r="BG562" t="s">
        <v>1697</v>
      </c>
      <c r="BH562" t="s">
        <v>1698</v>
      </c>
      <c r="BI562" t="b">
        <v>1</v>
      </c>
      <c r="BJ562">
        <f t="shared" si="8"/>
        <v>1</v>
      </c>
    </row>
    <row r="563" spans="1:62" x14ac:dyDescent="0.2">
      <c r="A563" s="5" t="s">
        <v>127</v>
      </c>
      <c r="B563" s="6">
        <v>42143</v>
      </c>
      <c r="C563" s="7">
        <v>33.328158000000002</v>
      </c>
      <c r="D563" s="7">
        <v>-112.03227200000001</v>
      </c>
      <c r="E563" s="17">
        <v>455</v>
      </c>
      <c r="F563" t="s">
        <v>1694</v>
      </c>
      <c r="G563" t="s">
        <v>1694</v>
      </c>
      <c r="H563" t="s">
        <v>1694</v>
      </c>
      <c r="I563">
        <v>0</v>
      </c>
      <c r="J563">
        <v>8.9494063481394601</v>
      </c>
      <c r="K563">
        <v>76.717977369807798</v>
      </c>
      <c r="L563">
        <v>14.332616282052699</v>
      </c>
      <c r="M563">
        <v>2.5671441905219301</v>
      </c>
      <c r="N563">
        <v>2.13119113262346</v>
      </c>
      <c r="O563">
        <v>26.629331528548398</v>
      </c>
      <c r="P563">
        <v>63.935733978703801</v>
      </c>
      <c r="Q563">
        <v>8.0055547523896209</v>
      </c>
      <c r="R563">
        <v>7.6799650125899896</v>
      </c>
      <c r="S563">
        <v>0.80100000000000005</v>
      </c>
      <c r="T563">
        <v>0.58299999999999996</v>
      </c>
      <c r="U563">
        <v>2.5999999999999999E-2</v>
      </c>
      <c r="V563">
        <v>0.188</v>
      </c>
      <c r="W563">
        <v>0.77500000000000002</v>
      </c>
      <c r="X563">
        <v>0.39500000000000002</v>
      </c>
      <c r="Y563">
        <v>2.1608643457382901</v>
      </c>
      <c r="Z563">
        <v>1.59453302961274</v>
      </c>
      <c r="AA563">
        <v>7.05</v>
      </c>
      <c r="AB563">
        <v>0.34499999999999997</v>
      </c>
      <c r="AC563">
        <v>5.5737704918032804</v>
      </c>
      <c r="AD563">
        <v>4.4410413476263502</v>
      </c>
      <c r="AE563">
        <v>5.2999999999999999E-2</v>
      </c>
      <c r="AF563">
        <v>5.8000000000000003E-2</v>
      </c>
      <c r="AG563">
        <v>1.5180027868811363</v>
      </c>
      <c r="AH563">
        <v>15.1132075471698</v>
      </c>
      <c r="AI563">
        <v>10.051724137931</v>
      </c>
      <c r="AJ563" t="s">
        <v>1694</v>
      </c>
      <c r="AK563" t="s">
        <v>1694</v>
      </c>
      <c r="AL563" t="s">
        <v>1726</v>
      </c>
      <c r="AM563" t="s">
        <v>1694</v>
      </c>
      <c r="AN563" t="s">
        <v>1726</v>
      </c>
      <c r="AO563" t="s">
        <v>1694</v>
      </c>
      <c r="AP563" t="s">
        <v>1695</v>
      </c>
      <c r="AQ563" t="s">
        <v>1694</v>
      </c>
      <c r="AR563" t="s">
        <v>1694</v>
      </c>
      <c r="AS563" t="s">
        <v>1726</v>
      </c>
      <c r="AT563" t="s">
        <v>1694</v>
      </c>
      <c r="AU563" t="s">
        <v>1695</v>
      </c>
      <c r="AV563" t="s">
        <v>1694</v>
      </c>
      <c r="AW563" t="s">
        <v>1694</v>
      </c>
      <c r="AX563" t="s">
        <v>1695</v>
      </c>
      <c r="AY563" t="s">
        <v>1694</v>
      </c>
      <c r="AZ563" t="s">
        <v>1694</v>
      </c>
      <c r="BA563" t="s">
        <v>1726</v>
      </c>
      <c r="BB563" t="s">
        <v>1695</v>
      </c>
      <c r="BC563" t="s">
        <v>1694</v>
      </c>
      <c r="BD563" t="s">
        <v>1694</v>
      </c>
      <c r="BE563" t="s">
        <v>1695</v>
      </c>
      <c r="BF563" t="s">
        <v>1694</v>
      </c>
      <c r="BG563" t="s">
        <v>1697</v>
      </c>
      <c r="BH563" t="s">
        <v>1698</v>
      </c>
      <c r="BI563" t="b">
        <v>0</v>
      </c>
      <c r="BJ563">
        <f t="shared" si="8"/>
        <v>0</v>
      </c>
    </row>
    <row r="564" spans="1:62" x14ac:dyDescent="0.2">
      <c r="A564" s="5" t="s">
        <v>127</v>
      </c>
      <c r="B564" s="6">
        <v>45030</v>
      </c>
      <c r="C564" s="7">
        <v>33.328158000000002</v>
      </c>
      <c r="D564" s="7">
        <v>-112.03227200000001</v>
      </c>
      <c r="E564" s="17">
        <v>455</v>
      </c>
      <c r="F564" t="s">
        <v>1694</v>
      </c>
      <c r="G564" t="s">
        <v>1694</v>
      </c>
      <c r="H564" t="s">
        <v>1694</v>
      </c>
      <c r="I564">
        <v>0</v>
      </c>
      <c r="J564" s="6" t="s">
        <v>1697</v>
      </c>
      <c r="K564" s="6" t="s">
        <v>1697</v>
      </c>
      <c r="L564" s="6" t="s">
        <v>1697</v>
      </c>
      <c r="M564" s="6" t="s">
        <v>1697</v>
      </c>
      <c r="N564" s="6" t="s">
        <v>1697</v>
      </c>
      <c r="O564" s="6" t="s">
        <v>1697</v>
      </c>
      <c r="P564" s="6" t="s">
        <v>1697</v>
      </c>
      <c r="Q564" s="6" t="s">
        <v>1697</v>
      </c>
      <c r="R564" s="6" t="s">
        <v>1697</v>
      </c>
      <c r="S564" s="6" t="s">
        <v>1697</v>
      </c>
      <c r="T564" s="6" t="s">
        <v>1697</v>
      </c>
      <c r="U564" s="6" t="s">
        <v>1697</v>
      </c>
      <c r="V564" s="6" t="s">
        <v>1697</v>
      </c>
      <c r="W564" s="6" t="s">
        <v>1697</v>
      </c>
      <c r="X564" s="6" t="s">
        <v>1697</v>
      </c>
      <c r="Y564" s="6" t="s">
        <v>1697</v>
      </c>
      <c r="Z564" s="6" t="s">
        <v>1697</v>
      </c>
      <c r="AA564" s="6" t="s">
        <v>1697</v>
      </c>
      <c r="AB564" s="6" t="s">
        <v>1697</v>
      </c>
      <c r="AC564" s="6" t="s">
        <v>1697</v>
      </c>
      <c r="AD564" s="6" t="s">
        <v>1697</v>
      </c>
      <c r="AE564" s="6" t="s">
        <v>1697</v>
      </c>
      <c r="AF564" s="6" t="s">
        <v>1697</v>
      </c>
      <c r="AG564" s="6" t="s">
        <v>1697</v>
      </c>
      <c r="AH564" s="6" t="s">
        <v>1697</v>
      </c>
      <c r="AI564" s="6" t="s">
        <v>1697</v>
      </c>
      <c r="AJ564" t="s">
        <v>1694</v>
      </c>
      <c r="AK564" t="s">
        <v>1694</v>
      </c>
      <c r="AL564" t="s">
        <v>1726</v>
      </c>
      <c r="AM564" t="s">
        <v>1694</v>
      </c>
      <c r="AN564" t="s">
        <v>1726</v>
      </c>
      <c r="AO564" t="s">
        <v>1694</v>
      </c>
      <c r="AP564" t="s">
        <v>1695</v>
      </c>
      <c r="AQ564" t="s">
        <v>1694</v>
      </c>
      <c r="AR564" t="s">
        <v>1694</v>
      </c>
      <c r="AS564" t="s">
        <v>1726</v>
      </c>
      <c r="AT564" t="s">
        <v>1694</v>
      </c>
      <c r="AU564" t="s">
        <v>1695</v>
      </c>
      <c r="AV564" t="s">
        <v>1694</v>
      </c>
      <c r="AW564" t="s">
        <v>1694</v>
      </c>
      <c r="AX564" t="s">
        <v>1695</v>
      </c>
      <c r="AY564" t="s">
        <v>1694</v>
      </c>
      <c r="AZ564" t="s">
        <v>1694</v>
      </c>
      <c r="BA564" t="s">
        <v>1726</v>
      </c>
      <c r="BB564" t="s">
        <v>1695</v>
      </c>
      <c r="BC564" t="s">
        <v>1694</v>
      </c>
      <c r="BD564" t="s">
        <v>1694</v>
      </c>
      <c r="BE564" t="s">
        <v>1695</v>
      </c>
      <c r="BF564" t="s">
        <v>1694</v>
      </c>
      <c r="BG564" s="6" t="s">
        <v>1697</v>
      </c>
      <c r="BH564" s="6" t="s">
        <v>1697</v>
      </c>
      <c r="BI564" t="b">
        <v>1</v>
      </c>
      <c r="BJ564">
        <f t="shared" si="8"/>
        <v>1</v>
      </c>
    </row>
    <row r="565" spans="1:62" x14ac:dyDescent="0.2">
      <c r="A565" s="5" t="s">
        <v>128</v>
      </c>
      <c r="B565" s="6">
        <v>38478</v>
      </c>
      <c r="C565" s="7">
        <v>33.308128000000004</v>
      </c>
      <c r="D565" s="7">
        <v>-112.030017</v>
      </c>
      <c r="E565" s="17">
        <v>381</v>
      </c>
      <c r="F565" t="s">
        <v>1706</v>
      </c>
      <c r="G565" t="s">
        <v>1728</v>
      </c>
      <c r="H565" t="s">
        <v>1728</v>
      </c>
      <c r="I565">
        <v>1</v>
      </c>
      <c r="J565" s="8">
        <v>7.4343178471624762</v>
      </c>
      <c r="K565" s="8">
        <v>80.413090435158395</v>
      </c>
      <c r="L565" s="8">
        <v>12.15259171767913</v>
      </c>
      <c r="M565" s="8">
        <v>1.7678360742776427</v>
      </c>
      <c r="N565" s="8">
        <v>1.1584064481024647</v>
      </c>
      <c r="O565" s="8">
        <v>4.8133354931468535</v>
      </c>
      <c r="P565" s="8">
        <v>2.5000000000000001E-3</v>
      </c>
      <c r="Q565" s="8">
        <v>7.6685926331764227</v>
      </c>
      <c r="R565" s="8">
        <v>1.7934338305098729</v>
      </c>
      <c r="S565" s="8">
        <v>1.147</v>
      </c>
      <c r="T565" s="8">
        <v>0.28499999999999998</v>
      </c>
      <c r="U565" s="8">
        <v>0.41199999999999998</v>
      </c>
      <c r="V565" s="8">
        <v>0.106</v>
      </c>
      <c r="W565" s="8">
        <v>0.7350000000000001</v>
      </c>
      <c r="X565" s="8">
        <v>0.17899999999999999</v>
      </c>
      <c r="Y565" s="8">
        <v>3.0769230769230802</v>
      </c>
      <c r="Z565" s="8">
        <v>1.5267175572519098</v>
      </c>
      <c r="AA565" s="8">
        <v>7.91</v>
      </c>
      <c r="AB565">
        <v>0.377</v>
      </c>
      <c r="AC565" s="8">
        <v>12.307692307692321</v>
      </c>
      <c r="AD565" s="8">
        <v>8.6832061068702302</v>
      </c>
      <c r="AE565" s="8">
        <v>6.9000000000000006E-2</v>
      </c>
      <c r="AF565" s="8">
        <v>1.2999999999999999E-2</v>
      </c>
      <c r="AG565" s="8">
        <v>1.4408096956197756</v>
      </c>
      <c r="AH565" s="8">
        <v>16.623188405797102</v>
      </c>
      <c r="AI565" s="8">
        <v>4.1304347826086953</v>
      </c>
      <c r="AJ565" t="s">
        <v>1694</v>
      </c>
      <c r="AK565" t="s">
        <v>1694</v>
      </c>
      <c r="AL565" t="s">
        <v>1694</v>
      </c>
      <c r="AM565" t="s">
        <v>1694</v>
      </c>
      <c r="AN565" t="s">
        <v>1694</v>
      </c>
      <c r="AO565" t="s">
        <v>1694</v>
      </c>
      <c r="AP565" t="s">
        <v>1695</v>
      </c>
      <c r="AQ565" t="s">
        <v>1694</v>
      </c>
      <c r="AR565" t="s">
        <v>1694</v>
      </c>
      <c r="AS565" t="s">
        <v>1694</v>
      </c>
      <c r="AT565" t="s">
        <v>1694</v>
      </c>
      <c r="AU565" t="s">
        <v>1695</v>
      </c>
      <c r="AV565" t="s">
        <v>1694</v>
      </c>
      <c r="AW565" t="s">
        <v>1694</v>
      </c>
      <c r="AX565" t="s">
        <v>1695</v>
      </c>
      <c r="AY565" t="s">
        <v>1757</v>
      </c>
      <c r="AZ565" t="s">
        <v>1741</v>
      </c>
      <c r="BA565" t="s">
        <v>1726</v>
      </c>
      <c r="BB565" t="s">
        <v>1695</v>
      </c>
      <c r="BC565" t="s">
        <v>1757</v>
      </c>
      <c r="BD565" t="s">
        <v>1741</v>
      </c>
      <c r="BE565" t="s">
        <v>1695</v>
      </c>
      <c r="BF565" t="s">
        <v>1757</v>
      </c>
      <c r="BG565">
        <v>25</v>
      </c>
      <c r="BH565" s="12" t="s">
        <v>1709</v>
      </c>
      <c r="BI565" t="b">
        <v>0</v>
      </c>
      <c r="BJ565">
        <f t="shared" si="8"/>
        <v>0</v>
      </c>
    </row>
    <row r="566" spans="1:62" x14ac:dyDescent="0.2">
      <c r="A566" s="5" t="s">
        <v>128</v>
      </c>
      <c r="B566" s="6">
        <v>40304</v>
      </c>
      <c r="C566" s="7">
        <v>33.308128000000004</v>
      </c>
      <c r="D566" s="7">
        <v>-112.030017</v>
      </c>
      <c r="E566" s="17">
        <v>381</v>
      </c>
      <c r="F566" t="s">
        <v>1706</v>
      </c>
      <c r="G566" t="s">
        <v>1728</v>
      </c>
      <c r="H566" t="s">
        <v>1728</v>
      </c>
      <c r="I566">
        <v>1</v>
      </c>
      <c r="J566" s="8">
        <v>12.081345954284128</v>
      </c>
      <c r="K566" s="8">
        <v>65.27619340136107</v>
      </c>
      <c r="L566" s="8">
        <v>22.642460644354799</v>
      </c>
      <c r="M566" s="8">
        <v>40.372045799197757</v>
      </c>
      <c r="N566" s="8">
        <v>1.0308391319840702</v>
      </c>
      <c r="O566" s="8">
        <v>66.188183929297011</v>
      </c>
      <c r="P566" s="8">
        <v>26.4974085603959</v>
      </c>
      <c r="Q566" s="8">
        <v>36.324593466765251</v>
      </c>
      <c r="R566" s="8">
        <v>7.3246100258186848</v>
      </c>
      <c r="S566" s="8">
        <v>0.68100000000000005</v>
      </c>
      <c r="T566" s="8">
        <v>0.48799999999999999</v>
      </c>
      <c r="U566" s="8">
        <v>0.36399999999999999</v>
      </c>
      <c r="V566" s="8">
        <v>0.26200000000000001</v>
      </c>
      <c r="W566" s="8">
        <v>0.31700000000000006</v>
      </c>
      <c r="X566" s="8">
        <v>0.22599999999999998</v>
      </c>
      <c r="Y566" s="8">
        <v>2.2590361445783183</v>
      </c>
      <c r="Z566" s="8">
        <v>2.0746887966805025</v>
      </c>
      <c r="AA566" s="8">
        <v>8.1300000000000008</v>
      </c>
      <c r="AB566">
        <v>0.56200000000000006</v>
      </c>
      <c r="AC566" s="8">
        <v>1.8072289156626387</v>
      </c>
      <c r="AD566" s="8">
        <v>2.0746887966805025</v>
      </c>
      <c r="AE566" s="8">
        <v>4.7E-2</v>
      </c>
      <c r="AF566" s="8">
        <v>0.03</v>
      </c>
      <c r="AG566" s="8">
        <v>1.3464643042482121</v>
      </c>
      <c r="AH566" s="8">
        <v>14.48936170212766</v>
      </c>
      <c r="AI566" s="8">
        <v>10.382978723404255</v>
      </c>
      <c r="AJ566" t="s">
        <v>1694</v>
      </c>
      <c r="AK566" t="s">
        <v>1694</v>
      </c>
      <c r="AL566" t="s">
        <v>1694</v>
      </c>
      <c r="AM566" t="s">
        <v>1694</v>
      </c>
      <c r="AN566" t="s">
        <v>1694</v>
      </c>
      <c r="AO566" t="s">
        <v>1694</v>
      </c>
      <c r="AP566" t="s">
        <v>1695</v>
      </c>
      <c r="AQ566" t="s">
        <v>1694</v>
      </c>
      <c r="AR566" t="s">
        <v>1694</v>
      </c>
      <c r="AS566" t="s">
        <v>1694</v>
      </c>
      <c r="AT566" t="s">
        <v>1694</v>
      </c>
      <c r="AU566" t="s">
        <v>1695</v>
      </c>
      <c r="AV566" t="s">
        <v>1694</v>
      </c>
      <c r="AW566" t="s">
        <v>1694</v>
      </c>
      <c r="AX566" t="s">
        <v>1695</v>
      </c>
      <c r="AY566" t="s">
        <v>1757</v>
      </c>
      <c r="AZ566" t="s">
        <v>1741</v>
      </c>
      <c r="BA566" t="s">
        <v>1726</v>
      </c>
      <c r="BB566" t="s">
        <v>1695</v>
      </c>
      <c r="BC566" t="s">
        <v>1757</v>
      </c>
      <c r="BD566" t="s">
        <v>1741</v>
      </c>
      <c r="BE566" t="s">
        <v>1695</v>
      </c>
      <c r="BF566" t="s">
        <v>1757</v>
      </c>
      <c r="BG566">
        <v>30</v>
      </c>
      <c r="BH566" s="12" t="s">
        <v>1709</v>
      </c>
      <c r="BI566" t="b">
        <v>0</v>
      </c>
      <c r="BJ566">
        <f t="shared" si="8"/>
        <v>0</v>
      </c>
    </row>
    <row r="567" spans="1:62" x14ac:dyDescent="0.2">
      <c r="A567" s="5" t="s">
        <v>128</v>
      </c>
      <c r="B567" s="6">
        <v>42093</v>
      </c>
      <c r="C567" s="7">
        <v>33.308128000000004</v>
      </c>
      <c r="D567" s="7">
        <v>-112.030017</v>
      </c>
      <c r="E567" s="17">
        <v>381</v>
      </c>
      <c r="F567" t="s">
        <v>1697</v>
      </c>
      <c r="G567" t="s">
        <v>1697</v>
      </c>
      <c r="H567" t="s">
        <v>1697</v>
      </c>
      <c r="I567" t="s">
        <v>1697</v>
      </c>
      <c r="J567">
        <v>5.8091995223099104</v>
      </c>
      <c r="K567">
        <v>90.074142899834996</v>
      </c>
      <c r="L567">
        <v>4.1166575778551104</v>
      </c>
      <c r="M567">
        <v>3.8406769429049001</v>
      </c>
      <c r="N567" t="s">
        <v>1697</v>
      </c>
      <c r="O567">
        <v>108.107943578064</v>
      </c>
      <c r="P567" t="s">
        <v>1697</v>
      </c>
      <c r="Q567">
        <v>22.978770434306199</v>
      </c>
      <c r="R567" t="s">
        <v>1697</v>
      </c>
      <c r="S567">
        <v>0.52700000000000002</v>
      </c>
      <c r="T567" t="s">
        <v>1697</v>
      </c>
      <c r="U567">
        <v>0.26800000000000002</v>
      </c>
      <c r="V567" t="s">
        <v>1697</v>
      </c>
      <c r="W567">
        <v>0.25900000000000001</v>
      </c>
      <c r="X567" t="s">
        <v>1697</v>
      </c>
      <c r="Y567">
        <v>1.4101057579318399</v>
      </c>
      <c r="Z567" t="s">
        <v>1697</v>
      </c>
      <c r="AA567">
        <v>7.94</v>
      </c>
      <c r="AB567">
        <v>0.3</v>
      </c>
      <c r="AC567">
        <v>1.74880763116056</v>
      </c>
      <c r="AD567" t="s">
        <v>1697</v>
      </c>
      <c r="AE567">
        <v>1.6E-2</v>
      </c>
      <c r="AF567" t="s">
        <v>1697</v>
      </c>
      <c r="AG567">
        <v>1.3547677736492827</v>
      </c>
      <c r="AH567">
        <v>32.9375</v>
      </c>
      <c r="AI567" t="s">
        <v>1697</v>
      </c>
      <c r="AJ567" t="s">
        <v>1694</v>
      </c>
      <c r="AK567" t="s">
        <v>1694</v>
      </c>
      <c r="AL567" t="s">
        <v>1694</v>
      </c>
      <c r="AM567" t="s">
        <v>1694</v>
      </c>
      <c r="AN567" t="s">
        <v>1694</v>
      </c>
      <c r="AO567" t="s">
        <v>1694</v>
      </c>
      <c r="AP567" t="s">
        <v>1695</v>
      </c>
      <c r="AQ567" t="s">
        <v>1694</v>
      </c>
      <c r="AR567" t="s">
        <v>1694</v>
      </c>
      <c r="AS567" t="s">
        <v>1694</v>
      </c>
      <c r="AT567" t="s">
        <v>1694</v>
      </c>
      <c r="AU567" t="s">
        <v>1695</v>
      </c>
      <c r="AV567" t="s">
        <v>1694</v>
      </c>
      <c r="AW567" t="s">
        <v>1694</v>
      </c>
      <c r="AX567" t="s">
        <v>1695</v>
      </c>
      <c r="AY567" t="s">
        <v>1757</v>
      </c>
      <c r="AZ567" t="s">
        <v>1741</v>
      </c>
      <c r="BA567" t="s">
        <v>1726</v>
      </c>
      <c r="BB567" t="s">
        <v>1695</v>
      </c>
      <c r="BC567" t="s">
        <v>1757</v>
      </c>
      <c r="BD567" t="s">
        <v>1741</v>
      </c>
      <c r="BE567" t="s">
        <v>1695</v>
      </c>
      <c r="BF567" t="s">
        <v>1757</v>
      </c>
      <c r="BG567">
        <v>35</v>
      </c>
      <c r="BH567" s="12" t="s">
        <v>1709</v>
      </c>
      <c r="BI567" t="b">
        <v>0</v>
      </c>
      <c r="BJ567">
        <f t="shared" si="8"/>
        <v>0</v>
      </c>
    </row>
    <row r="568" spans="1:62" x14ac:dyDescent="0.2">
      <c r="A568" s="5" t="s">
        <v>882</v>
      </c>
      <c r="B568" s="6">
        <v>38419</v>
      </c>
      <c r="C568" s="7">
        <v>33.820766999999996</v>
      </c>
      <c r="D568" s="7">
        <v>-112.01096699999999</v>
      </c>
      <c r="E568" s="17">
        <v>589</v>
      </c>
      <c r="F568" t="s">
        <v>1694</v>
      </c>
      <c r="G568" t="s">
        <v>1694</v>
      </c>
      <c r="H568" t="s">
        <v>1694</v>
      </c>
      <c r="I568">
        <v>0</v>
      </c>
      <c r="J568" s="8">
        <v>13.005420058519935</v>
      </c>
      <c r="K568" s="8">
        <v>68.354499258930019</v>
      </c>
      <c r="L568" s="8">
        <v>18.64008068255005</v>
      </c>
      <c r="M568" s="8">
        <v>1.5806726244420901</v>
      </c>
      <c r="N568" s="8">
        <v>2.5185181137255248</v>
      </c>
      <c r="O568" s="8">
        <v>0.90716863663632996</v>
      </c>
      <c r="P568" s="8">
        <v>0.56666657558824318</v>
      </c>
      <c r="Q568" s="8">
        <v>9.8351810679806118</v>
      </c>
      <c r="R568" s="8">
        <v>2.7680264763879885</v>
      </c>
      <c r="S568" s="8">
        <v>0.49299999999999999</v>
      </c>
      <c r="T568" s="8">
        <v>0.85599999999999998</v>
      </c>
      <c r="U568" s="8">
        <v>0.34100000000000003</v>
      </c>
      <c r="V568" s="8">
        <v>0.41199999999999998</v>
      </c>
      <c r="W568" s="8">
        <v>0.15199999999999997</v>
      </c>
      <c r="X568" s="8">
        <v>0.44400000000000001</v>
      </c>
      <c r="Y568" s="8">
        <v>4.07407407407407</v>
      </c>
      <c r="Z568" s="8">
        <v>3.7549407114624409</v>
      </c>
      <c r="AA568" s="8">
        <v>7.99</v>
      </c>
      <c r="AB568">
        <v>0.32400000000000001</v>
      </c>
      <c r="AC568" s="8">
        <v>10</v>
      </c>
      <c r="AD568" s="8">
        <v>12.64822134387353</v>
      </c>
      <c r="AE568" s="8">
        <v>3.1E-2</v>
      </c>
      <c r="AF568" s="8">
        <v>4.9000000000000002E-2</v>
      </c>
      <c r="AG568" s="8">
        <v>1.2464122910700515</v>
      </c>
      <c r="AH568" s="8">
        <v>15.903225806451612</v>
      </c>
      <c r="AI568" s="8">
        <v>27.612903225806452</v>
      </c>
      <c r="AJ568" t="s">
        <v>1694</v>
      </c>
      <c r="AK568" t="s">
        <v>1694</v>
      </c>
      <c r="AL568" t="s">
        <v>1694</v>
      </c>
      <c r="AM568" t="s">
        <v>1694</v>
      </c>
      <c r="AN568" t="s">
        <v>1694</v>
      </c>
      <c r="AO568" t="s">
        <v>1694</v>
      </c>
      <c r="AP568" s="11" t="s">
        <v>1695</v>
      </c>
      <c r="AQ568" s="11" t="s">
        <v>1694</v>
      </c>
      <c r="AR568" s="11" t="s">
        <v>1694</v>
      </c>
      <c r="AS568" t="s">
        <v>1694</v>
      </c>
      <c r="AT568" t="s">
        <v>1694</v>
      </c>
      <c r="AU568" s="11" t="s">
        <v>1695</v>
      </c>
      <c r="AV568" s="11" t="s">
        <v>1694</v>
      </c>
      <c r="AW568" s="11" t="s">
        <v>1694</v>
      </c>
      <c r="AX568" t="s">
        <v>1695</v>
      </c>
      <c r="AY568" t="s">
        <v>1694</v>
      </c>
      <c r="AZ568" s="11" t="s">
        <v>1694</v>
      </c>
      <c r="BA568" t="s">
        <v>1694</v>
      </c>
      <c r="BB568" t="s">
        <v>1695</v>
      </c>
      <c r="BC568" t="s">
        <v>1694</v>
      </c>
      <c r="BD568" t="s">
        <v>1694</v>
      </c>
      <c r="BE568" t="s">
        <v>1695</v>
      </c>
      <c r="BF568" t="s">
        <v>1696</v>
      </c>
      <c r="BG568" t="s">
        <v>1697</v>
      </c>
      <c r="BH568" t="s">
        <v>1698</v>
      </c>
      <c r="BI568" t="b">
        <v>0</v>
      </c>
      <c r="BJ568">
        <f t="shared" si="8"/>
        <v>0</v>
      </c>
    </row>
    <row r="569" spans="1:62" x14ac:dyDescent="0.2">
      <c r="A569" s="5" t="s">
        <v>882</v>
      </c>
      <c r="B569" s="6">
        <v>40241</v>
      </c>
      <c r="C569" s="7">
        <v>33.820766999999996</v>
      </c>
      <c r="D569" s="7">
        <v>-112.01096699999999</v>
      </c>
      <c r="E569" s="17">
        <v>589</v>
      </c>
      <c r="F569" t="s">
        <v>1694</v>
      </c>
      <c r="G569" t="s">
        <v>1694</v>
      </c>
      <c r="H569" t="s">
        <v>1694</v>
      </c>
      <c r="I569">
        <v>0</v>
      </c>
      <c r="J569" s="8">
        <v>20.287913809145504</v>
      </c>
      <c r="K569" s="8">
        <v>42.07429012537375</v>
      </c>
      <c r="L569" s="8">
        <v>37.637796065480742</v>
      </c>
      <c r="M569" s="8">
        <v>5.0000000000000001E-3</v>
      </c>
      <c r="N569" s="8">
        <v>4.0585519477130919E-2</v>
      </c>
      <c r="O569" s="8">
        <v>15.054110994440176</v>
      </c>
      <c r="P569" s="8">
        <v>2.8729075584935369</v>
      </c>
      <c r="Q569" s="8">
        <v>18.280633888173924</v>
      </c>
      <c r="R569" s="8">
        <v>7.0131342058084352</v>
      </c>
      <c r="S569" s="8">
        <v>1.1240000000000001</v>
      </c>
      <c r="T569" s="8">
        <v>0.81799999999999995</v>
      </c>
      <c r="U569" s="8">
        <v>0.29299999999999998</v>
      </c>
      <c r="V569" s="8">
        <v>0.32200000000000001</v>
      </c>
      <c r="W569" s="8">
        <v>0.83100000000000018</v>
      </c>
      <c r="X569" s="8">
        <v>0.49599999999999994</v>
      </c>
      <c r="Y569" s="8">
        <v>4.1347626339969308</v>
      </c>
      <c r="Z569" s="8">
        <v>3.9889958734525335</v>
      </c>
      <c r="AA569" s="8">
        <v>7.88</v>
      </c>
      <c r="AB569">
        <v>0.29599999999999999</v>
      </c>
      <c r="AC569" s="8">
        <v>9.9540581929555945</v>
      </c>
      <c r="AD569" s="8">
        <v>10.591471801925717</v>
      </c>
      <c r="AE569" s="8">
        <v>8.1000000000000003E-2</v>
      </c>
      <c r="AF569" s="8">
        <v>4.8000000000000001E-2</v>
      </c>
      <c r="AG569" s="8">
        <v>1.3749971162556018</v>
      </c>
      <c r="AH569" s="8">
        <v>13.876543209876544</v>
      </c>
      <c r="AI569" s="8">
        <v>10.098765432098764</v>
      </c>
      <c r="AJ569" t="s">
        <v>1694</v>
      </c>
      <c r="AK569" t="s">
        <v>1694</v>
      </c>
      <c r="AL569" t="s">
        <v>1694</v>
      </c>
      <c r="AM569" t="s">
        <v>1694</v>
      </c>
      <c r="AN569" t="s">
        <v>1694</v>
      </c>
      <c r="AO569" t="s">
        <v>1694</v>
      </c>
      <c r="AP569" s="11" t="s">
        <v>1695</v>
      </c>
      <c r="AQ569" s="11" t="s">
        <v>1694</v>
      </c>
      <c r="AR569" s="11" t="s">
        <v>1694</v>
      </c>
      <c r="AS569" t="s">
        <v>1694</v>
      </c>
      <c r="AT569" t="s">
        <v>1694</v>
      </c>
      <c r="AU569" s="11" t="s">
        <v>1695</v>
      </c>
      <c r="AV569" s="11" t="s">
        <v>1694</v>
      </c>
      <c r="AW569" s="11" t="s">
        <v>1694</v>
      </c>
      <c r="AX569" t="s">
        <v>1695</v>
      </c>
      <c r="AY569" t="s">
        <v>1694</v>
      </c>
      <c r="AZ569" s="11" t="s">
        <v>1694</v>
      </c>
      <c r="BA569" t="s">
        <v>1694</v>
      </c>
      <c r="BB569" t="s">
        <v>1695</v>
      </c>
      <c r="BC569" t="s">
        <v>1694</v>
      </c>
      <c r="BD569" t="s">
        <v>1694</v>
      </c>
      <c r="BE569" t="s">
        <v>1695</v>
      </c>
      <c r="BF569" t="s">
        <v>1696</v>
      </c>
      <c r="BG569" t="s">
        <v>1697</v>
      </c>
      <c r="BH569" t="s">
        <v>1698</v>
      </c>
      <c r="BI569" t="b">
        <v>0</v>
      </c>
      <c r="BJ569">
        <f t="shared" si="8"/>
        <v>0</v>
      </c>
    </row>
    <row r="570" spans="1:62" x14ac:dyDescent="0.2">
      <c r="A570" s="5" t="s">
        <v>882</v>
      </c>
      <c r="B570" s="6">
        <v>42111</v>
      </c>
      <c r="C570" s="7">
        <v>33.820766999999996</v>
      </c>
      <c r="D570" s="7">
        <v>-112.01096699999999</v>
      </c>
      <c r="E570" s="17">
        <v>589</v>
      </c>
      <c r="F570" t="s">
        <v>1694</v>
      </c>
      <c r="G570" t="s">
        <v>1694</v>
      </c>
      <c r="H570" t="s">
        <v>1694</v>
      </c>
      <c r="I570">
        <v>0</v>
      </c>
      <c r="J570">
        <v>7.2435821880672799</v>
      </c>
      <c r="K570">
        <v>72.986081947587806</v>
      </c>
      <c r="L570">
        <v>19.770335864344901</v>
      </c>
      <c r="M570">
        <v>3.1903152878303298</v>
      </c>
      <c r="N570">
        <v>5.2828775552308302</v>
      </c>
      <c r="O570">
        <v>3.998819847075</v>
      </c>
      <c r="P570">
        <v>3.3836612440528002</v>
      </c>
      <c r="Q570">
        <v>4.1095756067738503</v>
      </c>
      <c r="R570">
        <v>2.61265504046083</v>
      </c>
      <c r="S570">
        <v>0.91500000000000004</v>
      </c>
      <c r="T570">
        <v>0.58299999999999996</v>
      </c>
      <c r="U570">
        <v>0.44600000000000001</v>
      </c>
      <c r="V570">
        <v>6.9000000000000006E-2</v>
      </c>
      <c r="W570">
        <v>0.46899999999999997</v>
      </c>
      <c r="X570">
        <v>0.51400000000000001</v>
      </c>
      <c r="Y570">
        <v>2.1765417170495698</v>
      </c>
      <c r="Z570">
        <v>2.2514071294559099</v>
      </c>
      <c r="AA570">
        <v>7.85</v>
      </c>
      <c r="AB570">
        <v>0.183</v>
      </c>
      <c r="AC570">
        <v>2.1630615640599098</v>
      </c>
      <c r="AD570">
        <v>2.6315789473684199</v>
      </c>
      <c r="AE570">
        <v>0.10100000000000001</v>
      </c>
      <c r="AF570">
        <v>0.23100000000000001</v>
      </c>
      <c r="AG570">
        <v>1.8289120039863813</v>
      </c>
      <c r="AH570">
        <v>9.0594059405940595</v>
      </c>
      <c r="AI570">
        <v>2.5238095238095202</v>
      </c>
      <c r="AJ570" t="s">
        <v>1694</v>
      </c>
      <c r="AK570" t="s">
        <v>1694</v>
      </c>
      <c r="AL570" t="s">
        <v>1694</v>
      </c>
      <c r="AM570" t="s">
        <v>1694</v>
      </c>
      <c r="AN570" t="s">
        <v>1694</v>
      </c>
      <c r="AO570" t="s">
        <v>1694</v>
      </c>
      <c r="AP570" t="s">
        <v>1697</v>
      </c>
      <c r="AQ570" t="s">
        <v>1697</v>
      </c>
      <c r="AR570" s="11" t="s">
        <v>1694</v>
      </c>
      <c r="AS570" t="s">
        <v>1694</v>
      </c>
      <c r="AT570" t="s">
        <v>1694</v>
      </c>
      <c r="AU570" t="s">
        <v>1697</v>
      </c>
      <c r="AV570" t="s">
        <v>1697</v>
      </c>
      <c r="AW570" s="11" t="s">
        <v>1694</v>
      </c>
      <c r="AX570" t="s">
        <v>1695</v>
      </c>
      <c r="AY570" t="s">
        <v>1694</v>
      </c>
      <c r="AZ570" s="11" t="s">
        <v>1694</v>
      </c>
      <c r="BA570" t="s">
        <v>1694</v>
      </c>
      <c r="BB570" t="s">
        <v>1695</v>
      </c>
      <c r="BC570" t="s">
        <v>1694</v>
      </c>
      <c r="BD570" t="s">
        <v>1694</v>
      </c>
      <c r="BE570" t="s">
        <v>1695</v>
      </c>
      <c r="BF570" t="s">
        <v>1696</v>
      </c>
      <c r="BG570" t="s">
        <v>1697</v>
      </c>
      <c r="BH570" t="s">
        <v>1698</v>
      </c>
      <c r="BI570" t="b">
        <v>1</v>
      </c>
      <c r="BJ570">
        <f t="shared" si="8"/>
        <v>1</v>
      </c>
    </row>
    <row r="571" spans="1:62" x14ac:dyDescent="0.2">
      <c r="A571" s="5" t="s">
        <v>883</v>
      </c>
      <c r="B571" s="6">
        <v>36301</v>
      </c>
      <c r="C571" s="7">
        <v>33.738357999999998</v>
      </c>
      <c r="D571" s="7">
        <v>-111.98581900000001</v>
      </c>
      <c r="E571" s="17">
        <v>549</v>
      </c>
      <c r="F571" t="s">
        <v>1697</v>
      </c>
      <c r="G571" t="s">
        <v>1697</v>
      </c>
      <c r="H571" t="s">
        <v>1697</v>
      </c>
      <c r="I571" t="s">
        <v>1697</v>
      </c>
      <c r="J571" t="s">
        <v>1697</v>
      </c>
      <c r="K571" t="s">
        <v>1697</v>
      </c>
      <c r="L571" t="s">
        <v>1697</v>
      </c>
      <c r="M571" t="s">
        <v>1697</v>
      </c>
      <c r="N571" t="s">
        <v>1697</v>
      </c>
      <c r="O571" t="s">
        <v>1697</v>
      </c>
      <c r="P571" t="s">
        <v>1697</v>
      </c>
      <c r="Q571" t="s">
        <v>1697</v>
      </c>
      <c r="R571" t="s">
        <v>1697</v>
      </c>
      <c r="S571" t="s">
        <v>1697</v>
      </c>
      <c r="T571" t="s">
        <v>1697</v>
      </c>
      <c r="U571" t="s">
        <v>1697</v>
      </c>
      <c r="V571" t="s">
        <v>1697</v>
      </c>
      <c r="W571" t="s">
        <v>1697</v>
      </c>
      <c r="X571" t="s">
        <v>1697</v>
      </c>
      <c r="Y571" t="s">
        <v>1697</v>
      </c>
      <c r="Z571" t="s">
        <v>1697</v>
      </c>
      <c r="AA571" t="s">
        <v>1697</v>
      </c>
      <c r="AB571" t="s">
        <v>1697</v>
      </c>
      <c r="AC571" t="s">
        <v>1697</v>
      </c>
      <c r="AD571" t="s">
        <v>1697</v>
      </c>
      <c r="AE571" t="s">
        <v>1697</v>
      </c>
      <c r="AF571" t="s">
        <v>1697</v>
      </c>
      <c r="AG571" t="s">
        <v>1697</v>
      </c>
      <c r="AH571" t="s">
        <v>1697</v>
      </c>
      <c r="AI571" t="s">
        <v>1697</v>
      </c>
      <c r="AJ571" t="s">
        <v>1694</v>
      </c>
      <c r="AK571" t="s">
        <v>1694</v>
      </c>
      <c r="AL571" t="s">
        <v>1694</v>
      </c>
      <c r="AM571" t="s">
        <v>1694</v>
      </c>
      <c r="AN571" t="s">
        <v>1694</v>
      </c>
      <c r="AO571" t="s">
        <v>1694</v>
      </c>
      <c r="AP571" t="s">
        <v>1695</v>
      </c>
      <c r="AQ571" t="s">
        <v>1694</v>
      </c>
      <c r="AR571" s="11" t="s">
        <v>1694</v>
      </c>
      <c r="AS571" t="s">
        <v>1700</v>
      </c>
      <c r="AT571" t="s">
        <v>1700</v>
      </c>
      <c r="AU571" t="s">
        <v>1706</v>
      </c>
      <c r="AV571" t="s">
        <v>1746</v>
      </c>
      <c r="AW571" t="s">
        <v>1706</v>
      </c>
      <c r="AX571" t="s">
        <v>1695</v>
      </c>
      <c r="AY571" t="s">
        <v>1694</v>
      </c>
      <c r="AZ571" s="11" t="s">
        <v>1694</v>
      </c>
      <c r="BA571" t="s">
        <v>1700</v>
      </c>
      <c r="BB571" t="s">
        <v>1706</v>
      </c>
      <c r="BC571" t="s">
        <v>1735</v>
      </c>
      <c r="BD571" t="s">
        <v>1706</v>
      </c>
      <c r="BE571" t="s">
        <v>1706</v>
      </c>
      <c r="BF571" t="s">
        <v>1746</v>
      </c>
      <c r="BG571" s="6" t="s">
        <v>1697</v>
      </c>
      <c r="BH571" s="6" t="s">
        <v>1697</v>
      </c>
      <c r="BI571" t="b">
        <v>0</v>
      </c>
      <c r="BJ571">
        <f t="shared" si="8"/>
        <v>0</v>
      </c>
    </row>
    <row r="572" spans="1:62" x14ac:dyDescent="0.2">
      <c r="A572" s="5" t="s">
        <v>883</v>
      </c>
      <c r="B572" s="6">
        <v>38414</v>
      </c>
      <c r="C572" s="7">
        <v>33.738357999999998</v>
      </c>
      <c r="D572" s="7">
        <v>-111.98581900000001</v>
      </c>
      <c r="E572" s="17">
        <v>549</v>
      </c>
      <c r="F572" t="s">
        <v>1706</v>
      </c>
      <c r="G572" t="s">
        <v>1710</v>
      </c>
      <c r="H572" t="s">
        <v>1710</v>
      </c>
      <c r="I572">
        <v>1</v>
      </c>
      <c r="J572" s="8">
        <v>9.7716634584745314</v>
      </c>
      <c r="K572" s="8">
        <v>71.248931102160014</v>
      </c>
      <c r="L572" s="8">
        <v>18.979405439365451</v>
      </c>
      <c r="M572" s="8">
        <v>2.795513671043067</v>
      </c>
      <c r="N572" s="8">
        <v>1.670782953971403</v>
      </c>
      <c r="O572" s="8">
        <v>3.0257324439524962</v>
      </c>
      <c r="P572" s="8">
        <v>1.9965856299958264</v>
      </c>
      <c r="Q572" s="8">
        <v>7.2892645240673772</v>
      </c>
      <c r="R572" s="8">
        <v>8.3555136052196683</v>
      </c>
      <c r="S572" s="8">
        <v>0.54100000000000004</v>
      </c>
      <c r="T572" s="8">
        <v>0.27600000000000002</v>
      </c>
      <c r="U572" s="8">
        <v>8.3000000000000004E-2</v>
      </c>
      <c r="V572" s="8">
        <v>7.6999999999999999E-2</v>
      </c>
      <c r="W572" s="8">
        <v>0.45800000000000002</v>
      </c>
      <c r="X572" s="8">
        <v>0.19900000000000001</v>
      </c>
      <c r="Y572" s="8">
        <v>3.4124629080118756</v>
      </c>
      <c r="Z572" s="8">
        <v>3.19444444444445</v>
      </c>
      <c r="AA572" s="8">
        <v>7.51</v>
      </c>
      <c r="AB572">
        <v>0.159</v>
      </c>
      <c r="AC572" s="8">
        <v>8.7537091988130538</v>
      </c>
      <c r="AD572" s="8">
        <v>10.277777777777755</v>
      </c>
      <c r="AE572" s="8">
        <v>0.06</v>
      </c>
      <c r="AF572" s="8">
        <v>0.03</v>
      </c>
      <c r="AG572" s="8">
        <v>1.5197659856087276</v>
      </c>
      <c r="AH572" s="8">
        <v>9.0166666666666675</v>
      </c>
      <c r="AI572" s="8">
        <v>4.6000000000000005</v>
      </c>
      <c r="AJ572" t="s">
        <v>1694</v>
      </c>
      <c r="AK572" t="s">
        <v>1694</v>
      </c>
      <c r="AL572" t="s">
        <v>1694</v>
      </c>
      <c r="AM572" t="s">
        <v>1694</v>
      </c>
      <c r="AN572" t="s">
        <v>1694</v>
      </c>
      <c r="AO572" t="s">
        <v>1694</v>
      </c>
      <c r="AP572" t="s">
        <v>1695</v>
      </c>
      <c r="AQ572" t="s">
        <v>1694</v>
      </c>
      <c r="AR572" s="11" t="s">
        <v>1694</v>
      </c>
      <c r="AS572" t="s">
        <v>1700</v>
      </c>
      <c r="AT572" t="s">
        <v>1700</v>
      </c>
      <c r="AU572" t="s">
        <v>1706</v>
      </c>
      <c r="AV572" t="s">
        <v>1746</v>
      </c>
      <c r="AW572" t="s">
        <v>1706</v>
      </c>
      <c r="AX572" t="s">
        <v>1695</v>
      </c>
      <c r="AY572" t="s">
        <v>1694</v>
      </c>
      <c r="AZ572" s="11" t="s">
        <v>1694</v>
      </c>
      <c r="BA572" t="s">
        <v>1700</v>
      </c>
      <c r="BB572" t="s">
        <v>1706</v>
      </c>
      <c r="BC572" t="s">
        <v>1735</v>
      </c>
      <c r="BD572" t="s">
        <v>1706</v>
      </c>
      <c r="BE572" t="s">
        <v>1706</v>
      </c>
      <c r="BF572" t="s">
        <v>1746</v>
      </c>
      <c r="BG572">
        <v>15</v>
      </c>
      <c r="BH572" s="12" t="s">
        <v>1708</v>
      </c>
      <c r="BI572" t="b">
        <v>0</v>
      </c>
      <c r="BJ572">
        <f t="shared" si="8"/>
        <v>0</v>
      </c>
    </row>
    <row r="573" spans="1:62" x14ac:dyDescent="0.2">
      <c r="A573" s="5" t="s">
        <v>883</v>
      </c>
      <c r="B573" s="6">
        <v>40295</v>
      </c>
      <c r="C573" s="7">
        <v>33.738357999999998</v>
      </c>
      <c r="D573" s="7">
        <v>-111.98581900000001</v>
      </c>
      <c r="E573" s="17">
        <v>549</v>
      </c>
      <c r="F573" t="s">
        <v>1706</v>
      </c>
      <c r="G573" t="s">
        <v>1724</v>
      </c>
      <c r="H573" t="s">
        <v>1724</v>
      </c>
      <c r="I573">
        <v>1</v>
      </c>
      <c r="J573" s="8">
        <v>10.785565134837539</v>
      </c>
      <c r="K573" s="8">
        <v>67.575645541945832</v>
      </c>
      <c r="L573" s="8">
        <v>21.638789323216628</v>
      </c>
      <c r="M573" s="8">
        <v>1.8165371446151672</v>
      </c>
      <c r="N573" s="8">
        <v>1.2890005557422486</v>
      </c>
      <c r="O573" s="8">
        <v>0.51249163886727434</v>
      </c>
      <c r="P573" s="8">
        <v>9.6008317255284741</v>
      </c>
      <c r="Q573" s="8">
        <v>39.722406994964629</v>
      </c>
      <c r="R573" s="8">
        <v>14.240980939688573</v>
      </c>
      <c r="S573" s="8">
        <v>0.35</v>
      </c>
      <c r="T573" s="8">
        <v>0.224</v>
      </c>
      <c r="U573" s="8">
        <v>7.0000000000000001E-3</v>
      </c>
      <c r="V573" s="8">
        <v>1.6E-2</v>
      </c>
      <c r="W573" s="8">
        <v>0.34299999999999997</v>
      </c>
      <c r="X573" s="8">
        <v>0.20800000000000002</v>
      </c>
      <c r="Y573" s="8">
        <v>2.1390374331550817</v>
      </c>
      <c r="Z573" s="8">
        <v>2.3364485981308465</v>
      </c>
      <c r="AA573" s="8">
        <v>7.35</v>
      </c>
      <c r="AB573">
        <v>0.20899999999999999</v>
      </c>
      <c r="AC573" s="8">
        <v>1.0695187165775408</v>
      </c>
      <c r="AD573" s="8">
        <v>2.1806853582554608</v>
      </c>
      <c r="AE573" s="8">
        <v>4.2000000000000003E-2</v>
      </c>
      <c r="AF573" s="8">
        <v>2.5999999999999999E-2</v>
      </c>
      <c r="AG573" s="8">
        <v>1.743059778943356</v>
      </c>
      <c r="AH573" s="8">
        <v>8.3333333333333321</v>
      </c>
      <c r="AI573" s="8">
        <v>5.333333333333333</v>
      </c>
      <c r="AJ573" t="s">
        <v>1694</v>
      </c>
      <c r="AK573" t="s">
        <v>1694</v>
      </c>
      <c r="AL573" t="s">
        <v>1694</v>
      </c>
      <c r="AM573" t="s">
        <v>1694</v>
      </c>
      <c r="AN573" t="s">
        <v>1694</v>
      </c>
      <c r="AO573" t="s">
        <v>1694</v>
      </c>
      <c r="AP573" t="s">
        <v>1695</v>
      </c>
      <c r="AQ573" t="s">
        <v>1694</v>
      </c>
      <c r="AR573" s="11" t="s">
        <v>1694</v>
      </c>
      <c r="AS573" t="s">
        <v>1700</v>
      </c>
      <c r="AT573" t="s">
        <v>1700</v>
      </c>
      <c r="AU573" t="s">
        <v>1706</v>
      </c>
      <c r="AV573" t="s">
        <v>1746</v>
      </c>
      <c r="AW573" t="s">
        <v>1706</v>
      </c>
      <c r="AX573" t="s">
        <v>1695</v>
      </c>
      <c r="AY573" t="s">
        <v>1694</v>
      </c>
      <c r="AZ573" s="11" t="s">
        <v>1694</v>
      </c>
      <c r="BA573" t="s">
        <v>1700</v>
      </c>
      <c r="BB573" t="s">
        <v>1706</v>
      </c>
      <c r="BC573" t="s">
        <v>1735</v>
      </c>
      <c r="BD573" t="s">
        <v>1706</v>
      </c>
      <c r="BE573" t="s">
        <v>1706</v>
      </c>
      <c r="BF573" t="s">
        <v>1746</v>
      </c>
      <c r="BG573">
        <v>20</v>
      </c>
      <c r="BH573" s="12" t="s">
        <v>1708</v>
      </c>
      <c r="BI573" t="b">
        <v>1</v>
      </c>
      <c r="BJ573">
        <f t="shared" si="8"/>
        <v>1</v>
      </c>
    </row>
    <row r="574" spans="1:62" x14ac:dyDescent="0.2">
      <c r="A574" s="5" t="s">
        <v>883</v>
      </c>
      <c r="B574" s="6">
        <v>45085</v>
      </c>
      <c r="C574" s="7">
        <v>33.738357999999998</v>
      </c>
      <c r="D574" s="7">
        <v>-111.98581900000001</v>
      </c>
      <c r="E574" s="17">
        <v>549</v>
      </c>
      <c r="F574" t="s">
        <v>1694</v>
      </c>
      <c r="G574" t="s">
        <v>1694</v>
      </c>
      <c r="H574" t="s">
        <v>1694</v>
      </c>
      <c r="I574">
        <v>0</v>
      </c>
      <c r="J574" t="s">
        <v>1697</v>
      </c>
      <c r="K574" t="s">
        <v>1697</v>
      </c>
      <c r="L574" t="s">
        <v>1697</v>
      </c>
      <c r="M574" t="s">
        <v>1697</v>
      </c>
      <c r="N574" t="s">
        <v>1697</v>
      </c>
      <c r="O574" t="s">
        <v>1697</v>
      </c>
      <c r="P574" t="s">
        <v>1697</v>
      </c>
      <c r="Q574" t="s">
        <v>1697</v>
      </c>
      <c r="R574" t="s">
        <v>1697</v>
      </c>
      <c r="S574" t="s">
        <v>1697</v>
      </c>
      <c r="T574" t="s">
        <v>1697</v>
      </c>
      <c r="U574" t="s">
        <v>1697</v>
      </c>
      <c r="V574" t="s">
        <v>1697</v>
      </c>
      <c r="W574" t="s">
        <v>1697</v>
      </c>
      <c r="X574" t="s">
        <v>1697</v>
      </c>
      <c r="Y574" t="s">
        <v>1697</v>
      </c>
      <c r="Z574" t="s">
        <v>1697</v>
      </c>
      <c r="AA574" t="s">
        <v>1697</v>
      </c>
      <c r="AB574" t="s">
        <v>1697</v>
      </c>
      <c r="AC574" t="s">
        <v>1697</v>
      </c>
      <c r="AD574" t="s">
        <v>1697</v>
      </c>
      <c r="AE574" t="s">
        <v>1697</v>
      </c>
      <c r="AF574" t="s">
        <v>1697</v>
      </c>
      <c r="AG574" t="s">
        <v>1697</v>
      </c>
      <c r="AH574" t="s">
        <v>1697</v>
      </c>
      <c r="AI574" t="s">
        <v>1697</v>
      </c>
      <c r="AJ574" t="s">
        <v>1694</v>
      </c>
      <c r="AK574" t="s">
        <v>1694</v>
      </c>
      <c r="AL574" t="s">
        <v>1694</v>
      </c>
      <c r="AM574" t="s">
        <v>1694</v>
      </c>
      <c r="AN574" t="s">
        <v>1694</v>
      </c>
      <c r="AO574" t="s">
        <v>1694</v>
      </c>
      <c r="AP574" t="s">
        <v>1695</v>
      </c>
      <c r="AQ574" t="s">
        <v>1694</v>
      </c>
      <c r="AR574" s="11" t="s">
        <v>1694</v>
      </c>
      <c r="AS574" t="s">
        <v>1700</v>
      </c>
      <c r="AT574" t="s">
        <v>1700</v>
      </c>
      <c r="AU574" t="s">
        <v>1706</v>
      </c>
      <c r="AV574" t="s">
        <v>1746</v>
      </c>
      <c r="AW574" t="s">
        <v>1706</v>
      </c>
      <c r="AX574" t="s">
        <v>1695</v>
      </c>
      <c r="AY574" t="s">
        <v>1694</v>
      </c>
      <c r="AZ574" s="11" t="s">
        <v>1694</v>
      </c>
      <c r="BA574" t="s">
        <v>1700</v>
      </c>
      <c r="BB574" t="s">
        <v>1706</v>
      </c>
      <c r="BC574" t="s">
        <v>1735</v>
      </c>
      <c r="BD574" t="s">
        <v>1706</v>
      </c>
      <c r="BE574" t="s">
        <v>1706</v>
      </c>
      <c r="BF574" t="s">
        <v>1746</v>
      </c>
      <c r="BG574" s="6" t="s">
        <v>1697</v>
      </c>
      <c r="BH574" s="6" t="s">
        <v>1697</v>
      </c>
      <c r="BI574" t="b">
        <v>1</v>
      </c>
      <c r="BJ574">
        <f t="shared" si="8"/>
        <v>1</v>
      </c>
    </row>
    <row r="575" spans="1:62" x14ac:dyDescent="0.2">
      <c r="A575" s="5" t="s">
        <v>129</v>
      </c>
      <c r="B575" s="6">
        <v>38488</v>
      </c>
      <c r="C575" s="7">
        <v>33.641558000000003</v>
      </c>
      <c r="D575" s="7">
        <v>-111.983322</v>
      </c>
      <c r="E575" s="17">
        <v>449</v>
      </c>
      <c r="F575" t="s">
        <v>1711</v>
      </c>
      <c r="G575" t="s">
        <v>1711</v>
      </c>
      <c r="H575" t="s">
        <v>1711</v>
      </c>
      <c r="I575">
        <v>1</v>
      </c>
      <c r="J575" s="8">
        <v>9.5352980272349726</v>
      </c>
      <c r="K575" s="8">
        <v>49.985153634371393</v>
      </c>
      <c r="L575" s="8">
        <v>40.479548338393634</v>
      </c>
      <c r="M575" s="8">
        <v>1.9011249109518529</v>
      </c>
      <c r="N575" s="8">
        <v>2.1232676245223874</v>
      </c>
      <c r="O575" s="8">
        <v>6.5271955276013616</v>
      </c>
      <c r="P575" s="8">
        <v>1.5014535344836883</v>
      </c>
      <c r="Q575" s="8">
        <v>12.071836410123408</v>
      </c>
      <c r="R575" s="8">
        <v>1.462250345189946</v>
      </c>
      <c r="S575" s="8">
        <v>0.38100000000000001</v>
      </c>
      <c r="T575" s="8">
        <v>0.126</v>
      </c>
      <c r="U575" s="8">
        <v>7.3999999999999996E-2</v>
      </c>
      <c r="V575" s="8">
        <v>0.04</v>
      </c>
      <c r="W575" s="8">
        <v>0.307</v>
      </c>
      <c r="X575" s="8">
        <v>8.5999999999999993E-2</v>
      </c>
      <c r="Y575" s="8">
        <v>2.9363784665579078</v>
      </c>
      <c r="Z575" s="8">
        <v>2.9791459781529364</v>
      </c>
      <c r="AA575" s="8">
        <v>7.72</v>
      </c>
      <c r="AB575">
        <v>0.252</v>
      </c>
      <c r="AC575" s="8">
        <v>3.0995106035889282</v>
      </c>
      <c r="AD575" s="8">
        <v>5.4617676266136934</v>
      </c>
      <c r="AE575" s="8">
        <v>4.3999999999999997E-2</v>
      </c>
      <c r="AF575" s="8">
        <v>2.1999999999999999E-2</v>
      </c>
      <c r="AG575" s="8">
        <v>1.4620522898982238</v>
      </c>
      <c r="AH575" s="8">
        <v>8.6590909090909101</v>
      </c>
      <c r="AI575" s="8">
        <v>2.8636363636363638</v>
      </c>
      <c r="AJ575" t="s">
        <v>1694</v>
      </c>
      <c r="AK575" t="s">
        <v>1694</v>
      </c>
      <c r="AL575" t="s">
        <v>1694</v>
      </c>
      <c r="AM575" t="s">
        <v>1694</v>
      </c>
      <c r="AN575" t="s">
        <v>1694</v>
      </c>
      <c r="AO575" t="s">
        <v>1694</v>
      </c>
      <c r="AP575" t="s">
        <v>1695</v>
      </c>
      <c r="AQ575" t="s">
        <v>1694</v>
      </c>
      <c r="AR575" t="s">
        <v>1694</v>
      </c>
      <c r="AS575" t="s">
        <v>1694</v>
      </c>
      <c r="AT575" t="s">
        <v>1694</v>
      </c>
      <c r="AU575" t="s">
        <v>1695</v>
      </c>
      <c r="AV575" t="s">
        <v>1711</v>
      </c>
      <c r="AW575" t="s">
        <v>1694</v>
      </c>
      <c r="AX575" t="s">
        <v>1695</v>
      </c>
      <c r="AY575" t="s">
        <v>1711</v>
      </c>
      <c r="AZ575" t="s">
        <v>1711</v>
      </c>
      <c r="BA575" t="s">
        <v>1700</v>
      </c>
      <c r="BB575" t="s">
        <v>1695</v>
      </c>
      <c r="BC575" t="s">
        <v>1711</v>
      </c>
      <c r="BD575" t="s">
        <v>1711</v>
      </c>
      <c r="BE575" t="s">
        <v>1695</v>
      </c>
      <c r="BF575" t="s">
        <v>1711</v>
      </c>
      <c r="BG575">
        <v>30</v>
      </c>
      <c r="BH575" s="12" t="s">
        <v>1709</v>
      </c>
      <c r="BI575" t="b">
        <v>0</v>
      </c>
      <c r="BJ575">
        <f t="shared" si="8"/>
        <v>0</v>
      </c>
    </row>
    <row r="576" spans="1:62" x14ac:dyDescent="0.2">
      <c r="A576" s="5" t="s">
        <v>129</v>
      </c>
      <c r="B576" s="6">
        <v>40231</v>
      </c>
      <c r="C576" s="7">
        <v>33.641558000000003</v>
      </c>
      <c r="D576" s="7">
        <v>-111.983322</v>
      </c>
      <c r="E576" s="17">
        <v>449</v>
      </c>
      <c r="F576" t="s">
        <v>1700</v>
      </c>
      <c r="G576" t="s">
        <v>1699</v>
      </c>
      <c r="H576" t="s">
        <v>1701</v>
      </c>
      <c r="I576">
        <v>1</v>
      </c>
      <c r="J576" s="8">
        <v>18.830511555486474</v>
      </c>
      <c r="K576" s="8">
        <v>53.833569671150151</v>
      </c>
      <c r="L576" s="8">
        <v>27.335918773363375</v>
      </c>
      <c r="M576" s="8">
        <v>0.56427247863928953</v>
      </c>
      <c r="N576" s="8">
        <v>0.99754152331876744</v>
      </c>
      <c r="O576" s="8">
        <v>2.4708825927993727</v>
      </c>
      <c r="P576" s="8">
        <v>0.82752575064878608</v>
      </c>
      <c r="Q576" s="8">
        <v>19.668497864030044</v>
      </c>
      <c r="R576" s="8">
        <v>10.225941424949657</v>
      </c>
      <c r="S576" s="8">
        <v>0.54800000000000004</v>
      </c>
      <c r="T576" s="8">
        <v>0.33900000000000002</v>
      </c>
      <c r="U576" s="8">
        <v>0.438</v>
      </c>
      <c r="V576" s="8">
        <v>0.20899999999999999</v>
      </c>
      <c r="W576" s="8">
        <v>0.11000000000000004</v>
      </c>
      <c r="X576" s="8">
        <v>0.13000000000000003</v>
      </c>
      <c r="Y576" s="8">
        <v>2.168674698795177</v>
      </c>
      <c r="Z576" s="8">
        <v>2.2514071294559121</v>
      </c>
      <c r="AA576" s="8">
        <v>8.6</v>
      </c>
      <c r="AB576">
        <v>0.77100000000000002</v>
      </c>
      <c r="AC576" s="8">
        <v>13.253012048192767</v>
      </c>
      <c r="AD576" s="8">
        <v>12.007504690431531</v>
      </c>
      <c r="AE576" s="8">
        <v>2.3E-2</v>
      </c>
      <c r="AF576" s="8">
        <v>2.5999999999999999E-2</v>
      </c>
      <c r="AG576" s="8">
        <v>1.5410145967628504</v>
      </c>
      <c r="AH576" s="8">
        <v>23.826086956521742</v>
      </c>
      <c r="AI576" s="8">
        <v>14.739130434782609</v>
      </c>
      <c r="AJ576" t="s">
        <v>1694</v>
      </c>
      <c r="AK576" t="s">
        <v>1694</v>
      </c>
      <c r="AL576" t="s">
        <v>1694</v>
      </c>
      <c r="AM576" t="s">
        <v>1694</v>
      </c>
      <c r="AN576" t="s">
        <v>1694</v>
      </c>
      <c r="AO576" t="s">
        <v>1694</v>
      </c>
      <c r="AP576" t="s">
        <v>1695</v>
      </c>
      <c r="AQ576" t="s">
        <v>1694</v>
      </c>
      <c r="AR576" t="s">
        <v>1694</v>
      </c>
      <c r="AS576" t="s">
        <v>1694</v>
      </c>
      <c r="AT576" t="s">
        <v>1694</v>
      </c>
      <c r="AU576" t="s">
        <v>1695</v>
      </c>
      <c r="AV576" t="s">
        <v>1711</v>
      </c>
      <c r="AW576" t="s">
        <v>1694</v>
      </c>
      <c r="AX576" t="s">
        <v>1695</v>
      </c>
      <c r="AY576" t="s">
        <v>1711</v>
      </c>
      <c r="AZ576" t="s">
        <v>1711</v>
      </c>
      <c r="BA576" t="s">
        <v>1700</v>
      </c>
      <c r="BB576" t="s">
        <v>1695</v>
      </c>
      <c r="BC576" t="s">
        <v>1711</v>
      </c>
      <c r="BD576" t="s">
        <v>1711</v>
      </c>
      <c r="BE576" t="s">
        <v>1695</v>
      </c>
      <c r="BF576" t="s">
        <v>1711</v>
      </c>
      <c r="BG576">
        <v>5</v>
      </c>
      <c r="BH576" s="12" t="s">
        <v>1708</v>
      </c>
      <c r="BI576" t="b">
        <v>0</v>
      </c>
      <c r="BJ576">
        <f t="shared" si="8"/>
        <v>0</v>
      </c>
    </row>
    <row r="577" spans="1:62" x14ac:dyDescent="0.2">
      <c r="A577" s="5" t="s">
        <v>129</v>
      </c>
      <c r="B577" s="6">
        <v>42165</v>
      </c>
      <c r="C577" s="7">
        <v>33.641558000000003</v>
      </c>
      <c r="D577" s="7">
        <v>-111.983322</v>
      </c>
      <c r="E577" s="17">
        <v>449</v>
      </c>
      <c r="F577" t="s">
        <v>1700</v>
      </c>
      <c r="G577" t="s">
        <v>1699</v>
      </c>
      <c r="H577" t="s">
        <v>1701</v>
      </c>
      <c r="I577">
        <v>1</v>
      </c>
      <c r="J577" t="s">
        <v>1697</v>
      </c>
      <c r="K577" t="s">
        <v>1697</v>
      </c>
      <c r="L577" t="s">
        <v>1697</v>
      </c>
      <c r="M577" t="s">
        <v>1697</v>
      </c>
      <c r="N577" t="s">
        <v>1697</v>
      </c>
      <c r="O577" t="s">
        <v>1697</v>
      </c>
      <c r="P577" t="s">
        <v>1697</v>
      </c>
      <c r="Q577" t="s">
        <v>1697</v>
      </c>
      <c r="R577" t="s">
        <v>1697</v>
      </c>
      <c r="S577" t="s">
        <v>1697</v>
      </c>
      <c r="T577" t="s">
        <v>1697</v>
      </c>
      <c r="U577" t="s">
        <v>1697</v>
      </c>
      <c r="V577" t="s">
        <v>1697</v>
      </c>
      <c r="W577" t="s">
        <v>1697</v>
      </c>
      <c r="X577" t="s">
        <v>1697</v>
      </c>
      <c r="Y577" t="s">
        <v>1697</v>
      </c>
      <c r="Z577" t="s">
        <v>1697</v>
      </c>
      <c r="AA577" t="s">
        <v>1697</v>
      </c>
      <c r="AB577" t="s">
        <v>1697</v>
      </c>
      <c r="AC577" t="s">
        <v>1697</v>
      </c>
      <c r="AD577" t="s">
        <v>1697</v>
      </c>
      <c r="AE577" t="s">
        <v>1697</v>
      </c>
      <c r="AF577" t="s">
        <v>1697</v>
      </c>
      <c r="AG577" t="s">
        <v>1697</v>
      </c>
      <c r="AH577" t="s">
        <v>1697</v>
      </c>
      <c r="AI577" t="s">
        <v>1697</v>
      </c>
      <c r="AJ577" t="s">
        <v>1694</v>
      </c>
      <c r="AK577" t="s">
        <v>1694</v>
      </c>
      <c r="AL577" t="s">
        <v>1694</v>
      </c>
      <c r="AM577" t="s">
        <v>1694</v>
      </c>
      <c r="AN577" t="s">
        <v>1694</v>
      </c>
      <c r="AO577" t="s">
        <v>1694</v>
      </c>
      <c r="AP577" t="s">
        <v>1697</v>
      </c>
      <c r="AQ577" t="s">
        <v>1697</v>
      </c>
      <c r="AR577" t="s">
        <v>1694</v>
      </c>
      <c r="AS577" t="s">
        <v>1694</v>
      </c>
      <c r="AT577" t="s">
        <v>1694</v>
      </c>
      <c r="AU577" t="s">
        <v>1695</v>
      </c>
      <c r="AV577" t="s">
        <v>1711</v>
      </c>
      <c r="AW577" t="s">
        <v>1694</v>
      </c>
      <c r="AX577" t="s">
        <v>1695</v>
      </c>
      <c r="AY577" t="s">
        <v>1711</v>
      </c>
      <c r="AZ577" t="s">
        <v>1711</v>
      </c>
      <c r="BA577" t="s">
        <v>1700</v>
      </c>
      <c r="BB577" t="s">
        <v>1695</v>
      </c>
      <c r="BC577" t="s">
        <v>1711</v>
      </c>
      <c r="BD577" t="s">
        <v>1711</v>
      </c>
      <c r="BE577" t="s">
        <v>1695</v>
      </c>
      <c r="BF577" t="s">
        <v>1711</v>
      </c>
      <c r="BG577">
        <v>10</v>
      </c>
      <c r="BH577" s="12" t="s">
        <v>1708</v>
      </c>
      <c r="BI577" t="b">
        <v>0</v>
      </c>
      <c r="BJ577">
        <f t="shared" si="8"/>
        <v>0</v>
      </c>
    </row>
    <row r="578" spans="1:62" x14ac:dyDescent="0.2">
      <c r="A578" s="5" t="s">
        <v>129</v>
      </c>
      <c r="B578" s="6">
        <v>45063</v>
      </c>
      <c r="C578" s="7">
        <v>33.641558000000003</v>
      </c>
      <c r="D578" s="7">
        <v>-111.983322</v>
      </c>
      <c r="E578" s="17">
        <v>449</v>
      </c>
      <c r="F578" t="s">
        <v>1700</v>
      </c>
      <c r="G578" t="s">
        <v>1699</v>
      </c>
      <c r="H578" t="s">
        <v>1701</v>
      </c>
      <c r="I578">
        <v>1</v>
      </c>
      <c r="J578" t="s">
        <v>1697</v>
      </c>
      <c r="K578" t="s">
        <v>1697</v>
      </c>
      <c r="L578" t="s">
        <v>1697</v>
      </c>
      <c r="M578" t="s">
        <v>1697</v>
      </c>
      <c r="N578" t="s">
        <v>1697</v>
      </c>
      <c r="O578" t="s">
        <v>1697</v>
      </c>
      <c r="P578" t="s">
        <v>1697</v>
      </c>
      <c r="Q578" t="s">
        <v>1697</v>
      </c>
      <c r="R578" t="s">
        <v>1697</v>
      </c>
      <c r="S578" t="s">
        <v>1697</v>
      </c>
      <c r="T578" t="s">
        <v>1697</v>
      </c>
      <c r="U578" t="s">
        <v>1697</v>
      </c>
      <c r="V578" t="s">
        <v>1697</v>
      </c>
      <c r="W578" t="s">
        <v>1697</v>
      </c>
      <c r="X578" t="s">
        <v>1697</v>
      </c>
      <c r="Y578" t="s">
        <v>1697</v>
      </c>
      <c r="Z578" t="s">
        <v>1697</v>
      </c>
      <c r="AA578" t="s">
        <v>1697</v>
      </c>
      <c r="AB578" t="s">
        <v>1697</v>
      </c>
      <c r="AC578" t="s">
        <v>1697</v>
      </c>
      <c r="AD578" t="s">
        <v>1697</v>
      </c>
      <c r="AE578" t="s">
        <v>1697</v>
      </c>
      <c r="AF578" t="s">
        <v>1697</v>
      </c>
      <c r="AG578" t="s">
        <v>1697</v>
      </c>
      <c r="AH578" t="s">
        <v>1697</v>
      </c>
      <c r="AI578" t="s">
        <v>1697</v>
      </c>
      <c r="AJ578" t="s">
        <v>1694</v>
      </c>
      <c r="AK578" t="s">
        <v>1694</v>
      </c>
      <c r="AL578" t="s">
        <v>1694</v>
      </c>
      <c r="AM578" t="s">
        <v>1694</v>
      </c>
      <c r="AN578" t="s">
        <v>1694</v>
      </c>
      <c r="AO578" t="s">
        <v>1694</v>
      </c>
      <c r="AP578" t="s">
        <v>1697</v>
      </c>
      <c r="AQ578" t="s">
        <v>1697</v>
      </c>
      <c r="AR578" t="s">
        <v>1694</v>
      </c>
      <c r="AS578" t="s">
        <v>1694</v>
      </c>
      <c r="AT578" t="s">
        <v>1694</v>
      </c>
      <c r="AU578" t="s">
        <v>1695</v>
      </c>
      <c r="AV578" t="s">
        <v>1711</v>
      </c>
      <c r="AW578" t="s">
        <v>1694</v>
      </c>
      <c r="AX578" t="s">
        <v>1695</v>
      </c>
      <c r="AY578" t="s">
        <v>1711</v>
      </c>
      <c r="AZ578" t="s">
        <v>1711</v>
      </c>
      <c r="BA578" t="s">
        <v>1700</v>
      </c>
      <c r="BB578" t="s">
        <v>1695</v>
      </c>
      <c r="BC578" t="s">
        <v>1711</v>
      </c>
      <c r="BD578" t="s">
        <v>1711</v>
      </c>
      <c r="BE578" t="s">
        <v>1695</v>
      </c>
      <c r="BF578" t="s">
        <v>1711</v>
      </c>
      <c r="BG578" s="6" t="s">
        <v>1697</v>
      </c>
      <c r="BH578" s="6" t="s">
        <v>1697</v>
      </c>
      <c r="BI578" t="b">
        <v>0</v>
      </c>
      <c r="BJ578">
        <f t="shared" ref="BJ578:BJ641" si="9">COUNTIF(BI578:BI578,TRUE)</f>
        <v>0</v>
      </c>
    </row>
    <row r="579" spans="1:62" x14ac:dyDescent="0.2">
      <c r="A579" s="5" t="s">
        <v>130</v>
      </c>
      <c r="B579" s="6">
        <v>38418</v>
      </c>
      <c r="C579" s="7">
        <v>33.632055999999999</v>
      </c>
      <c r="D579" s="7">
        <v>-112.00749399999999</v>
      </c>
      <c r="E579" s="17">
        <v>439</v>
      </c>
      <c r="F579" t="s">
        <v>1706</v>
      </c>
      <c r="G579" t="s">
        <v>1724</v>
      </c>
      <c r="H579" t="s">
        <v>1724</v>
      </c>
      <c r="I579">
        <v>1</v>
      </c>
      <c r="J579" s="8">
        <v>12.737972650578461</v>
      </c>
      <c r="K579" s="8">
        <v>64.974122224761771</v>
      </c>
      <c r="L579" s="8">
        <v>22.287905124659773</v>
      </c>
      <c r="M579" s="8">
        <v>2.142277245081452</v>
      </c>
      <c r="N579" s="8">
        <v>0.86440178702742021</v>
      </c>
      <c r="O579" s="8">
        <v>4.8201238014332661</v>
      </c>
      <c r="P579" s="8">
        <v>0.565790260599766</v>
      </c>
      <c r="Q579" s="8">
        <v>16.888063847561355</v>
      </c>
      <c r="R579" s="8">
        <v>7.8270764873950025</v>
      </c>
      <c r="S579" s="8">
        <v>1.53</v>
      </c>
      <c r="T579" s="8">
        <v>1.593</v>
      </c>
      <c r="U579" s="8">
        <v>1.008</v>
      </c>
      <c r="V579" s="8">
        <v>1.4970000000000001</v>
      </c>
      <c r="W579" s="8">
        <v>0.52200000000000002</v>
      </c>
      <c r="X579" s="8">
        <v>9.5999999999999863E-2</v>
      </c>
      <c r="Y579" s="8">
        <v>4.1894353369763122</v>
      </c>
      <c r="Z579" s="8">
        <v>3.6505867014341504</v>
      </c>
      <c r="AA579" s="8">
        <v>8.5500000000000007</v>
      </c>
      <c r="AB579">
        <v>0.16200000000000001</v>
      </c>
      <c r="AC579" s="8">
        <v>12.02185792349727</v>
      </c>
      <c r="AD579" s="8">
        <v>15.514993481095168</v>
      </c>
      <c r="AE579" s="8">
        <v>5.7000000000000002E-2</v>
      </c>
      <c r="AF579" s="8">
        <v>1.9E-2</v>
      </c>
      <c r="AG579" s="8">
        <v>1.365938440740565</v>
      </c>
      <c r="AH579" s="8">
        <v>26.842105263157894</v>
      </c>
      <c r="AI579" s="8">
        <v>27.94736842105263</v>
      </c>
      <c r="AJ579" t="s">
        <v>1694</v>
      </c>
      <c r="AK579" t="s">
        <v>1694</v>
      </c>
      <c r="AL579" t="s">
        <v>1694</v>
      </c>
      <c r="AM579" t="s">
        <v>1694</v>
      </c>
      <c r="AN579" t="s">
        <v>1694</v>
      </c>
      <c r="AO579" t="s">
        <v>1694</v>
      </c>
      <c r="AP579" t="s">
        <v>1695</v>
      </c>
      <c r="AQ579" t="s">
        <v>1694</v>
      </c>
      <c r="AR579" t="s">
        <v>1694</v>
      </c>
      <c r="AS579" t="s">
        <v>1694</v>
      </c>
      <c r="AT579" t="s">
        <v>1694</v>
      </c>
      <c r="AU579" t="s">
        <v>1695</v>
      </c>
      <c r="AV579" t="s">
        <v>1711</v>
      </c>
      <c r="AW579" t="s">
        <v>1694</v>
      </c>
      <c r="AX579" t="s">
        <v>1695</v>
      </c>
      <c r="AY579" t="s">
        <v>1711</v>
      </c>
      <c r="AZ579" t="s">
        <v>1711</v>
      </c>
      <c r="BA579" t="s">
        <v>1700</v>
      </c>
      <c r="BB579" t="s">
        <v>1695</v>
      </c>
      <c r="BC579" t="s">
        <v>1711</v>
      </c>
      <c r="BD579" t="s">
        <v>1711</v>
      </c>
      <c r="BE579" t="s">
        <v>1706</v>
      </c>
      <c r="BF579" t="s">
        <v>1723</v>
      </c>
      <c r="BG579">
        <v>10</v>
      </c>
      <c r="BH579" s="12" t="s">
        <v>1708</v>
      </c>
      <c r="BI579" t="b">
        <v>0</v>
      </c>
      <c r="BJ579">
        <f t="shared" si="9"/>
        <v>0</v>
      </c>
    </row>
    <row r="580" spans="1:62" x14ac:dyDescent="0.2">
      <c r="A580" s="5" t="s">
        <v>130</v>
      </c>
      <c r="B580" s="6">
        <v>40291</v>
      </c>
      <c r="C580" s="7">
        <v>33.632055999999999</v>
      </c>
      <c r="D580" s="7">
        <v>-112.00749399999999</v>
      </c>
      <c r="E580" s="17">
        <v>439</v>
      </c>
      <c r="F580" t="s">
        <v>1706</v>
      </c>
      <c r="G580" t="s">
        <v>1710</v>
      </c>
      <c r="H580" t="s">
        <v>1710</v>
      </c>
      <c r="I580">
        <v>1</v>
      </c>
      <c r="J580" s="8">
        <v>15.881501923008804</v>
      </c>
      <c r="K580" s="8">
        <v>56.324782133619301</v>
      </c>
      <c r="L580" s="8">
        <v>27.793715943371893</v>
      </c>
      <c r="M580" s="8">
        <v>1.5125537759133469</v>
      </c>
      <c r="N580" s="8">
        <v>5.0000000000000001E-3</v>
      </c>
      <c r="O580" s="8">
        <v>24.018024243898751</v>
      </c>
      <c r="P580" s="8">
        <v>10.752294418448756</v>
      </c>
      <c r="Q580" s="8">
        <v>83.933861071669838</v>
      </c>
      <c r="R580" s="8">
        <v>45.903442336078648</v>
      </c>
      <c r="S580" s="8">
        <v>1.6950000000000001</v>
      </c>
      <c r="T580" s="8">
        <v>1.337</v>
      </c>
      <c r="U580" s="8">
        <v>1.0960000000000001</v>
      </c>
      <c r="V580" s="8">
        <v>1.274</v>
      </c>
      <c r="W580" s="8">
        <v>0.59899999999999998</v>
      </c>
      <c r="X580" s="8">
        <v>6.2999999999999945E-2</v>
      </c>
      <c r="Y580" s="8">
        <v>3.7147102526002973</v>
      </c>
      <c r="Z580" s="8">
        <v>3.7362637362637341</v>
      </c>
      <c r="AA580" s="8">
        <v>8.42</v>
      </c>
      <c r="AB580">
        <v>0.22</v>
      </c>
      <c r="AC580" s="8">
        <v>3.4175334323922795</v>
      </c>
      <c r="AD580" s="8">
        <v>7.2527472527472536</v>
      </c>
      <c r="AE580" s="8">
        <v>8.4000000000000005E-2</v>
      </c>
      <c r="AF580" s="8">
        <v>2.3E-2</v>
      </c>
      <c r="AG580" s="8">
        <v>1.6058331317455379</v>
      </c>
      <c r="AH580" s="8">
        <v>20.178571428571427</v>
      </c>
      <c r="AI580" s="8">
        <v>15.916666666666666</v>
      </c>
      <c r="AJ580" t="s">
        <v>1694</v>
      </c>
      <c r="AK580" t="s">
        <v>1694</v>
      </c>
      <c r="AL580" t="s">
        <v>1694</v>
      </c>
      <c r="AM580" t="s">
        <v>1694</v>
      </c>
      <c r="AN580" t="s">
        <v>1694</v>
      </c>
      <c r="AO580" t="s">
        <v>1694</v>
      </c>
      <c r="AP580" t="s">
        <v>1695</v>
      </c>
      <c r="AQ580" t="s">
        <v>1694</v>
      </c>
      <c r="AR580" t="s">
        <v>1694</v>
      </c>
      <c r="AS580" t="s">
        <v>1694</v>
      </c>
      <c r="AT580" t="s">
        <v>1694</v>
      </c>
      <c r="AU580" t="s">
        <v>1695</v>
      </c>
      <c r="AV580" t="s">
        <v>1711</v>
      </c>
      <c r="AW580" t="s">
        <v>1694</v>
      </c>
      <c r="AX580" t="s">
        <v>1695</v>
      </c>
      <c r="AY580" t="s">
        <v>1711</v>
      </c>
      <c r="AZ580" t="s">
        <v>1711</v>
      </c>
      <c r="BA580" t="s">
        <v>1700</v>
      </c>
      <c r="BB580" t="s">
        <v>1695</v>
      </c>
      <c r="BC580" t="s">
        <v>1711</v>
      </c>
      <c r="BD580" t="s">
        <v>1711</v>
      </c>
      <c r="BE580" t="s">
        <v>1706</v>
      </c>
      <c r="BF580" t="s">
        <v>1723</v>
      </c>
      <c r="BG580">
        <v>15</v>
      </c>
      <c r="BH580" s="12" t="s">
        <v>1708</v>
      </c>
      <c r="BI580" t="b">
        <v>0</v>
      </c>
      <c r="BJ580">
        <f t="shared" si="9"/>
        <v>0</v>
      </c>
    </row>
    <row r="581" spans="1:62" x14ac:dyDescent="0.2">
      <c r="A581" s="5" t="s">
        <v>130</v>
      </c>
      <c r="B581" s="6">
        <v>42165</v>
      </c>
      <c r="C581" s="7">
        <v>33.632055999999999</v>
      </c>
      <c r="D581" s="7">
        <v>-112.00749399999999</v>
      </c>
      <c r="E581" s="17">
        <v>439</v>
      </c>
      <c r="F581" t="s">
        <v>1706</v>
      </c>
      <c r="G581" t="s">
        <v>1724</v>
      </c>
      <c r="H581" t="s">
        <v>1724</v>
      </c>
      <c r="I581">
        <v>1</v>
      </c>
      <c r="J581">
        <v>8.9610417962799804</v>
      </c>
      <c r="K581">
        <v>63.740855939414097</v>
      </c>
      <c r="L581">
        <v>27.2981022643059</v>
      </c>
      <c r="M581">
        <v>1.4844682204995501</v>
      </c>
      <c r="N581" t="s">
        <v>1697</v>
      </c>
      <c r="O581">
        <v>25.9074694450272</v>
      </c>
      <c r="P581" t="s">
        <v>1697</v>
      </c>
      <c r="Q581">
        <v>9.0428147505199998</v>
      </c>
      <c r="R581" t="s">
        <v>1697</v>
      </c>
      <c r="S581">
        <v>1.768</v>
      </c>
      <c r="T581" t="s">
        <v>1697</v>
      </c>
      <c r="U581">
        <v>1.173</v>
      </c>
      <c r="V581" t="s">
        <v>1697</v>
      </c>
      <c r="W581">
        <v>0.59499999999999997</v>
      </c>
      <c r="X581" t="s">
        <v>1697</v>
      </c>
      <c r="Y581">
        <v>1.3736263736263801</v>
      </c>
      <c r="Z581" t="s">
        <v>1697</v>
      </c>
      <c r="AA581">
        <v>7.73</v>
      </c>
      <c r="AB581">
        <v>0.218</v>
      </c>
      <c r="AC581">
        <v>5.7425742574257201</v>
      </c>
      <c r="AD581" t="s">
        <v>1697</v>
      </c>
      <c r="AE581">
        <v>6.3E-2</v>
      </c>
      <c r="AF581" t="s">
        <v>1697</v>
      </c>
      <c r="AG581">
        <v>1.1639187256937404</v>
      </c>
      <c r="AH581">
        <v>28.063492063492099</v>
      </c>
      <c r="AI581" t="s">
        <v>1697</v>
      </c>
      <c r="AJ581" t="s">
        <v>1694</v>
      </c>
      <c r="AK581" t="s">
        <v>1694</v>
      </c>
      <c r="AL581" t="s">
        <v>1694</v>
      </c>
      <c r="AM581" t="s">
        <v>1694</v>
      </c>
      <c r="AN581" t="s">
        <v>1694</v>
      </c>
      <c r="AO581" t="s">
        <v>1694</v>
      </c>
      <c r="AP581" t="s">
        <v>1697</v>
      </c>
      <c r="AQ581" t="s">
        <v>1697</v>
      </c>
      <c r="AR581" t="s">
        <v>1694</v>
      </c>
      <c r="AS581" t="s">
        <v>1694</v>
      </c>
      <c r="AT581" t="s">
        <v>1694</v>
      </c>
      <c r="AU581" t="s">
        <v>1695</v>
      </c>
      <c r="AV581" t="s">
        <v>1711</v>
      </c>
      <c r="AW581" t="s">
        <v>1694</v>
      </c>
      <c r="AX581" t="s">
        <v>1695</v>
      </c>
      <c r="AY581" t="s">
        <v>1711</v>
      </c>
      <c r="AZ581" t="s">
        <v>1711</v>
      </c>
      <c r="BA581" t="s">
        <v>1700</v>
      </c>
      <c r="BB581" t="s">
        <v>1695</v>
      </c>
      <c r="BC581" t="s">
        <v>1711</v>
      </c>
      <c r="BD581" t="s">
        <v>1711</v>
      </c>
      <c r="BE581" t="s">
        <v>1706</v>
      </c>
      <c r="BF581" t="s">
        <v>1723</v>
      </c>
      <c r="BG581">
        <v>20</v>
      </c>
      <c r="BH581" s="12" t="s">
        <v>1708</v>
      </c>
      <c r="BI581" t="b">
        <v>0</v>
      </c>
      <c r="BJ581">
        <f t="shared" si="9"/>
        <v>0</v>
      </c>
    </row>
    <row r="582" spans="1:62" x14ac:dyDescent="0.2">
      <c r="A582" s="5" t="s">
        <v>131</v>
      </c>
      <c r="B582" s="6">
        <v>38413</v>
      </c>
      <c r="C582" s="7">
        <v>33.577238999999999</v>
      </c>
      <c r="D582" s="7">
        <v>-112.01178299999999</v>
      </c>
      <c r="E582" s="17">
        <v>438</v>
      </c>
      <c r="F582" t="s">
        <v>1714</v>
      </c>
      <c r="G582" t="s">
        <v>1714</v>
      </c>
      <c r="H582" t="s">
        <v>1754</v>
      </c>
      <c r="I582">
        <v>1</v>
      </c>
      <c r="J582" s="8">
        <v>8.2408440656429658</v>
      </c>
      <c r="K582" s="8">
        <v>68.026186497107474</v>
      </c>
      <c r="L582" s="8">
        <v>23.732969437249565</v>
      </c>
      <c r="M582" s="8">
        <v>0.96926744233816908</v>
      </c>
      <c r="N582" s="8">
        <v>0.70482453720107374</v>
      </c>
      <c r="O582" s="8">
        <v>1.2153122546240123</v>
      </c>
      <c r="P582" s="8">
        <v>2.615682171390652</v>
      </c>
      <c r="Q582" s="8">
        <v>6.7918505281233132</v>
      </c>
      <c r="R582" s="8">
        <v>5.495568489083885</v>
      </c>
      <c r="S582" s="8">
        <v>2.96</v>
      </c>
      <c r="T582" s="8">
        <v>2.1619999999999999</v>
      </c>
      <c r="U582" s="8">
        <v>2.2639999999999998</v>
      </c>
      <c r="V582" s="8">
        <v>1.948</v>
      </c>
      <c r="W582" s="8">
        <v>0.69600000000000017</v>
      </c>
      <c r="X582" s="8">
        <v>0.21399999999999997</v>
      </c>
      <c r="Y582" s="8">
        <v>3.5353535353535497</v>
      </c>
      <c r="Z582" s="8">
        <v>3.7735849056603805</v>
      </c>
      <c r="AA582" s="8">
        <v>8.39</v>
      </c>
      <c r="AB582">
        <v>0.23</v>
      </c>
      <c r="AC582" s="8">
        <v>11.363636363636369</v>
      </c>
      <c r="AD582" s="8">
        <v>16.273584905660364</v>
      </c>
      <c r="AE582" s="8">
        <v>1.4E-2</v>
      </c>
      <c r="AF582" s="8">
        <v>2.1999999999999999E-2</v>
      </c>
      <c r="AG582" s="8">
        <v>1.3416274727115556</v>
      </c>
      <c r="AH582" s="8">
        <v>211.42857142857142</v>
      </c>
      <c r="AI582" s="8">
        <v>154.42857142857142</v>
      </c>
      <c r="AJ582" t="s">
        <v>1694</v>
      </c>
      <c r="AK582" t="s">
        <v>1694</v>
      </c>
      <c r="AL582" t="s">
        <v>1694</v>
      </c>
      <c r="AM582" t="s">
        <v>1694</v>
      </c>
      <c r="AN582" t="s">
        <v>1694</v>
      </c>
      <c r="AO582" t="s">
        <v>1694</v>
      </c>
      <c r="AP582" t="s">
        <v>1697</v>
      </c>
      <c r="AQ582" t="s">
        <v>1697</v>
      </c>
      <c r="AR582" t="s">
        <v>1697</v>
      </c>
      <c r="AS582" t="s">
        <v>1700</v>
      </c>
      <c r="AT582" t="s">
        <v>1700</v>
      </c>
      <c r="AU582" t="s">
        <v>1706</v>
      </c>
      <c r="AV582" t="s">
        <v>1723</v>
      </c>
      <c r="AW582" t="s">
        <v>1706</v>
      </c>
      <c r="AX582" t="s">
        <v>1706</v>
      </c>
      <c r="AY582" t="s">
        <v>1723</v>
      </c>
      <c r="AZ582" t="s">
        <v>1706</v>
      </c>
      <c r="BA582" t="s">
        <v>1700</v>
      </c>
      <c r="BB582" t="s">
        <v>1714</v>
      </c>
      <c r="BC582" t="s">
        <v>1754</v>
      </c>
      <c r="BD582" t="s">
        <v>1714</v>
      </c>
      <c r="BE582" t="s">
        <v>1714</v>
      </c>
      <c r="BF582" t="s">
        <v>1754</v>
      </c>
      <c r="BG582">
        <v>15</v>
      </c>
      <c r="BH582" s="12" t="s">
        <v>1708</v>
      </c>
      <c r="BI582" t="b">
        <v>0</v>
      </c>
      <c r="BJ582">
        <f t="shared" si="9"/>
        <v>0</v>
      </c>
    </row>
    <row r="583" spans="1:62" x14ac:dyDescent="0.2">
      <c r="A583" s="5" t="s">
        <v>131</v>
      </c>
      <c r="B583" s="6">
        <v>40344</v>
      </c>
      <c r="C583" s="7">
        <v>33.577238999999999</v>
      </c>
      <c r="D583" s="7">
        <v>-112.01178299999999</v>
      </c>
      <c r="E583" s="17">
        <v>438</v>
      </c>
      <c r="F583" t="s">
        <v>1714</v>
      </c>
      <c r="G583" t="s">
        <v>1714</v>
      </c>
      <c r="H583" t="s">
        <v>1754</v>
      </c>
      <c r="I583">
        <v>1</v>
      </c>
      <c r="J583" s="8">
        <v>11.217174762417111</v>
      </c>
      <c r="K583" s="8">
        <v>56.009901959776528</v>
      </c>
      <c r="L583" s="8">
        <v>32.772923277806356</v>
      </c>
      <c r="M583" s="8">
        <v>2.1332525654350527</v>
      </c>
      <c r="N583" s="8">
        <v>0.42284251677364371</v>
      </c>
      <c r="O583" s="8">
        <v>4.3572818357822349</v>
      </c>
      <c r="P583" s="8">
        <v>1.7664200376041823</v>
      </c>
      <c r="Q583" s="8">
        <v>16.393225483612447</v>
      </c>
      <c r="R583" s="8">
        <v>2.5000000000000001E-3</v>
      </c>
      <c r="S583" s="8">
        <v>2.5019999999999998</v>
      </c>
      <c r="T583" s="8">
        <v>2.48</v>
      </c>
      <c r="U583" s="8">
        <v>1.879</v>
      </c>
      <c r="V583" s="8">
        <v>2.2629999999999999</v>
      </c>
      <c r="W583" s="8">
        <v>0.62299999999999978</v>
      </c>
      <c r="X583" s="8">
        <v>0.21700000000000008</v>
      </c>
      <c r="Y583" s="8">
        <v>3.3167495854062903</v>
      </c>
      <c r="Z583" s="8">
        <v>2.9040404040404098</v>
      </c>
      <c r="AA583" s="8">
        <v>8.42</v>
      </c>
      <c r="AB583">
        <v>0.252</v>
      </c>
      <c r="AC583" s="8">
        <v>2.9850746268656967</v>
      </c>
      <c r="AD583" s="8">
        <v>5.8080808080807964</v>
      </c>
      <c r="AE583" s="8">
        <v>3.2000000000000001E-2</v>
      </c>
      <c r="AF583" s="8">
        <v>0.01</v>
      </c>
      <c r="AG583" s="8">
        <v>1.7592156636403142</v>
      </c>
      <c r="AH583" s="8">
        <v>78.187499999999986</v>
      </c>
      <c r="AI583" s="8">
        <v>77.5</v>
      </c>
      <c r="AJ583" t="s">
        <v>1694</v>
      </c>
      <c r="AK583" t="s">
        <v>1694</v>
      </c>
      <c r="AL583" t="s">
        <v>1694</v>
      </c>
      <c r="AM583" t="s">
        <v>1694</v>
      </c>
      <c r="AN583" t="s">
        <v>1694</v>
      </c>
      <c r="AO583" t="s">
        <v>1694</v>
      </c>
      <c r="AP583" t="s">
        <v>1697</v>
      </c>
      <c r="AQ583" t="s">
        <v>1697</v>
      </c>
      <c r="AR583" t="s">
        <v>1697</v>
      </c>
      <c r="AS583" t="s">
        <v>1700</v>
      </c>
      <c r="AT583" t="s">
        <v>1700</v>
      </c>
      <c r="AU583" t="s">
        <v>1706</v>
      </c>
      <c r="AV583" t="s">
        <v>1723</v>
      </c>
      <c r="AW583" t="s">
        <v>1706</v>
      </c>
      <c r="AX583" t="s">
        <v>1706</v>
      </c>
      <c r="AY583" t="s">
        <v>1723</v>
      </c>
      <c r="AZ583" t="s">
        <v>1706</v>
      </c>
      <c r="BA583" t="s">
        <v>1700</v>
      </c>
      <c r="BB583" t="s">
        <v>1714</v>
      </c>
      <c r="BC583" t="s">
        <v>1754</v>
      </c>
      <c r="BD583" t="s">
        <v>1714</v>
      </c>
      <c r="BE583" t="s">
        <v>1714</v>
      </c>
      <c r="BF583" t="s">
        <v>1754</v>
      </c>
      <c r="BG583">
        <v>20</v>
      </c>
      <c r="BH583" s="12" t="s">
        <v>1708</v>
      </c>
      <c r="BI583" t="b">
        <v>0</v>
      </c>
      <c r="BJ583">
        <f t="shared" si="9"/>
        <v>0</v>
      </c>
    </row>
    <row r="584" spans="1:62" x14ac:dyDescent="0.2">
      <c r="A584" s="5" t="s">
        <v>131</v>
      </c>
      <c r="B584" s="6">
        <v>42097</v>
      </c>
      <c r="C584" s="7">
        <v>33.577238999999999</v>
      </c>
      <c r="D584" s="7">
        <v>-112.01178299999999</v>
      </c>
      <c r="E584" s="17">
        <v>438</v>
      </c>
      <c r="F584" t="s">
        <v>1714</v>
      </c>
      <c r="G584" t="s">
        <v>1714</v>
      </c>
      <c r="H584" t="s">
        <v>1754</v>
      </c>
      <c r="I584">
        <v>1</v>
      </c>
      <c r="J584">
        <v>8.2173160302860904</v>
      </c>
      <c r="K584">
        <v>78.592459947193504</v>
      </c>
      <c r="L584">
        <v>13.1902240225204</v>
      </c>
      <c r="M584">
        <v>4.49062468365518</v>
      </c>
      <c r="N584">
        <v>1.8652993235712101</v>
      </c>
      <c r="O584">
        <v>10.8848837440772</v>
      </c>
      <c r="P584">
        <v>6.9016074972134698</v>
      </c>
      <c r="Q584">
        <v>2.87665174017059</v>
      </c>
      <c r="R584">
        <v>1.06060041802407</v>
      </c>
      <c r="S584">
        <v>2.2559999999999998</v>
      </c>
      <c r="T584">
        <v>1.5029999999999999</v>
      </c>
      <c r="U584">
        <v>1.5</v>
      </c>
      <c r="V584">
        <v>1.343</v>
      </c>
      <c r="W584">
        <v>0.75600000000000001</v>
      </c>
      <c r="X584">
        <v>0.16</v>
      </c>
      <c r="Y584">
        <v>1.9875776397515701</v>
      </c>
      <c r="Z584">
        <v>1.5015015015015101</v>
      </c>
      <c r="AA584">
        <v>7.99</v>
      </c>
      <c r="AB584">
        <v>0.20399999999999999</v>
      </c>
      <c r="AC584">
        <v>2.5862068965517002</v>
      </c>
      <c r="AD584">
        <v>4.34782608695651</v>
      </c>
      <c r="AE584">
        <v>4.9000000000000002E-2</v>
      </c>
      <c r="AF584">
        <v>3.4000000000000002E-2</v>
      </c>
      <c r="AG584">
        <v>1.32170945922224</v>
      </c>
      <c r="AH584">
        <v>46.040816326530603</v>
      </c>
      <c r="AI584">
        <v>44.205882352941202</v>
      </c>
      <c r="AJ584" t="s">
        <v>1694</v>
      </c>
      <c r="AK584" t="s">
        <v>1694</v>
      </c>
      <c r="AL584" t="s">
        <v>1694</v>
      </c>
      <c r="AM584" t="s">
        <v>1694</v>
      </c>
      <c r="AN584" t="s">
        <v>1694</v>
      </c>
      <c r="AO584" t="s">
        <v>1694</v>
      </c>
      <c r="AP584" t="s">
        <v>1697</v>
      </c>
      <c r="AQ584" t="s">
        <v>1697</v>
      </c>
      <c r="AR584" t="s">
        <v>1697</v>
      </c>
      <c r="AS584" t="s">
        <v>1700</v>
      </c>
      <c r="AT584" t="s">
        <v>1700</v>
      </c>
      <c r="AU584" t="s">
        <v>1706</v>
      </c>
      <c r="AV584" t="s">
        <v>1723</v>
      </c>
      <c r="AW584" t="s">
        <v>1706</v>
      </c>
      <c r="AX584" t="s">
        <v>1706</v>
      </c>
      <c r="AY584" t="s">
        <v>1723</v>
      </c>
      <c r="AZ584" t="s">
        <v>1706</v>
      </c>
      <c r="BA584" t="s">
        <v>1700</v>
      </c>
      <c r="BB584" t="s">
        <v>1714</v>
      </c>
      <c r="BC584" t="s">
        <v>1754</v>
      </c>
      <c r="BD584" t="s">
        <v>1714</v>
      </c>
      <c r="BE584" t="s">
        <v>1714</v>
      </c>
      <c r="BF584" t="s">
        <v>1754</v>
      </c>
      <c r="BG584">
        <v>25</v>
      </c>
      <c r="BH584" t="s">
        <v>1709</v>
      </c>
      <c r="BI584" t="b">
        <v>0</v>
      </c>
      <c r="BJ584">
        <f t="shared" si="9"/>
        <v>0</v>
      </c>
    </row>
    <row r="585" spans="1:62" x14ac:dyDescent="0.2">
      <c r="A585" s="5" t="s">
        <v>132</v>
      </c>
      <c r="B585" s="6">
        <v>38463</v>
      </c>
      <c r="C585" s="7">
        <v>33.549475000000001</v>
      </c>
      <c r="D585" s="7">
        <v>-111.977572</v>
      </c>
      <c r="E585" s="17">
        <v>442</v>
      </c>
      <c r="F585" t="s">
        <v>1706</v>
      </c>
      <c r="G585" t="s">
        <v>1724</v>
      </c>
      <c r="H585" t="s">
        <v>1724</v>
      </c>
      <c r="I585">
        <v>1</v>
      </c>
      <c r="J585" s="8">
        <v>12.776110293244864</v>
      </c>
      <c r="K585" s="8">
        <v>59.469089105032459</v>
      </c>
      <c r="L585" s="8">
        <v>27.754800601722678</v>
      </c>
      <c r="M585" s="8">
        <v>2.1443253940089537</v>
      </c>
      <c r="N585" s="8">
        <v>1.9648407417309917</v>
      </c>
      <c r="O585" s="8">
        <v>1.6947087791361084</v>
      </c>
      <c r="P585" s="8">
        <v>1.4024897708217769</v>
      </c>
      <c r="Q585" s="8">
        <v>1.6658228784248987</v>
      </c>
      <c r="R585" s="8">
        <v>2.506865773932645</v>
      </c>
      <c r="S585" s="8">
        <v>2.0329999999999999</v>
      </c>
      <c r="T585" s="8">
        <v>1.72</v>
      </c>
      <c r="U585" s="8">
        <v>1.8</v>
      </c>
      <c r="V585" s="8">
        <v>1.53</v>
      </c>
      <c r="W585" s="8">
        <v>0.23299999999999987</v>
      </c>
      <c r="X585" s="8">
        <v>0.18999999999999995</v>
      </c>
      <c r="Y585" s="8">
        <v>2.6993865030674922</v>
      </c>
      <c r="Z585" s="8">
        <v>2.5575447570332615</v>
      </c>
      <c r="AA585" s="8">
        <v>8.69</v>
      </c>
      <c r="AB585">
        <v>0.23300000000000001</v>
      </c>
      <c r="AC585" s="8">
        <v>11.042944785276077</v>
      </c>
      <c r="AD585" s="8">
        <v>8.4398976982097196</v>
      </c>
      <c r="AE585" s="8">
        <v>2.1000000000000001E-2</v>
      </c>
      <c r="AF585" s="8">
        <v>1.9E-2</v>
      </c>
      <c r="AG585" s="8">
        <v>1.242846027375881</v>
      </c>
      <c r="AH585" s="8">
        <v>96.809523809523796</v>
      </c>
      <c r="AI585" s="8">
        <v>81.904761904761898</v>
      </c>
      <c r="AJ585" t="s">
        <v>1694</v>
      </c>
      <c r="AK585" t="s">
        <v>1694</v>
      </c>
      <c r="AL585" t="s">
        <v>1694</v>
      </c>
      <c r="AM585" t="s">
        <v>1694</v>
      </c>
      <c r="AN585" t="s">
        <v>1694</v>
      </c>
      <c r="AO585" t="s">
        <v>1694</v>
      </c>
      <c r="AP585" s="11" t="s">
        <v>1695</v>
      </c>
      <c r="AQ585" s="11" t="s">
        <v>1694</v>
      </c>
      <c r="AR585" s="11" t="s">
        <v>1694</v>
      </c>
      <c r="AS585" t="s">
        <v>1694</v>
      </c>
      <c r="AT585" t="s">
        <v>1694</v>
      </c>
      <c r="AU585" t="s">
        <v>1706</v>
      </c>
      <c r="AV585" t="s">
        <v>1735</v>
      </c>
      <c r="AW585" t="s">
        <v>1706</v>
      </c>
      <c r="AX585" t="s">
        <v>1706</v>
      </c>
      <c r="AY585" t="s">
        <v>1735</v>
      </c>
      <c r="AZ585" t="s">
        <v>1706</v>
      </c>
      <c r="BA585" t="s">
        <v>1700</v>
      </c>
      <c r="BB585" t="s">
        <v>1706</v>
      </c>
      <c r="BC585" t="s">
        <v>1735</v>
      </c>
      <c r="BD585" t="s">
        <v>1706</v>
      </c>
      <c r="BE585" t="s">
        <v>1706</v>
      </c>
      <c r="BF585" t="s">
        <v>1735</v>
      </c>
      <c r="BG585">
        <v>30</v>
      </c>
      <c r="BH585" t="s">
        <v>1709</v>
      </c>
      <c r="BI585" t="b">
        <v>0</v>
      </c>
      <c r="BJ585">
        <f t="shared" si="9"/>
        <v>0</v>
      </c>
    </row>
    <row r="586" spans="1:62" x14ac:dyDescent="0.2">
      <c r="A586" s="5" t="s">
        <v>132</v>
      </c>
      <c r="B586" s="6">
        <v>40318</v>
      </c>
      <c r="C586" s="7">
        <v>33.549475000000001</v>
      </c>
      <c r="D586" s="7">
        <v>-111.977572</v>
      </c>
      <c r="E586" s="17">
        <v>442</v>
      </c>
      <c r="F586" t="s">
        <v>1706</v>
      </c>
      <c r="G586" t="s">
        <v>1728</v>
      </c>
      <c r="H586" t="s">
        <v>1728</v>
      </c>
      <c r="I586">
        <v>1</v>
      </c>
      <c r="J586" s="8">
        <v>14.782482942695539</v>
      </c>
      <c r="K586" s="8">
        <v>69.496913893536856</v>
      </c>
      <c r="L586" s="8">
        <v>15.720603163767606</v>
      </c>
      <c r="M586" s="8">
        <v>15.238235012152611</v>
      </c>
      <c r="N586" s="8">
        <v>1.1067768306519732</v>
      </c>
      <c r="O586" s="8">
        <v>6.7218407236348305</v>
      </c>
      <c r="P586" s="8">
        <v>1.2938377034382222</v>
      </c>
      <c r="Q586" s="8">
        <v>33.989632097250038</v>
      </c>
      <c r="R586" s="8">
        <v>11.581349255624746</v>
      </c>
      <c r="S586" s="8">
        <v>1.4650000000000001</v>
      </c>
      <c r="T586" s="8">
        <v>0.216</v>
      </c>
      <c r="U586" s="8">
        <v>0.34499999999999997</v>
      </c>
      <c r="V586" s="8">
        <v>3.7999999999999999E-2</v>
      </c>
      <c r="W586" s="8">
        <v>1.1200000000000001</v>
      </c>
      <c r="X586" s="8">
        <v>0.17799999999999999</v>
      </c>
      <c r="Y586" s="8">
        <v>3.8314176245210767</v>
      </c>
      <c r="Z586" s="8">
        <v>2.2508038585209094</v>
      </c>
      <c r="AA586" s="8">
        <v>8.5399999999999991</v>
      </c>
      <c r="AB586">
        <v>0.24399999999999999</v>
      </c>
      <c r="AC586" s="8">
        <v>1.340996168582381</v>
      </c>
      <c r="AD586" s="8">
        <v>1.6077170418006375</v>
      </c>
      <c r="AE586" s="8">
        <v>9.4E-2</v>
      </c>
      <c r="AF586" s="8">
        <v>2.1000000000000001E-2</v>
      </c>
      <c r="AG586" s="8">
        <v>1.5326522506509814</v>
      </c>
      <c r="AH586" s="8">
        <v>15.585106382978724</v>
      </c>
      <c r="AI586" s="8">
        <v>2.2978723404255317</v>
      </c>
      <c r="AJ586" t="s">
        <v>1694</v>
      </c>
      <c r="AK586" t="s">
        <v>1694</v>
      </c>
      <c r="AL586" t="s">
        <v>1694</v>
      </c>
      <c r="AM586" t="s">
        <v>1694</v>
      </c>
      <c r="AN586" t="s">
        <v>1694</v>
      </c>
      <c r="AO586" t="s">
        <v>1694</v>
      </c>
      <c r="AP586" s="11" t="s">
        <v>1695</v>
      </c>
      <c r="AQ586" s="11" t="s">
        <v>1694</v>
      </c>
      <c r="AR586" s="11" t="s">
        <v>1694</v>
      </c>
      <c r="AS586" t="s">
        <v>1694</v>
      </c>
      <c r="AT586" t="s">
        <v>1694</v>
      </c>
      <c r="AU586" t="s">
        <v>1706</v>
      </c>
      <c r="AV586" t="s">
        <v>1735</v>
      </c>
      <c r="AW586" t="s">
        <v>1706</v>
      </c>
      <c r="AX586" t="s">
        <v>1706</v>
      </c>
      <c r="AY586" t="s">
        <v>1735</v>
      </c>
      <c r="AZ586" t="s">
        <v>1706</v>
      </c>
      <c r="BA586" t="s">
        <v>1700</v>
      </c>
      <c r="BB586" t="s">
        <v>1706</v>
      </c>
      <c r="BC586" t="s">
        <v>1735</v>
      </c>
      <c r="BD586" t="s">
        <v>1706</v>
      </c>
      <c r="BE586" t="s">
        <v>1706</v>
      </c>
      <c r="BF586" t="s">
        <v>1735</v>
      </c>
      <c r="BG586">
        <v>35</v>
      </c>
      <c r="BH586" t="s">
        <v>1709</v>
      </c>
      <c r="BI586" t="b">
        <v>0</v>
      </c>
      <c r="BJ586">
        <f t="shared" si="9"/>
        <v>0</v>
      </c>
    </row>
    <row r="587" spans="1:62" x14ac:dyDescent="0.2">
      <c r="A587" s="5" t="s">
        <v>133</v>
      </c>
      <c r="B587" s="6">
        <v>36573</v>
      </c>
      <c r="C587" s="7">
        <v>33.523857999999997</v>
      </c>
      <c r="D587" s="7">
        <v>-111.992422</v>
      </c>
      <c r="E587" s="17">
        <v>395</v>
      </c>
      <c r="F587" t="s">
        <v>1706</v>
      </c>
      <c r="G587" t="s">
        <v>1724</v>
      </c>
      <c r="H587" t="s">
        <v>1724</v>
      </c>
      <c r="I587">
        <v>1</v>
      </c>
      <c r="J587" s="8">
        <v>18.115695694495617</v>
      </c>
      <c r="K587" s="8">
        <v>56.938754141157695</v>
      </c>
      <c r="L587" s="8">
        <v>24.945550164346685</v>
      </c>
      <c r="M587" s="8">
        <v>15.216674756151898</v>
      </c>
      <c r="N587" s="8">
        <v>5.9561522267462275</v>
      </c>
      <c r="O587" s="8">
        <v>98.667378703409852</v>
      </c>
      <c r="P587" s="8">
        <v>44.153245248925145</v>
      </c>
      <c r="Q587" s="8">
        <v>35.103782778524845</v>
      </c>
      <c r="R587" s="8">
        <v>15.676867351321679</v>
      </c>
      <c r="S587" s="8">
        <v>1.929</v>
      </c>
      <c r="T587" s="8">
        <v>1.3360000000000001</v>
      </c>
      <c r="U587" s="8">
        <v>0.77600000000000002</v>
      </c>
      <c r="V587" s="8">
        <v>0.81200000000000006</v>
      </c>
      <c r="W587" s="8">
        <v>1.153</v>
      </c>
      <c r="X587" s="8">
        <v>0.52400000000000002</v>
      </c>
      <c r="Y587" s="8">
        <v>3.5608300000000002</v>
      </c>
      <c r="Z587" s="8">
        <v>2.2055099999999999</v>
      </c>
      <c r="AA587" s="9">
        <v>8.23</v>
      </c>
      <c r="AB587" s="10">
        <v>0.75800000000000001</v>
      </c>
      <c r="AC587" s="8">
        <v>1.0869599999999999</v>
      </c>
      <c r="AD587" s="8">
        <v>1.7158800000000001</v>
      </c>
      <c r="AE587" s="8">
        <v>0.11899999999999999</v>
      </c>
      <c r="AF587" s="8">
        <v>4.5999999999999999E-2</v>
      </c>
      <c r="AG587" s="8">
        <v>1.6458498677253808</v>
      </c>
      <c r="AH587" s="8">
        <v>16.210084033613448</v>
      </c>
      <c r="AI587" s="8">
        <v>11.226890756302522</v>
      </c>
      <c r="AJ587" t="s">
        <v>1694</v>
      </c>
      <c r="AK587" t="s">
        <v>1694</v>
      </c>
      <c r="AL587" t="s">
        <v>1694</v>
      </c>
      <c r="AM587" t="s">
        <v>1694</v>
      </c>
      <c r="AN587" t="s">
        <v>1694</v>
      </c>
      <c r="AO587" t="s">
        <v>1694</v>
      </c>
      <c r="AP587" t="s">
        <v>1706</v>
      </c>
      <c r="AQ587" t="s">
        <v>1746</v>
      </c>
      <c r="AR587" s="11" t="s">
        <v>1706</v>
      </c>
      <c r="AS587" t="s">
        <v>1694</v>
      </c>
      <c r="AT587" t="s">
        <v>1694</v>
      </c>
      <c r="AU587" t="s">
        <v>1706</v>
      </c>
      <c r="AV587" t="s">
        <v>1746</v>
      </c>
      <c r="AW587" t="s">
        <v>1706</v>
      </c>
      <c r="AX587" t="s">
        <v>1706</v>
      </c>
      <c r="AY587" t="s">
        <v>1746</v>
      </c>
      <c r="AZ587" t="s">
        <v>1706</v>
      </c>
      <c r="BA587" t="s">
        <v>1700</v>
      </c>
      <c r="BB587" t="s">
        <v>1706</v>
      </c>
      <c r="BC587" t="s">
        <v>1746</v>
      </c>
      <c r="BD587" t="s">
        <v>1706</v>
      </c>
      <c r="BE587" t="s">
        <v>1706</v>
      </c>
      <c r="BF587" t="s">
        <v>1746</v>
      </c>
      <c r="BG587">
        <v>45</v>
      </c>
      <c r="BH587" s="12" t="s">
        <v>1729</v>
      </c>
      <c r="BI587" t="b">
        <v>0</v>
      </c>
      <c r="BJ587">
        <f t="shared" si="9"/>
        <v>0</v>
      </c>
    </row>
    <row r="588" spans="1:62" x14ac:dyDescent="0.2">
      <c r="A588" s="5" t="s">
        <v>133</v>
      </c>
      <c r="B588" s="6">
        <v>38488</v>
      </c>
      <c r="C588" s="7">
        <v>33.523857999999997</v>
      </c>
      <c r="D588" s="7">
        <v>-111.992422</v>
      </c>
      <c r="E588" s="17">
        <v>395</v>
      </c>
      <c r="F588" t="s">
        <v>1706</v>
      </c>
      <c r="G588" t="s">
        <v>1724</v>
      </c>
      <c r="H588" t="s">
        <v>1724</v>
      </c>
      <c r="I588">
        <v>1</v>
      </c>
      <c r="J588" s="8">
        <v>12.002709362676603</v>
      </c>
      <c r="K588" s="8">
        <v>68.23755819364473</v>
      </c>
      <c r="L588" s="8">
        <v>19.759732443678672</v>
      </c>
      <c r="M588" s="8">
        <v>1.4681390991799255</v>
      </c>
      <c r="N588" s="8">
        <v>1.5765792978984059</v>
      </c>
      <c r="O588" s="8">
        <v>0.8738923209404319</v>
      </c>
      <c r="P588" s="8">
        <v>4.444452115980269</v>
      </c>
      <c r="Q588" s="8">
        <v>13.463711128679147</v>
      </c>
      <c r="R588" s="8">
        <v>9.1302998900270325</v>
      </c>
      <c r="S588" s="8">
        <v>1.59</v>
      </c>
      <c r="T588" s="8">
        <v>1.286</v>
      </c>
      <c r="U588" s="8">
        <v>0.876</v>
      </c>
      <c r="V588" s="8">
        <v>0.57299999999999995</v>
      </c>
      <c r="W588" s="8">
        <v>0.71400000000000008</v>
      </c>
      <c r="X588" s="8">
        <v>0.71300000000000008</v>
      </c>
      <c r="Y588" s="8">
        <v>3.7769784172661858</v>
      </c>
      <c r="Z588" s="8">
        <v>4.205607476635528</v>
      </c>
      <c r="AA588" s="8">
        <v>8.26</v>
      </c>
      <c r="AB588">
        <v>0.90400000000000003</v>
      </c>
      <c r="AC588" s="8">
        <v>1.7985611510791299</v>
      </c>
      <c r="AD588" s="8">
        <v>4.5560747663551258</v>
      </c>
      <c r="AE588" s="8">
        <v>6.8000000000000005E-2</v>
      </c>
      <c r="AF588" s="8">
        <v>8.8999999999999996E-2</v>
      </c>
      <c r="AG588" s="8">
        <v>1.5062221567514069</v>
      </c>
      <c r="AH588" s="8">
        <v>23.382352941176471</v>
      </c>
      <c r="AI588" s="8">
        <v>18.911764705882351</v>
      </c>
      <c r="AJ588" t="s">
        <v>1694</v>
      </c>
      <c r="AK588" t="s">
        <v>1694</v>
      </c>
      <c r="AL588" t="s">
        <v>1694</v>
      </c>
      <c r="AM588" t="s">
        <v>1694</v>
      </c>
      <c r="AN588" t="s">
        <v>1694</v>
      </c>
      <c r="AO588" t="s">
        <v>1694</v>
      </c>
      <c r="AP588" t="s">
        <v>1706</v>
      </c>
      <c r="AQ588" t="s">
        <v>1746</v>
      </c>
      <c r="AR588" s="11" t="s">
        <v>1706</v>
      </c>
      <c r="AS588" t="s">
        <v>1694</v>
      </c>
      <c r="AT588" t="s">
        <v>1694</v>
      </c>
      <c r="AU588" t="s">
        <v>1706</v>
      </c>
      <c r="AV588" t="s">
        <v>1746</v>
      </c>
      <c r="AW588" t="s">
        <v>1706</v>
      </c>
      <c r="AX588" t="s">
        <v>1706</v>
      </c>
      <c r="AY588" t="s">
        <v>1746</v>
      </c>
      <c r="AZ588" t="s">
        <v>1706</v>
      </c>
      <c r="BA588" t="s">
        <v>1700</v>
      </c>
      <c r="BB588" t="s">
        <v>1706</v>
      </c>
      <c r="BC588" t="s">
        <v>1746</v>
      </c>
      <c r="BD588" t="s">
        <v>1706</v>
      </c>
      <c r="BE588" t="s">
        <v>1706</v>
      </c>
      <c r="BF588" t="s">
        <v>1746</v>
      </c>
      <c r="BG588">
        <v>50</v>
      </c>
      <c r="BH588" s="12" t="s">
        <v>1729</v>
      </c>
      <c r="BI588" t="b">
        <v>0</v>
      </c>
      <c r="BJ588">
        <f t="shared" si="9"/>
        <v>0</v>
      </c>
    </row>
    <row r="589" spans="1:62" x14ac:dyDescent="0.2">
      <c r="A589" s="5" t="s">
        <v>133</v>
      </c>
      <c r="B589" s="6">
        <v>40318</v>
      </c>
      <c r="C589" s="7">
        <v>33.523857999999997</v>
      </c>
      <c r="D589" s="7">
        <v>-111.992422</v>
      </c>
      <c r="E589" s="17">
        <v>395</v>
      </c>
      <c r="F589" t="s">
        <v>1706</v>
      </c>
      <c r="G589" t="s">
        <v>1724</v>
      </c>
      <c r="H589" t="s">
        <v>1724</v>
      </c>
      <c r="I589">
        <v>1</v>
      </c>
      <c r="J589" s="8">
        <v>6.5858002426703006</v>
      </c>
      <c r="K589" s="8">
        <v>79.345725572155089</v>
      </c>
      <c r="L589" s="8">
        <v>14.068474185174608</v>
      </c>
      <c r="M589" s="8">
        <v>0.49008349459735639</v>
      </c>
      <c r="N589" s="8">
        <v>0.31930098537372237</v>
      </c>
      <c r="O589" s="8">
        <v>1.7699930204151344</v>
      </c>
      <c r="P589" s="8">
        <v>0.3707439219061554</v>
      </c>
      <c r="Q589" s="8">
        <v>8.7100073422307833</v>
      </c>
      <c r="R589" s="8">
        <v>8.0314841187670307</v>
      </c>
      <c r="S589" s="8">
        <v>0.60399999999999998</v>
      </c>
      <c r="T589" s="8">
        <v>0.78700000000000003</v>
      </c>
      <c r="U589" s="8">
        <v>0.32400000000000001</v>
      </c>
      <c r="V589" s="8">
        <v>0.52200000000000002</v>
      </c>
      <c r="W589" s="8">
        <v>0.27999999999999997</v>
      </c>
      <c r="X589" s="8">
        <v>0.26500000000000001</v>
      </c>
      <c r="Y589" s="8">
        <v>2.6315789473684119</v>
      </c>
      <c r="Z589" s="8">
        <v>2.8301886792452784</v>
      </c>
      <c r="AA589" s="8">
        <v>8.56</v>
      </c>
      <c r="AB589">
        <v>0.22500000000000001</v>
      </c>
      <c r="AC589" s="8">
        <v>1.3157894736842293</v>
      </c>
      <c r="AD589" s="8">
        <v>2.8301886792452784</v>
      </c>
      <c r="AE589" s="8">
        <v>2.9000000000000001E-2</v>
      </c>
      <c r="AF589" s="8">
        <v>2.3E-2</v>
      </c>
      <c r="AG589" s="8">
        <v>1.7692149542538385</v>
      </c>
      <c r="AH589" s="8">
        <v>20.827586206896552</v>
      </c>
      <c r="AI589" s="8">
        <v>27.137931034482758</v>
      </c>
      <c r="AJ589" t="s">
        <v>1694</v>
      </c>
      <c r="AK589" t="s">
        <v>1694</v>
      </c>
      <c r="AL589" t="s">
        <v>1694</v>
      </c>
      <c r="AM589" t="s">
        <v>1694</v>
      </c>
      <c r="AN589" t="s">
        <v>1694</v>
      </c>
      <c r="AO589" t="s">
        <v>1694</v>
      </c>
      <c r="AP589" t="s">
        <v>1706</v>
      </c>
      <c r="AQ589" t="s">
        <v>1746</v>
      </c>
      <c r="AR589" s="11" t="s">
        <v>1706</v>
      </c>
      <c r="AS589" t="s">
        <v>1694</v>
      </c>
      <c r="AT589" t="s">
        <v>1694</v>
      </c>
      <c r="AU589" t="s">
        <v>1706</v>
      </c>
      <c r="AV589" t="s">
        <v>1746</v>
      </c>
      <c r="AW589" t="s">
        <v>1706</v>
      </c>
      <c r="AX589" t="s">
        <v>1706</v>
      </c>
      <c r="AY589" t="s">
        <v>1746</v>
      </c>
      <c r="AZ589" t="s">
        <v>1706</v>
      </c>
      <c r="BA589" t="s">
        <v>1700</v>
      </c>
      <c r="BB589" t="s">
        <v>1706</v>
      </c>
      <c r="BC589" t="s">
        <v>1746</v>
      </c>
      <c r="BD589" t="s">
        <v>1706</v>
      </c>
      <c r="BE589" t="s">
        <v>1706</v>
      </c>
      <c r="BF589" t="s">
        <v>1746</v>
      </c>
      <c r="BG589">
        <v>55</v>
      </c>
      <c r="BH589" s="12" t="s">
        <v>1729</v>
      </c>
      <c r="BI589" t="b">
        <v>0</v>
      </c>
      <c r="BJ589">
        <f t="shared" si="9"/>
        <v>0</v>
      </c>
    </row>
    <row r="590" spans="1:62" x14ac:dyDescent="0.2">
      <c r="A590" s="5" t="s">
        <v>133</v>
      </c>
      <c r="B590" s="6">
        <v>42173</v>
      </c>
      <c r="C590" s="7">
        <v>33.523857999999997</v>
      </c>
      <c r="D590" s="7">
        <v>-111.992422</v>
      </c>
      <c r="E590" s="17">
        <v>395</v>
      </c>
      <c r="F590" t="s">
        <v>1706</v>
      </c>
      <c r="G590" t="s">
        <v>1724</v>
      </c>
      <c r="H590" t="s">
        <v>1724</v>
      </c>
      <c r="I590">
        <v>1</v>
      </c>
      <c r="J590">
        <v>4.5722144371272204</v>
      </c>
      <c r="K590">
        <v>77.297553873734699</v>
      </c>
      <c r="L590">
        <v>18.1302316891381</v>
      </c>
      <c r="M590">
        <v>4.3783507327434599</v>
      </c>
      <c r="N590">
        <v>7.7370258103099498</v>
      </c>
      <c r="O590">
        <v>43.783507327434599</v>
      </c>
      <c r="P590">
        <v>345.66560179141402</v>
      </c>
      <c r="Q590">
        <v>3.2125719994475199</v>
      </c>
      <c r="R590">
        <v>2.3638037114387398</v>
      </c>
      <c r="S590">
        <v>1.857</v>
      </c>
      <c r="T590">
        <v>2.3140000000000001</v>
      </c>
      <c r="U590">
        <v>1.004</v>
      </c>
      <c r="V590">
        <v>1.3759999999999999</v>
      </c>
      <c r="W590">
        <v>0.85299999999999998</v>
      </c>
      <c r="X590">
        <v>0.93799999999999994</v>
      </c>
      <c r="Y590">
        <v>2.2974607013300998</v>
      </c>
      <c r="Z590">
        <v>2.0560747663551302</v>
      </c>
      <c r="AA590">
        <v>7.9</v>
      </c>
      <c r="AB590">
        <v>0.41099999999999998</v>
      </c>
      <c r="AC590">
        <v>1.65837479270315</v>
      </c>
      <c r="AD590">
        <v>1.94805194805196</v>
      </c>
      <c r="AE590">
        <v>0.10199999999999999</v>
      </c>
      <c r="AF590">
        <v>0.19</v>
      </c>
      <c r="AG590">
        <v>1.2305719427339643</v>
      </c>
      <c r="AH590">
        <v>18.205882352941199</v>
      </c>
      <c r="AI590">
        <v>12.178947368421101</v>
      </c>
      <c r="AJ590" t="s">
        <v>1694</v>
      </c>
      <c r="AK590" t="s">
        <v>1694</v>
      </c>
      <c r="AL590" t="s">
        <v>1694</v>
      </c>
      <c r="AM590" t="s">
        <v>1694</v>
      </c>
      <c r="AN590" t="s">
        <v>1694</v>
      </c>
      <c r="AO590" t="s">
        <v>1694</v>
      </c>
      <c r="AP590" t="s">
        <v>1706</v>
      </c>
      <c r="AQ590" t="s">
        <v>1746</v>
      </c>
      <c r="AR590" s="11" t="s">
        <v>1706</v>
      </c>
      <c r="AS590" t="s">
        <v>1694</v>
      </c>
      <c r="AT590" t="s">
        <v>1694</v>
      </c>
      <c r="AU590" t="s">
        <v>1706</v>
      </c>
      <c r="AV590" t="s">
        <v>1746</v>
      </c>
      <c r="AW590" t="s">
        <v>1706</v>
      </c>
      <c r="AX590" t="s">
        <v>1706</v>
      </c>
      <c r="AY590" t="s">
        <v>1746</v>
      </c>
      <c r="AZ590" t="s">
        <v>1706</v>
      </c>
      <c r="BA590" t="s">
        <v>1700</v>
      </c>
      <c r="BB590" t="s">
        <v>1706</v>
      </c>
      <c r="BC590" t="s">
        <v>1746</v>
      </c>
      <c r="BD590" t="s">
        <v>1706</v>
      </c>
      <c r="BE590" t="s">
        <v>1706</v>
      </c>
      <c r="BF590" t="s">
        <v>1746</v>
      </c>
      <c r="BG590">
        <v>60</v>
      </c>
      <c r="BH590" s="12" t="s">
        <v>1729</v>
      </c>
      <c r="BI590" t="b">
        <v>0</v>
      </c>
      <c r="BJ590">
        <f t="shared" si="9"/>
        <v>0</v>
      </c>
    </row>
    <row r="591" spans="1:62" x14ac:dyDescent="0.2">
      <c r="A591" s="5" t="s">
        <v>133</v>
      </c>
      <c r="B591" s="6">
        <v>45063</v>
      </c>
      <c r="C591" s="7">
        <v>33.523857999999997</v>
      </c>
      <c r="D591" s="7">
        <v>-111.992422</v>
      </c>
      <c r="E591" s="17">
        <v>395</v>
      </c>
      <c r="F591" t="s">
        <v>1706</v>
      </c>
      <c r="G591" t="s">
        <v>1724</v>
      </c>
      <c r="H591" t="s">
        <v>1724</v>
      </c>
      <c r="I591">
        <v>1</v>
      </c>
      <c r="J591" t="s">
        <v>1697</v>
      </c>
      <c r="K591" t="s">
        <v>1697</v>
      </c>
      <c r="L591" t="s">
        <v>1697</v>
      </c>
      <c r="M591" t="s">
        <v>1697</v>
      </c>
      <c r="N591" t="s">
        <v>1697</v>
      </c>
      <c r="O591" t="s">
        <v>1697</v>
      </c>
      <c r="P591" t="s">
        <v>1697</v>
      </c>
      <c r="Q591" t="s">
        <v>1697</v>
      </c>
      <c r="R591" t="s">
        <v>1697</v>
      </c>
      <c r="S591" t="s">
        <v>1697</v>
      </c>
      <c r="T591" t="s">
        <v>1697</v>
      </c>
      <c r="U591" t="s">
        <v>1697</v>
      </c>
      <c r="V591" t="s">
        <v>1697</v>
      </c>
      <c r="W591" t="s">
        <v>1697</v>
      </c>
      <c r="X591" t="s">
        <v>1697</v>
      </c>
      <c r="Y591" t="s">
        <v>1697</v>
      </c>
      <c r="Z591" t="s">
        <v>1697</v>
      </c>
      <c r="AA591" t="s">
        <v>1697</v>
      </c>
      <c r="AB591" t="s">
        <v>1697</v>
      </c>
      <c r="AC591" t="s">
        <v>1697</v>
      </c>
      <c r="AD591" t="s">
        <v>1697</v>
      </c>
      <c r="AE591" t="s">
        <v>1697</v>
      </c>
      <c r="AF591" t="s">
        <v>1697</v>
      </c>
      <c r="AG591" t="s">
        <v>1697</v>
      </c>
      <c r="AH591" t="s">
        <v>1697</v>
      </c>
      <c r="AI591" t="s">
        <v>1697</v>
      </c>
      <c r="AJ591" t="s">
        <v>1694</v>
      </c>
      <c r="AK591" t="s">
        <v>1694</v>
      </c>
      <c r="AL591" t="s">
        <v>1694</v>
      </c>
      <c r="AM591" t="s">
        <v>1694</v>
      </c>
      <c r="AN591" t="s">
        <v>1694</v>
      </c>
      <c r="AO591" t="s">
        <v>1694</v>
      </c>
      <c r="AP591" t="s">
        <v>1706</v>
      </c>
      <c r="AQ591" t="s">
        <v>1746</v>
      </c>
      <c r="AR591" s="11" t="s">
        <v>1706</v>
      </c>
      <c r="AS591" t="s">
        <v>1694</v>
      </c>
      <c r="AT591" t="s">
        <v>1694</v>
      </c>
      <c r="AU591" t="s">
        <v>1706</v>
      </c>
      <c r="AV591" t="s">
        <v>1746</v>
      </c>
      <c r="AW591" t="s">
        <v>1706</v>
      </c>
      <c r="AX591" t="s">
        <v>1706</v>
      </c>
      <c r="AY591" t="s">
        <v>1746</v>
      </c>
      <c r="AZ591" t="s">
        <v>1706</v>
      </c>
      <c r="BA591" t="s">
        <v>1700</v>
      </c>
      <c r="BB591" t="s">
        <v>1706</v>
      </c>
      <c r="BC591" t="s">
        <v>1746</v>
      </c>
      <c r="BD591" t="s">
        <v>1706</v>
      </c>
      <c r="BE591" t="s">
        <v>1706</v>
      </c>
      <c r="BF591" t="s">
        <v>1746</v>
      </c>
      <c r="BG591" s="6" t="s">
        <v>1697</v>
      </c>
      <c r="BH591" s="6" t="s">
        <v>1697</v>
      </c>
      <c r="BI591" t="b">
        <v>1</v>
      </c>
      <c r="BJ591">
        <f t="shared" si="9"/>
        <v>1</v>
      </c>
    </row>
    <row r="592" spans="1:62" x14ac:dyDescent="0.2">
      <c r="A592" s="5" t="s">
        <v>134</v>
      </c>
      <c r="B592" s="6">
        <v>38453</v>
      </c>
      <c r="C592" s="7">
        <v>33.478306000000003</v>
      </c>
      <c r="D592" s="7">
        <v>-111.972703</v>
      </c>
      <c r="E592" s="17">
        <v>369</v>
      </c>
      <c r="F592" t="s">
        <v>1700</v>
      </c>
      <c r="G592" t="s">
        <v>1755</v>
      </c>
      <c r="H592" t="s">
        <v>1755</v>
      </c>
      <c r="I592">
        <v>1</v>
      </c>
      <c r="J592" s="8">
        <v>8.492869967393414</v>
      </c>
      <c r="K592" s="8">
        <v>76.54540483717463</v>
      </c>
      <c r="L592" s="8">
        <v>14.961725195431953</v>
      </c>
      <c r="M592" s="8">
        <v>3.9846441996449822</v>
      </c>
      <c r="N592" s="8">
        <v>0.97763292014868153</v>
      </c>
      <c r="O592" s="8">
        <v>15.11002379833629</v>
      </c>
      <c r="P592" s="8">
        <v>2.841653021232168</v>
      </c>
      <c r="Q592" s="8">
        <v>17.3550947427218</v>
      </c>
      <c r="R592" s="8">
        <v>14.069299545569269</v>
      </c>
      <c r="S592" s="8">
        <v>1.242</v>
      </c>
      <c r="T592" s="8">
        <v>1.0309999999999999</v>
      </c>
      <c r="U592" s="8">
        <v>0.28799999999999998</v>
      </c>
      <c r="V592" s="8">
        <v>0.78400000000000003</v>
      </c>
      <c r="W592" s="8">
        <v>0.95399999999999996</v>
      </c>
      <c r="X592" s="8">
        <v>0.24699999999999989</v>
      </c>
      <c r="Y592" s="8">
        <v>3.6885245901639281</v>
      </c>
      <c r="Z592" s="8">
        <v>2.8503562945368195</v>
      </c>
      <c r="AA592" s="8">
        <v>7.69</v>
      </c>
      <c r="AB592">
        <v>0.19700000000000001</v>
      </c>
      <c r="AC592" s="8">
        <v>3.2786885245901667</v>
      </c>
      <c r="AD592" s="8">
        <v>6.5320665083135472</v>
      </c>
      <c r="AE592" s="8">
        <v>6.5000000000000002E-2</v>
      </c>
      <c r="AF592" s="8">
        <v>4.3999999999999997E-2</v>
      </c>
      <c r="AG592" s="8">
        <v>1.2170715198780477</v>
      </c>
      <c r="AH592" s="8">
        <v>19.107692307692307</v>
      </c>
      <c r="AI592" s="8">
        <v>15.86153846153846</v>
      </c>
      <c r="AJ592" t="s">
        <v>1694</v>
      </c>
      <c r="AK592" t="s">
        <v>1694</v>
      </c>
      <c r="AL592" t="s">
        <v>1702</v>
      </c>
      <c r="AM592" t="s">
        <v>1703</v>
      </c>
      <c r="AN592" t="s">
        <v>1700</v>
      </c>
      <c r="AO592" t="s">
        <v>1700</v>
      </c>
      <c r="AP592" t="s">
        <v>1697</v>
      </c>
      <c r="AQ592" t="s">
        <v>1697</v>
      </c>
      <c r="AR592" s="11" t="s">
        <v>1700</v>
      </c>
      <c r="AS592" t="s">
        <v>1700</v>
      </c>
      <c r="AT592" t="s">
        <v>1700</v>
      </c>
      <c r="AU592" t="s">
        <v>1755</v>
      </c>
      <c r="AV592" t="s">
        <v>1756</v>
      </c>
      <c r="AW592" t="s">
        <v>1700</v>
      </c>
      <c r="AX592" t="s">
        <v>1755</v>
      </c>
      <c r="AY592" t="s">
        <v>1756</v>
      </c>
      <c r="AZ592" t="s">
        <v>1700</v>
      </c>
      <c r="BA592" t="s">
        <v>1700</v>
      </c>
      <c r="BB592" t="s">
        <v>1755</v>
      </c>
      <c r="BC592" t="s">
        <v>1756</v>
      </c>
      <c r="BD592" t="s">
        <v>1700</v>
      </c>
      <c r="BE592" t="s">
        <v>1755</v>
      </c>
      <c r="BF592" t="s">
        <v>1756</v>
      </c>
      <c r="BG592">
        <v>71</v>
      </c>
      <c r="BH592" s="12" t="s">
        <v>1712</v>
      </c>
      <c r="BI592" t="b">
        <v>0</v>
      </c>
      <c r="BJ592">
        <f t="shared" si="9"/>
        <v>0</v>
      </c>
    </row>
    <row r="593" spans="1:62" x14ac:dyDescent="0.2">
      <c r="A593" s="5" t="s">
        <v>134</v>
      </c>
      <c r="B593" s="6">
        <v>40242</v>
      </c>
      <c r="C593" s="7">
        <v>33.478306000000003</v>
      </c>
      <c r="D593" s="7">
        <v>-111.972703</v>
      </c>
      <c r="E593" s="17">
        <v>369</v>
      </c>
      <c r="F593" t="s">
        <v>1700</v>
      </c>
      <c r="G593" t="s">
        <v>1755</v>
      </c>
      <c r="H593" t="s">
        <v>1755</v>
      </c>
      <c r="I593">
        <v>1</v>
      </c>
      <c r="J593" s="8">
        <v>15.427992842672472</v>
      </c>
      <c r="K593" s="8">
        <v>57.719999958693833</v>
      </c>
      <c r="L593" s="8">
        <v>26.8520071986337</v>
      </c>
      <c r="M593" s="8">
        <v>3.29570634259353</v>
      </c>
      <c r="N593" s="8">
        <v>0.23882830492172691</v>
      </c>
      <c r="O593" s="8">
        <v>185.28855935318464</v>
      </c>
      <c r="P593" s="8">
        <v>42.397858691316344</v>
      </c>
      <c r="Q593" s="8">
        <v>15.191989031310058</v>
      </c>
      <c r="R593" s="8">
        <v>7.8215650647654229</v>
      </c>
      <c r="S593" s="8">
        <v>1.885</v>
      </c>
      <c r="T593" s="8">
        <v>1.488</v>
      </c>
      <c r="U593" s="8">
        <v>0.53</v>
      </c>
      <c r="V593" s="8">
        <v>0.54800000000000004</v>
      </c>
      <c r="W593" s="8">
        <v>1.355</v>
      </c>
      <c r="X593" s="8">
        <v>0.94</v>
      </c>
      <c r="Y593" s="8">
        <v>4.1939711664482342</v>
      </c>
      <c r="Z593" s="8">
        <v>4.3835616438356197</v>
      </c>
      <c r="AA593" s="8">
        <v>8.0500000000000007</v>
      </c>
      <c r="AB593">
        <v>0.27300000000000002</v>
      </c>
      <c r="AC593" s="8">
        <v>11.664482306684148</v>
      </c>
      <c r="AD593" s="8">
        <v>16.986301369863018</v>
      </c>
      <c r="AE593" s="8">
        <v>0.13</v>
      </c>
      <c r="AF593" s="8">
        <v>7.5999999999999998E-2</v>
      </c>
      <c r="AG593" s="8">
        <v>1.3424542707688227</v>
      </c>
      <c r="AH593" s="8">
        <v>14.5</v>
      </c>
      <c r="AI593" s="8">
        <v>11.446153846153846</v>
      </c>
      <c r="AJ593" t="s">
        <v>1694</v>
      </c>
      <c r="AK593" t="s">
        <v>1694</v>
      </c>
      <c r="AL593" t="s">
        <v>1702</v>
      </c>
      <c r="AM593" t="s">
        <v>1703</v>
      </c>
      <c r="AN593" t="s">
        <v>1700</v>
      </c>
      <c r="AO593" t="s">
        <v>1700</v>
      </c>
      <c r="AP593" t="s">
        <v>1697</v>
      </c>
      <c r="AQ593" t="s">
        <v>1697</v>
      </c>
      <c r="AR593" s="11" t="s">
        <v>1700</v>
      </c>
      <c r="AS593" t="s">
        <v>1700</v>
      </c>
      <c r="AT593" t="s">
        <v>1700</v>
      </c>
      <c r="AU593" t="s">
        <v>1755</v>
      </c>
      <c r="AV593" t="s">
        <v>1756</v>
      </c>
      <c r="AW593" t="s">
        <v>1700</v>
      </c>
      <c r="AX593" t="s">
        <v>1755</v>
      </c>
      <c r="AY593" t="s">
        <v>1756</v>
      </c>
      <c r="AZ593" t="s">
        <v>1700</v>
      </c>
      <c r="BA593" t="s">
        <v>1700</v>
      </c>
      <c r="BB593" t="s">
        <v>1755</v>
      </c>
      <c r="BC593" t="s">
        <v>1756</v>
      </c>
      <c r="BD593" t="s">
        <v>1700</v>
      </c>
      <c r="BE593" t="s">
        <v>1755</v>
      </c>
      <c r="BF593" t="s">
        <v>1756</v>
      </c>
      <c r="BG593">
        <v>75</v>
      </c>
      <c r="BH593" s="12" t="s">
        <v>1712</v>
      </c>
      <c r="BI593" t="b">
        <v>0</v>
      </c>
      <c r="BJ593">
        <f t="shared" si="9"/>
        <v>0</v>
      </c>
    </row>
    <row r="594" spans="1:62" x14ac:dyDescent="0.2">
      <c r="A594" s="5" t="s">
        <v>134</v>
      </c>
      <c r="B594" s="6">
        <v>42115</v>
      </c>
      <c r="C594" s="7">
        <v>33.478306000000003</v>
      </c>
      <c r="D594" s="7">
        <v>-111.972703</v>
      </c>
      <c r="E594" s="17">
        <v>369</v>
      </c>
      <c r="F594" t="s">
        <v>1700</v>
      </c>
      <c r="G594" t="s">
        <v>1755</v>
      </c>
      <c r="H594" t="s">
        <v>1755</v>
      </c>
      <c r="I594">
        <v>1</v>
      </c>
      <c r="J594">
        <v>6.1287808158461798</v>
      </c>
      <c r="K594">
        <v>91.2790382292511</v>
      </c>
      <c r="L594">
        <v>2.5921809549027199</v>
      </c>
      <c r="M594">
        <v>6.9493878189196803</v>
      </c>
      <c r="N594">
        <v>3.2094543265704001</v>
      </c>
      <c r="O594">
        <v>54.5140866684144</v>
      </c>
      <c r="P594">
        <v>35.1954653203614</v>
      </c>
      <c r="Q594">
        <v>4.1061587134921E-3</v>
      </c>
      <c r="R594">
        <v>2.2424616323344901</v>
      </c>
      <c r="S594">
        <v>2.359</v>
      </c>
      <c r="T594">
        <v>2.1880000000000002</v>
      </c>
      <c r="U594">
        <v>0.438</v>
      </c>
      <c r="V594">
        <v>0.52900000000000003</v>
      </c>
      <c r="W594">
        <v>1.921</v>
      </c>
      <c r="X594">
        <v>1.659</v>
      </c>
      <c r="Y594">
        <v>2.6992287917737801</v>
      </c>
      <c r="Z594">
        <v>1.8382352941176601</v>
      </c>
      <c r="AA594">
        <v>7.64</v>
      </c>
      <c r="AB594">
        <v>0.41099999999999998</v>
      </c>
      <c r="AC594">
        <v>4.9723756906077599</v>
      </c>
      <c r="AD594">
        <v>9.1482649842271293</v>
      </c>
      <c r="AE594">
        <v>0.19800000000000001</v>
      </c>
      <c r="AF594">
        <v>0.14599999999999999</v>
      </c>
      <c r="AG594">
        <v>1.2489779524213915</v>
      </c>
      <c r="AH594">
        <v>11.914141414141399</v>
      </c>
      <c r="AI594">
        <v>14.986301369863</v>
      </c>
      <c r="AJ594" t="s">
        <v>1694</v>
      </c>
      <c r="AK594" t="s">
        <v>1694</v>
      </c>
      <c r="AL594" t="s">
        <v>1702</v>
      </c>
      <c r="AM594" t="s">
        <v>1703</v>
      </c>
      <c r="AN594" t="s">
        <v>1700</v>
      </c>
      <c r="AO594" t="s">
        <v>1700</v>
      </c>
      <c r="AP594" t="s">
        <v>1697</v>
      </c>
      <c r="AQ594" t="s">
        <v>1697</v>
      </c>
      <c r="AR594" s="11" t="s">
        <v>1700</v>
      </c>
      <c r="AS594" t="s">
        <v>1700</v>
      </c>
      <c r="AT594" t="s">
        <v>1700</v>
      </c>
      <c r="AU594" t="s">
        <v>1755</v>
      </c>
      <c r="AV594" t="s">
        <v>1756</v>
      </c>
      <c r="AW594" t="s">
        <v>1700</v>
      </c>
      <c r="AX594" t="s">
        <v>1755</v>
      </c>
      <c r="AY594" t="s">
        <v>1756</v>
      </c>
      <c r="AZ594" t="s">
        <v>1700</v>
      </c>
      <c r="BA594" t="s">
        <v>1700</v>
      </c>
      <c r="BB594" t="s">
        <v>1755</v>
      </c>
      <c r="BC594" t="s">
        <v>1756</v>
      </c>
      <c r="BD594" t="s">
        <v>1700</v>
      </c>
      <c r="BE594" t="s">
        <v>1755</v>
      </c>
      <c r="BF594" t="s">
        <v>1756</v>
      </c>
      <c r="BG594">
        <v>81</v>
      </c>
      <c r="BH594" t="s">
        <v>1713</v>
      </c>
      <c r="BI594" t="b">
        <v>0</v>
      </c>
      <c r="BJ594">
        <f t="shared" si="9"/>
        <v>0</v>
      </c>
    </row>
    <row r="595" spans="1:62" x14ac:dyDescent="0.2">
      <c r="A595" s="5" t="s">
        <v>134</v>
      </c>
      <c r="B595" s="6">
        <v>45092</v>
      </c>
      <c r="C595" s="7">
        <v>33.478306000000003</v>
      </c>
      <c r="D595" s="7">
        <v>-111.972703</v>
      </c>
      <c r="E595" s="17">
        <v>369</v>
      </c>
      <c r="F595" t="s">
        <v>1700</v>
      </c>
      <c r="G595" t="s">
        <v>1755</v>
      </c>
      <c r="H595" t="s">
        <v>1755</v>
      </c>
      <c r="I595">
        <v>1</v>
      </c>
      <c r="J595" t="s">
        <v>1697</v>
      </c>
      <c r="K595" t="s">
        <v>1697</v>
      </c>
      <c r="L595" t="s">
        <v>1697</v>
      </c>
      <c r="M595" t="s">
        <v>1697</v>
      </c>
      <c r="N595" t="s">
        <v>1697</v>
      </c>
      <c r="O595" t="s">
        <v>1697</v>
      </c>
      <c r="P595" t="s">
        <v>1697</v>
      </c>
      <c r="Q595" t="s">
        <v>1697</v>
      </c>
      <c r="R595" t="s">
        <v>1697</v>
      </c>
      <c r="S595" t="s">
        <v>1697</v>
      </c>
      <c r="T595" t="s">
        <v>1697</v>
      </c>
      <c r="U595" t="s">
        <v>1697</v>
      </c>
      <c r="V595" t="s">
        <v>1697</v>
      </c>
      <c r="W595" t="s">
        <v>1697</v>
      </c>
      <c r="X595" t="s">
        <v>1697</v>
      </c>
      <c r="Y595" t="s">
        <v>1697</v>
      </c>
      <c r="Z595" t="s">
        <v>1697</v>
      </c>
      <c r="AA595" t="s">
        <v>1697</v>
      </c>
      <c r="AB595" t="s">
        <v>1697</v>
      </c>
      <c r="AC595" t="s">
        <v>1697</v>
      </c>
      <c r="AD595" t="s">
        <v>1697</v>
      </c>
      <c r="AE595" t="s">
        <v>1697</v>
      </c>
      <c r="AF595" t="s">
        <v>1697</v>
      </c>
      <c r="AG595" t="s">
        <v>1697</v>
      </c>
      <c r="AH595" t="s">
        <v>1697</v>
      </c>
      <c r="AI595" t="s">
        <v>1697</v>
      </c>
      <c r="AJ595" t="s">
        <v>1694</v>
      </c>
      <c r="AK595" t="s">
        <v>1694</v>
      </c>
      <c r="AL595" t="s">
        <v>1702</v>
      </c>
      <c r="AM595" t="s">
        <v>1703</v>
      </c>
      <c r="AN595" t="s">
        <v>1700</v>
      </c>
      <c r="AO595" t="s">
        <v>1700</v>
      </c>
      <c r="AP595" t="s">
        <v>1697</v>
      </c>
      <c r="AQ595" t="s">
        <v>1697</v>
      </c>
      <c r="AR595" s="11" t="s">
        <v>1700</v>
      </c>
      <c r="AS595" t="s">
        <v>1700</v>
      </c>
      <c r="AT595" t="s">
        <v>1700</v>
      </c>
      <c r="AU595" t="s">
        <v>1755</v>
      </c>
      <c r="AV595" t="s">
        <v>1756</v>
      </c>
      <c r="AW595" t="s">
        <v>1700</v>
      </c>
      <c r="AX595" t="s">
        <v>1755</v>
      </c>
      <c r="AY595" t="s">
        <v>1756</v>
      </c>
      <c r="AZ595" t="s">
        <v>1700</v>
      </c>
      <c r="BA595" t="s">
        <v>1700</v>
      </c>
      <c r="BB595" t="s">
        <v>1755</v>
      </c>
      <c r="BC595" t="s">
        <v>1756</v>
      </c>
      <c r="BD595" t="s">
        <v>1700</v>
      </c>
      <c r="BE595" t="s">
        <v>1755</v>
      </c>
      <c r="BF595" t="s">
        <v>1756</v>
      </c>
      <c r="BG595" s="6" t="s">
        <v>1697</v>
      </c>
      <c r="BH595" s="6" t="s">
        <v>1697</v>
      </c>
      <c r="BI595" t="b">
        <v>0</v>
      </c>
      <c r="BJ595">
        <f t="shared" si="9"/>
        <v>0</v>
      </c>
    </row>
    <row r="596" spans="1:62" x14ac:dyDescent="0.2">
      <c r="A596" s="5" t="s">
        <v>135</v>
      </c>
      <c r="B596" s="6">
        <v>38453</v>
      </c>
      <c r="C596" s="7">
        <v>33.444622000000003</v>
      </c>
      <c r="D596" s="7">
        <v>-111.99952500000001</v>
      </c>
      <c r="E596" s="17">
        <v>344</v>
      </c>
      <c r="F596" t="s">
        <v>1700</v>
      </c>
      <c r="G596" t="s">
        <v>1699</v>
      </c>
      <c r="H596" t="s">
        <v>1701</v>
      </c>
      <c r="I596">
        <v>1</v>
      </c>
      <c r="J596" s="8">
        <v>17.414328576003513</v>
      </c>
      <c r="K596" s="8">
        <v>56.094587334401396</v>
      </c>
      <c r="L596" s="8">
        <v>26.491084089595091</v>
      </c>
      <c r="M596" s="8">
        <v>1.3550032188577994</v>
      </c>
      <c r="N596" s="8">
        <v>1.4592318988842794</v>
      </c>
      <c r="O596" s="8">
        <v>28.977711694716081</v>
      </c>
      <c r="P596" s="8">
        <v>20.986407854863007</v>
      </c>
      <c r="Q596" s="8">
        <v>12.186506936897187</v>
      </c>
      <c r="R596" s="8">
        <v>4.2794914645952238</v>
      </c>
      <c r="S596" s="8">
        <v>1.3640000000000001</v>
      </c>
      <c r="T596" s="8">
        <v>1.5109999999999999</v>
      </c>
      <c r="U596" s="8">
        <v>0.62</v>
      </c>
      <c r="V596" s="8">
        <v>0.65400000000000003</v>
      </c>
      <c r="W596" s="8">
        <v>0.74400000000000011</v>
      </c>
      <c r="X596" s="8">
        <v>0.85699999999999987</v>
      </c>
      <c r="Y596" s="8">
        <v>2.9769959404600899</v>
      </c>
      <c r="Z596" s="8">
        <v>2.9661016949152663</v>
      </c>
      <c r="AA596" s="8">
        <v>8.26</v>
      </c>
      <c r="AB596">
        <v>0.19900000000000001</v>
      </c>
      <c r="AC596" s="8">
        <v>7.1718538565629135</v>
      </c>
      <c r="AD596" s="8">
        <v>10.169491525423737</v>
      </c>
      <c r="AE596" s="8">
        <v>2.9000000000000001E-2</v>
      </c>
      <c r="AF596" s="8">
        <v>2.1000000000000001E-2</v>
      </c>
      <c r="AG596" s="8">
        <v>1.2006961810870009</v>
      </c>
      <c r="AH596" s="8">
        <v>47.03448275862069</v>
      </c>
      <c r="AI596" s="8">
        <v>52.103448275862064</v>
      </c>
      <c r="AJ596" t="s">
        <v>1702</v>
      </c>
      <c r="AK596" t="s">
        <v>1703</v>
      </c>
      <c r="AL596" t="s">
        <v>1702</v>
      </c>
      <c r="AM596" t="s">
        <v>1703</v>
      </c>
      <c r="AN596" t="s">
        <v>1702</v>
      </c>
      <c r="AO596" t="s">
        <v>1703</v>
      </c>
      <c r="AP596" t="s">
        <v>1702</v>
      </c>
      <c r="AQ596" t="s">
        <v>1705</v>
      </c>
      <c r="AR596" s="11" t="s">
        <v>1703</v>
      </c>
      <c r="AS596" t="s">
        <v>1702</v>
      </c>
      <c r="AT596" t="s">
        <v>1703</v>
      </c>
      <c r="AU596" t="s">
        <v>1732</v>
      </c>
      <c r="AV596" t="s">
        <v>1758</v>
      </c>
      <c r="AW596" t="s">
        <v>1700</v>
      </c>
      <c r="AX596" t="s">
        <v>1732</v>
      </c>
      <c r="AY596" t="s">
        <v>1758</v>
      </c>
      <c r="AZ596" t="s">
        <v>1700</v>
      </c>
      <c r="BA596" t="s">
        <v>1700</v>
      </c>
      <c r="BB596" t="s">
        <v>1732</v>
      </c>
      <c r="BC596" t="s">
        <v>1758</v>
      </c>
      <c r="BD596" t="s">
        <v>1700</v>
      </c>
      <c r="BE596" t="s">
        <v>1732</v>
      </c>
      <c r="BF596" t="s">
        <v>1758</v>
      </c>
      <c r="BG596">
        <v>30</v>
      </c>
      <c r="BH596" s="12" t="s">
        <v>1709</v>
      </c>
      <c r="BI596" t="b">
        <v>0</v>
      </c>
      <c r="BJ596">
        <f t="shared" si="9"/>
        <v>0</v>
      </c>
    </row>
    <row r="597" spans="1:62" x14ac:dyDescent="0.2">
      <c r="A597" s="5" t="s">
        <v>135</v>
      </c>
      <c r="B597" s="6">
        <v>40242</v>
      </c>
      <c r="C597" s="7">
        <v>33.444622000000003</v>
      </c>
      <c r="D597" s="7">
        <v>-111.99952500000001</v>
      </c>
      <c r="E597" s="17">
        <v>344</v>
      </c>
      <c r="F597" t="s">
        <v>1700</v>
      </c>
      <c r="G597" t="s">
        <v>1699</v>
      </c>
      <c r="H597" t="s">
        <v>1701</v>
      </c>
      <c r="I597">
        <v>1</v>
      </c>
      <c r="J597" s="8">
        <v>20.938161062540871</v>
      </c>
      <c r="K597" s="8">
        <v>49.236752010885503</v>
      </c>
      <c r="L597" s="8">
        <v>29.825086926573618</v>
      </c>
      <c r="M597" s="8">
        <v>0.42401330973391604</v>
      </c>
      <c r="N597" s="8">
        <v>5.0000000000000001E-3</v>
      </c>
      <c r="O597" s="8">
        <v>2.0799275950803113</v>
      </c>
      <c r="P597" s="8">
        <v>0.30769150241804127</v>
      </c>
      <c r="Q597" s="8">
        <v>24.092050846229451</v>
      </c>
      <c r="R597" s="8">
        <v>4.7845995405156527</v>
      </c>
      <c r="S597" s="8">
        <v>1.2390000000000001</v>
      </c>
      <c r="T597" s="8">
        <v>1.0469999999999999</v>
      </c>
      <c r="U597" s="8">
        <v>0.61</v>
      </c>
      <c r="V597" s="8">
        <v>0.72799999999999998</v>
      </c>
      <c r="W597" s="8">
        <v>0.62900000000000011</v>
      </c>
      <c r="X597" s="8">
        <v>0.31899999999999995</v>
      </c>
      <c r="Y597" s="8">
        <v>3.2679738562091396</v>
      </c>
      <c r="Z597" s="8">
        <v>2.7918781725888402</v>
      </c>
      <c r="AA597" s="8">
        <v>8.35</v>
      </c>
      <c r="AB597">
        <v>0.20100000000000001</v>
      </c>
      <c r="AC597" s="8">
        <v>8.496732026143814</v>
      </c>
      <c r="AD597" s="8">
        <v>10.532994923857867</v>
      </c>
      <c r="AE597" s="8">
        <v>4.8000000000000001E-2</v>
      </c>
      <c r="AF597" s="8">
        <v>2.1000000000000001E-2</v>
      </c>
      <c r="AG597" s="8">
        <v>1.3903502796999776</v>
      </c>
      <c r="AH597" s="8">
        <v>25.8125</v>
      </c>
      <c r="AI597" s="8">
        <v>21.812499999999996</v>
      </c>
      <c r="AJ597" t="s">
        <v>1702</v>
      </c>
      <c r="AK597" t="s">
        <v>1703</v>
      </c>
      <c r="AL597" t="s">
        <v>1702</v>
      </c>
      <c r="AM597" t="s">
        <v>1703</v>
      </c>
      <c r="AN597" t="s">
        <v>1702</v>
      </c>
      <c r="AO597" t="s">
        <v>1703</v>
      </c>
      <c r="AP597" t="s">
        <v>1702</v>
      </c>
      <c r="AQ597" t="s">
        <v>1705</v>
      </c>
      <c r="AR597" s="11" t="s">
        <v>1703</v>
      </c>
      <c r="AS597" t="s">
        <v>1702</v>
      </c>
      <c r="AT597" t="s">
        <v>1703</v>
      </c>
      <c r="AU597" t="s">
        <v>1732</v>
      </c>
      <c r="AV597" t="s">
        <v>1758</v>
      </c>
      <c r="AW597" t="s">
        <v>1700</v>
      </c>
      <c r="AX597" t="s">
        <v>1732</v>
      </c>
      <c r="AY597" t="s">
        <v>1758</v>
      </c>
      <c r="AZ597" t="s">
        <v>1700</v>
      </c>
      <c r="BA597" t="s">
        <v>1700</v>
      </c>
      <c r="BB597" t="s">
        <v>1732</v>
      </c>
      <c r="BC597" t="s">
        <v>1758</v>
      </c>
      <c r="BD597" t="s">
        <v>1700</v>
      </c>
      <c r="BE597" t="s">
        <v>1732</v>
      </c>
      <c r="BF597" t="s">
        <v>1758</v>
      </c>
      <c r="BG597">
        <v>35</v>
      </c>
      <c r="BH597" s="12" t="s">
        <v>1709</v>
      </c>
      <c r="BI597" t="b">
        <v>0</v>
      </c>
      <c r="BJ597">
        <f t="shared" si="9"/>
        <v>0</v>
      </c>
    </row>
    <row r="598" spans="1:62" x14ac:dyDescent="0.2">
      <c r="A598" s="5" t="s">
        <v>135</v>
      </c>
      <c r="B598" s="6">
        <v>42142</v>
      </c>
      <c r="C598" s="7">
        <v>33.444622000000003</v>
      </c>
      <c r="D598" s="7">
        <v>-111.99952500000001</v>
      </c>
      <c r="E598" s="17">
        <v>344</v>
      </c>
      <c r="F598" t="s">
        <v>1700</v>
      </c>
      <c r="G598" t="s">
        <v>1699</v>
      </c>
      <c r="H598" t="s">
        <v>1701</v>
      </c>
      <c r="I598">
        <v>1</v>
      </c>
      <c r="J598">
        <v>11.9147292174629</v>
      </c>
      <c r="K598">
        <v>72.066667191525397</v>
      </c>
      <c r="L598">
        <v>16.018603591011701</v>
      </c>
      <c r="M598">
        <v>2.4054419019764302</v>
      </c>
      <c r="N598">
        <v>2.31730247156518</v>
      </c>
      <c r="O598">
        <v>16.691675111106001</v>
      </c>
      <c r="P598">
        <v>1.8538419772521499</v>
      </c>
      <c r="Q598">
        <v>25.223098987322</v>
      </c>
      <c r="R598">
        <v>1.91689543227057</v>
      </c>
      <c r="S598">
        <v>1.042</v>
      </c>
      <c r="T598">
        <v>1.248</v>
      </c>
      <c r="U598">
        <v>0.49099999999999999</v>
      </c>
      <c r="V598">
        <v>0.83799999999999997</v>
      </c>
      <c r="W598">
        <v>0.55100000000000005</v>
      </c>
      <c r="X598">
        <v>0.41</v>
      </c>
      <c r="Y598">
        <v>2.2653721682847801</v>
      </c>
      <c r="Z598">
        <v>2.4752475247524801</v>
      </c>
      <c r="AA598">
        <v>8.6999999999999993</v>
      </c>
      <c r="AB598">
        <v>0.34799999999999998</v>
      </c>
      <c r="AC598">
        <v>6.37755102040816</v>
      </c>
      <c r="AD598">
        <v>4.3177892918825602</v>
      </c>
      <c r="AE598">
        <v>6.2E-2</v>
      </c>
      <c r="AF598">
        <v>5.1999999999999998E-2</v>
      </c>
      <c r="AG598">
        <v>1.6329387312357901</v>
      </c>
      <c r="AH598">
        <v>16.806451612903199</v>
      </c>
      <c r="AI598">
        <v>24</v>
      </c>
      <c r="AJ598" t="s">
        <v>1702</v>
      </c>
      <c r="AK598" t="s">
        <v>1703</v>
      </c>
      <c r="AL598" t="s">
        <v>1702</v>
      </c>
      <c r="AM598" t="s">
        <v>1703</v>
      </c>
      <c r="AN598" t="s">
        <v>1702</v>
      </c>
      <c r="AO598" t="s">
        <v>1703</v>
      </c>
      <c r="AP598" t="s">
        <v>1702</v>
      </c>
      <c r="AQ598" t="s">
        <v>1705</v>
      </c>
      <c r="AR598" s="11" t="s">
        <v>1703</v>
      </c>
      <c r="AS598" t="s">
        <v>1702</v>
      </c>
      <c r="AT598" t="s">
        <v>1703</v>
      </c>
      <c r="AU598" t="s">
        <v>1732</v>
      </c>
      <c r="AV598" t="s">
        <v>1758</v>
      </c>
      <c r="AW598" t="s">
        <v>1700</v>
      </c>
      <c r="AX598" t="s">
        <v>1732</v>
      </c>
      <c r="AY598" t="s">
        <v>1758</v>
      </c>
      <c r="AZ598" t="s">
        <v>1700</v>
      </c>
      <c r="BA598" t="s">
        <v>1700</v>
      </c>
      <c r="BB598" t="s">
        <v>1732</v>
      </c>
      <c r="BC598" t="s">
        <v>1758</v>
      </c>
      <c r="BD598" t="s">
        <v>1700</v>
      </c>
      <c r="BE598" t="s">
        <v>1732</v>
      </c>
      <c r="BF598" t="s">
        <v>1758</v>
      </c>
      <c r="BG598">
        <v>40</v>
      </c>
      <c r="BH598" s="12" t="s">
        <v>1709</v>
      </c>
      <c r="BI598" t="b">
        <v>1</v>
      </c>
      <c r="BJ598">
        <f t="shared" si="9"/>
        <v>1</v>
      </c>
    </row>
    <row r="599" spans="1:62" x14ac:dyDescent="0.2">
      <c r="A599" s="5" t="s">
        <v>136</v>
      </c>
      <c r="B599" s="6">
        <v>38475</v>
      </c>
      <c r="C599" s="7">
        <v>33.387878000000001</v>
      </c>
      <c r="D599" s="7">
        <v>-111.996808</v>
      </c>
      <c r="E599" s="17">
        <v>352</v>
      </c>
      <c r="F599" t="s">
        <v>1706</v>
      </c>
      <c r="G599" t="s">
        <v>1710</v>
      </c>
      <c r="H599" t="s">
        <v>1710</v>
      </c>
      <c r="I599">
        <v>1</v>
      </c>
      <c r="J599" s="8">
        <v>8.7577944665636416</v>
      </c>
      <c r="K599" s="8">
        <v>87.985683038377417</v>
      </c>
      <c r="L599" s="8">
        <v>3.2565224950589453</v>
      </c>
      <c r="M599" s="8">
        <v>1.5356979514403115</v>
      </c>
      <c r="N599" s="8">
        <v>0.84564294042379529</v>
      </c>
      <c r="O599" s="8">
        <v>12.66950809938257</v>
      </c>
      <c r="P599" s="8">
        <v>1.3643039438837234</v>
      </c>
      <c r="Q599" s="8">
        <v>14.462413848430902</v>
      </c>
      <c r="R599" s="8">
        <v>22.850255834947614</v>
      </c>
      <c r="S599" s="8">
        <v>2.242</v>
      </c>
      <c r="T599" s="8">
        <v>0.69199999999999995</v>
      </c>
      <c r="U599" s="8">
        <v>0.375</v>
      </c>
      <c r="V599" s="8">
        <v>0.28199999999999997</v>
      </c>
      <c r="W599" s="8">
        <v>1.867</v>
      </c>
      <c r="X599" s="8">
        <v>0.41</v>
      </c>
      <c r="Y599" s="8">
        <v>5.0473186119873867</v>
      </c>
      <c r="Z599" s="8">
        <v>2.0348837209302406</v>
      </c>
      <c r="AA599" s="8">
        <v>7.81</v>
      </c>
      <c r="AB599">
        <v>0.38900000000000001</v>
      </c>
      <c r="AC599" s="8">
        <v>15.772870662460567</v>
      </c>
      <c r="AD599" s="8">
        <v>10.174418604651152</v>
      </c>
      <c r="AE599" s="8">
        <v>0.152</v>
      </c>
      <c r="AF599" s="8">
        <v>3.7999999999999999E-2</v>
      </c>
      <c r="AG599" s="8">
        <v>1.0280353010186005</v>
      </c>
      <c r="AH599" s="8">
        <v>14.75</v>
      </c>
      <c r="AI599" s="8">
        <v>4.5526315789473681</v>
      </c>
      <c r="AJ599" t="s">
        <v>1702</v>
      </c>
      <c r="AK599" t="s">
        <v>1703</v>
      </c>
      <c r="AL599" t="s">
        <v>1702</v>
      </c>
      <c r="AM599" t="s">
        <v>1703</v>
      </c>
      <c r="AN599" t="s">
        <v>1702</v>
      </c>
      <c r="AO599" t="s">
        <v>1703</v>
      </c>
      <c r="AP599" t="s">
        <v>1702</v>
      </c>
      <c r="AQ599" t="s">
        <v>1725</v>
      </c>
      <c r="AR599" s="11" t="s">
        <v>1703</v>
      </c>
      <c r="AS599" t="s">
        <v>1702</v>
      </c>
      <c r="AT599" t="s">
        <v>1703</v>
      </c>
      <c r="AU599" t="s">
        <v>1697</v>
      </c>
      <c r="AV599" t="s">
        <v>1697</v>
      </c>
      <c r="AW599" t="s">
        <v>1697</v>
      </c>
      <c r="AX599" t="s">
        <v>1706</v>
      </c>
      <c r="AY599" t="s">
        <v>1735</v>
      </c>
      <c r="AZ599" t="s">
        <v>1700</v>
      </c>
      <c r="BA599" t="s">
        <v>1700</v>
      </c>
      <c r="BB599" t="s">
        <v>1706</v>
      </c>
      <c r="BC599" t="s">
        <v>1735</v>
      </c>
      <c r="BD599" t="s">
        <v>1706</v>
      </c>
      <c r="BE599" t="s">
        <v>1706</v>
      </c>
      <c r="BF599" t="s">
        <v>1735</v>
      </c>
      <c r="BG599">
        <v>30</v>
      </c>
      <c r="BH599" s="12" t="s">
        <v>1709</v>
      </c>
      <c r="BI599" t="b">
        <v>0</v>
      </c>
      <c r="BJ599">
        <f t="shared" si="9"/>
        <v>0</v>
      </c>
    </row>
    <row r="600" spans="1:62" x14ac:dyDescent="0.2">
      <c r="A600" s="5" t="s">
        <v>136</v>
      </c>
      <c r="B600" s="6">
        <v>40326</v>
      </c>
      <c r="C600" s="7">
        <v>33.387878000000001</v>
      </c>
      <c r="D600" s="7">
        <v>-111.996808</v>
      </c>
      <c r="E600" s="17">
        <v>352</v>
      </c>
      <c r="F600" t="s">
        <v>1706</v>
      </c>
      <c r="G600" t="s">
        <v>1710</v>
      </c>
      <c r="H600" t="s">
        <v>1710</v>
      </c>
      <c r="I600">
        <v>1</v>
      </c>
      <c r="J600" s="8">
        <v>12.9786660939955</v>
      </c>
      <c r="K600" s="8">
        <v>61.25411556496281</v>
      </c>
      <c r="L600" s="8">
        <v>25.767218341041684</v>
      </c>
      <c r="M600" s="8">
        <v>4.44686957956936</v>
      </c>
      <c r="N600" s="8">
        <v>5.0000000000000001E-3</v>
      </c>
      <c r="O600" s="8">
        <v>15.39905366776669</v>
      </c>
      <c r="P600" s="8">
        <v>5.9249372766749895</v>
      </c>
      <c r="Q600" s="8">
        <v>56.959576533739202</v>
      </c>
      <c r="R600" s="8">
        <v>7.5854106492771036</v>
      </c>
      <c r="S600" s="8">
        <v>2.077</v>
      </c>
      <c r="T600" s="8">
        <v>0.64300000000000002</v>
      </c>
      <c r="U600" s="8">
        <v>0.28299999999999997</v>
      </c>
      <c r="V600" s="8">
        <v>0.27800000000000002</v>
      </c>
      <c r="W600" s="8">
        <v>1.794</v>
      </c>
      <c r="X600" s="8">
        <v>0.36499999999999999</v>
      </c>
      <c r="Y600" s="8">
        <v>5.8208955223880423</v>
      </c>
      <c r="Z600" s="8">
        <v>2.7253668763102699</v>
      </c>
      <c r="AA600" s="8">
        <v>8.0500000000000007</v>
      </c>
      <c r="AB600">
        <v>0.19</v>
      </c>
      <c r="AC600" s="8">
        <v>5.2238805970149471</v>
      </c>
      <c r="AD600" s="8">
        <v>5.4507337526205397</v>
      </c>
      <c r="AE600" s="8">
        <v>0.14799999999999999</v>
      </c>
      <c r="AF600" s="8">
        <v>4.1000000000000002E-2</v>
      </c>
      <c r="AG600" s="8">
        <v>1.5016041188320666</v>
      </c>
      <c r="AH600" s="8">
        <v>14.033783783783784</v>
      </c>
      <c r="AI600" s="8">
        <v>4.3445945945945947</v>
      </c>
      <c r="AJ600" t="s">
        <v>1702</v>
      </c>
      <c r="AK600" t="s">
        <v>1703</v>
      </c>
      <c r="AL600" t="s">
        <v>1702</v>
      </c>
      <c r="AM600" t="s">
        <v>1703</v>
      </c>
      <c r="AN600" t="s">
        <v>1702</v>
      </c>
      <c r="AO600" t="s">
        <v>1703</v>
      </c>
      <c r="AP600" t="s">
        <v>1702</v>
      </c>
      <c r="AQ600" t="s">
        <v>1725</v>
      </c>
      <c r="AR600" s="11" t="s">
        <v>1703</v>
      </c>
      <c r="AS600" t="s">
        <v>1702</v>
      </c>
      <c r="AT600" t="s">
        <v>1703</v>
      </c>
      <c r="AU600" t="s">
        <v>1697</v>
      </c>
      <c r="AV600" t="s">
        <v>1697</v>
      </c>
      <c r="AW600" t="s">
        <v>1697</v>
      </c>
      <c r="AX600" t="s">
        <v>1706</v>
      </c>
      <c r="AY600" t="s">
        <v>1735</v>
      </c>
      <c r="AZ600" t="s">
        <v>1700</v>
      </c>
      <c r="BA600" t="s">
        <v>1700</v>
      </c>
      <c r="BB600" t="s">
        <v>1706</v>
      </c>
      <c r="BC600" t="s">
        <v>1735</v>
      </c>
      <c r="BD600" t="s">
        <v>1706</v>
      </c>
      <c r="BE600" t="s">
        <v>1706</v>
      </c>
      <c r="BF600" t="s">
        <v>1735</v>
      </c>
      <c r="BG600">
        <v>35</v>
      </c>
      <c r="BH600" s="12" t="s">
        <v>1709</v>
      </c>
      <c r="BI600" t="b">
        <v>0</v>
      </c>
      <c r="BJ600">
        <f t="shared" si="9"/>
        <v>0</v>
      </c>
    </row>
    <row r="601" spans="1:62" x14ac:dyDescent="0.2">
      <c r="A601" s="5" t="s">
        <v>136</v>
      </c>
      <c r="B601" s="6">
        <v>42123</v>
      </c>
      <c r="C601" s="7">
        <v>33.387878000000001</v>
      </c>
      <c r="D601" s="7">
        <v>-111.996808</v>
      </c>
      <c r="E601" s="17">
        <v>352</v>
      </c>
      <c r="F601" t="s">
        <v>1706</v>
      </c>
      <c r="G601" t="s">
        <v>1710</v>
      </c>
      <c r="H601" t="s">
        <v>1710</v>
      </c>
      <c r="I601">
        <v>1</v>
      </c>
      <c r="J601">
        <v>9.9649141008302404</v>
      </c>
      <c r="K601">
        <v>74.359920249638705</v>
      </c>
      <c r="L601">
        <v>15.675165649531101</v>
      </c>
      <c r="M601">
        <v>12.976015144452401</v>
      </c>
      <c r="N601">
        <v>8.0051811313227201</v>
      </c>
      <c r="O601">
        <v>90.466584457802099</v>
      </c>
      <c r="P601">
        <v>13.6247122566221</v>
      </c>
      <c r="Q601">
        <v>10.2924968548216</v>
      </c>
      <c r="R601">
        <v>2.58296622391825</v>
      </c>
      <c r="S601">
        <v>2.2229999999999999</v>
      </c>
      <c r="T601">
        <v>0.65100000000000002</v>
      </c>
      <c r="U601">
        <v>0.185</v>
      </c>
      <c r="V601">
        <v>0.255</v>
      </c>
      <c r="W601">
        <v>2.0379999999999998</v>
      </c>
      <c r="X601">
        <v>0.39600000000000002</v>
      </c>
      <c r="Y601">
        <v>3.5952063914780199</v>
      </c>
      <c r="Z601">
        <v>1.52761457109282</v>
      </c>
      <c r="AA601">
        <v>7.75</v>
      </c>
      <c r="AB601">
        <v>0.32400000000000001</v>
      </c>
      <c r="AC601">
        <v>5.47169811320755</v>
      </c>
      <c r="AD601">
        <v>3.99361022364217</v>
      </c>
      <c r="AE601">
        <v>0.158</v>
      </c>
      <c r="AF601">
        <v>5.7000000000000002E-2</v>
      </c>
      <c r="AG601">
        <v>1.4877506652619976</v>
      </c>
      <c r="AH601">
        <v>14.069620253164601</v>
      </c>
      <c r="AI601">
        <v>11.421052631578901</v>
      </c>
      <c r="AJ601" t="s">
        <v>1702</v>
      </c>
      <c r="AK601" t="s">
        <v>1703</v>
      </c>
      <c r="AL601" t="s">
        <v>1702</v>
      </c>
      <c r="AM601" t="s">
        <v>1703</v>
      </c>
      <c r="AN601" t="s">
        <v>1702</v>
      </c>
      <c r="AO601" t="s">
        <v>1703</v>
      </c>
      <c r="AP601" t="s">
        <v>1702</v>
      </c>
      <c r="AQ601" t="s">
        <v>1725</v>
      </c>
      <c r="AR601" s="11" t="s">
        <v>1703</v>
      </c>
      <c r="AS601" t="s">
        <v>1702</v>
      </c>
      <c r="AT601" t="s">
        <v>1703</v>
      </c>
      <c r="AU601" t="s">
        <v>1697</v>
      </c>
      <c r="AV601" t="s">
        <v>1697</v>
      </c>
      <c r="AW601" t="s">
        <v>1697</v>
      </c>
      <c r="AX601" t="s">
        <v>1706</v>
      </c>
      <c r="AY601" t="s">
        <v>1735</v>
      </c>
      <c r="AZ601" t="s">
        <v>1700</v>
      </c>
      <c r="BA601" t="s">
        <v>1700</v>
      </c>
      <c r="BB601" t="s">
        <v>1706</v>
      </c>
      <c r="BC601" t="s">
        <v>1735</v>
      </c>
      <c r="BD601" t="s">
        <v>1706</v>
      </c>
      <c r="BE601" t="s">
        <v>1706</v>
      </c>
      <c r="BF601" t="s">
        <v>1735</v>
      </c>
      <c r="BG601">
        <v>40</v>
      </c>
      <c r="BH601" s="12" t="s">
        <v>1709</v>
      </c>
      <c r="BI601" t="b">
        <v>0</v>
      </c>
      <c r="BJ601">
        <f t="shared" si="9"/>
        <v>0</v>
      </c>
    </row>
    <row r="602" spans="1:62" x14ac:dyDescent="0.2">
      <c r="A602" s="5" t="s">
        <v>136</v>
      </c>
      <c r="B602" s="6">
        <v>45093</v>
      </c>
      <c r="C602" s="7">
        <v>33.387878000000001</v>
      </c>
      <c r="D602" s="7">
        <v>-111.996808</v>
      </c>
      <c r="E602" s="17">
        <v>352</v>
      </c>
      <c r="F602" t="s">
        <v>1706</v>
      </c>
      <c r="G602" t="s">
        <v>1710</v>
      </c>
      <c r="H602" t="s">
        <v>1710</v>
      </c>
      <c r="I602">
        <v>1</v>
      </c>
      <c r="J602" t="s">
        <v>1697</v>
      </c>
      <c r="K602" t="s">
        <v>1697</v>
      </c>
      <c r="L602" t="s">
        <v>1697</v>
      </c>
      <c r="M602" t="s">
        <v>1697</v>
      </c>
      <c r="N602" t="s">
        <v>1697</v>
      </c>
      <c r="O602" t="s">
        <v>1697</v>
      </c>
      <c r="P602" t="s">
        <v>1697</v>
      </c>
      <c r="Q602" t="s">
        <v>1697</v>
      </c>
      <c r="R602" t="s">
        <v>1697</v>
      </c>
      <c r="S602" t="s">
        <v>1697</v>
      </c>
      <c r="T602" t="s">
        <v>1697</v>
      </c>
      <c r="U602" t="s">
        <v>1697</v>
      </c>
      <c r="V602" t="s">
        <v>1697</v>
      </c>
      <c r="W602" t="s">
        <v>1697</v>
      </c>
      <c r="X602" t="s">
        <v>1697</v>
      </c>
      <c r="Y602" t="s">
        <v>1697</v>
      </c>
      <c r="Z602" t="s">
        <v>1697</v>
      </c>
      <c r="AA602" t="s">
        <v>1697</v>
      </c>
      <c r="AB602" t="s">
        <v>1697</v>
      </c>
      <c r="AC602" t="s">
        <v>1697</v>
      </c>
      <c r="AD602" t="s">
        <v>1697</v>
      </c>
      <c r="AE602" t="s">
        <v>1697</v>
      </c>
      <c r="AF602" t="s">
        <v>1697</v>
      </c>
      <c r="AG602" t="s">
        <v>1697</v>
      </c>
      <c r="AH602" t="s">
        <v>1697</v>
      </c>
      <c r="AI602" t="s">
        <v>1697</v>
      </c>
      <c r="AJ602" t="s">
        <v>1702</v>
      </c>
      <c r="AK602" t="s">
        <v>1703</v>
      </c>
      <c r="AL602" t="s">
        <v>1702</v>
      </c>
      <c r="AM602" t="s">
        <v>1703</v>
      </c>
      <c r="AN602" t="s">
        <v>1702</v>
      </c>
      <c r="AO602" t="s">
        <v>1703</v>
      </c>
      <c r="AP602" t="s">
        <v>1702</v>
      </c>
      <c r="AQ602" t="s">
        <v>1725</v>
      </c>
      <c r="AR602" s="11" t="s">
        <v>1703</v>
      </c>
      <c r="AS602" t="s">
        <v>1702</v>
      </c>
      <c r="AT602" t="s">
        <v>1703</v>
      </c>
      <c r="AU602" t="s">
        <v>1697</v>
      </c>
      <c r="AV602" t="s">
        <v>1697</v>
      </c>
      <c r="AW602" t="s">
        <v>1697</v>
      </c>
      <c r="AX602" t="s">
        <v>1706</v>
      </c>
      <c r="AY602" t="s">
        <v>1735</v>
      </c>
      <c r="AZ602" t="s">
        <v>1700</v>
      </c>
      <c r="BA602" t="s">
        <v>1700</v>
      </c>
      <c r="BB602" t="s">
        <v>1706</v>
      </c>
      <c r="BC602" t="s">
        <v>1735</v>
      </c>
      <c r="BD602" t="s">
        <v>1706</v>
      </c>
      <c r="BE602" t="s">
        <v>1706</v>
      </c>
      <c r="BF602" t="s">
        <v>1735</v>
      </c>
      <c r="BG602" s="6" t="s">
        <v>1697</v>
      </c>
      <c r="BH602" s="6" t="s">
        <v>1697</v>
      </c>
      <c r="BI602" t="b">
        <v>1</v>
      </c>
      <c r="BJ602">
        <f t="shared" si="9"/>
        <v>1</v>
      </c>
    </row>
    <row r="603" spans="1:62" x14ac:dyDescent="0.2">
      <c r="A603" s="5" t="s">
        <v>137</v>
      </c>
      <c r="B603" s="6">
        <v>36640</v>
      </c>
      <c r="C603" s="7">
        <v>33.361218999999998</v>
      </c>
      <c r="D603" s="7">
        <v>-112.00428599999999</v>
      </c>
      <c r="E603" s="17">
        <v>476</v>
      </c>
      <c r="F603" t="s">
        <v>1694</v>
      </c>
      <c r="G603" t="s">
        <v>1694</v>
      </c>
      <c r="H603" t="s">
        <v>1757</v>
      </c>
      <c r="I603">
        <v>0</v>
      </c>
      <c r="J603" s="8" t="s">
        <v>1697</v>
      </c>
      <c r="K603" s="8" t="s">
        <v>1697</v>
      </c>
      <c r="L603" s="8" t="s">
        <v>1697</v>
      </c>
      <c r="M603" s="8">
        <v>1.2362010013873983</v>
      </c>
      <c r="N603" s="8">
        <v>0.9672610270387787</v>
      </c>
      <c r="O603" s="8">
        <v>2.5216142492487581</v>
      </c>
      <c r="P603" s="8">
        <v>0.99787070611708462</v>
      </c>
      <c r="Q603" s="8" t="s">
        <v>1697</v>
      </c>
      <c r="R603" s="8" t="s">
        <v>1697</v>
      </c>
      <c r="S603" s="8" t="s">
        <v>1697</v>
      </c>
      <c r="T603" s="8" t="s">
        <v>1697</v>
      </c>
      <c r="U603" s="8" t="s">
        <v>1697</v>
      </c>
      <c r="V603" s="8" t="s">
        <v>1697</v>
      </c>
      <c r="W603" s="8" t="s">
        <v>1697</v>
      </c>
      <c r="X603" s="8" t="s">
        <v>1697</v>
      </c>
      <c r="Y603" s="8" t="s">
        <v>1697</v>
      </c>
      <c r="Z603" s="8" t="s">
        <v>1697</v>
      </c>
      <c r="AA603" s="9">
        <v>8.02</v>
      </c>
      <c r="AB603" s="10">
        <v>0.2165</v>
      </c>
      <c r="AC603" s="8">
        <v>0.81089999999999995</v>
      </c>
      <c r="AD603" s="8">
        <v>1.35914</v>
      </c>
      <c r="AE603" s="8" t="s">
        <v>1697</v>
      </c>
      <c r="AF603" s="8" t="s">
        <v>1697</v>
      </c>
      <c r="AG603" s="8">
        <v>1.2002068256930329</v>
      </c>
      <c r="AH603" s="8" t="s">
        <v>1697</v>
      </c>
      <c r="AI603" s="8" t="s">
        <v>1697</v>
      </c>
      <c r="AJ603" t="s">
        <v>1694</v>
      </c>
      <c r="AK603" t="s">
        <v>1694</v>
      </c>
      <c r="AL603" t="s">
        <v>1726</v>
      </c>
      <c r="AM603" t="s">
        <v>1694</v>
      </c>
      <c r="AN603" t="s">
        <v>1726</v>
      </c>
      <c r="AO603" t="s">
        <v>1694</v>
      </c>
      <c r="AP603" t="s">
        <v>1695</v>
      </c>
      <c r="AQ603" t="s">
        <v>1694</v>
      </c>
      <c r="AR603" s="11" t="s">
        <v>1694</v>
      </c>
      <c r="AS603" t="s">
        <v>1726</v>
      </c>
      <c r="AT603" t="s">
        <v>1694</v>
      </c>
      <c r="AU603" t="s">
        <v>1695</v>
      </c>
      <c r="AV603" t="s">
        <v>1694</v>
      </c>
      <c r="AW603" t="s">
        <v>1694</v>
      </c>
      <c r="AX603" t="s">
        <v>1695</v>
      </c>
      <c r="AY603" t="s">
        <v>1694</v>
      </c>
      <c r="AZ603" t="s">
        <v>1694</v>
      </c>
      <c r="BA603" t="s">
        <v>1726</v>
      </c>
      <c r="BB603" t="s">
        <v>1695</v>
      </c>
      <c r="BC603" t="s">
        <v>1694</v>
      </c>
      <c r="BD603" t="s">
        <v>1694</v>
      </c>
      <c r="BE603" t="s">
        <v>1695</v>
      </c>
      <c r="BF603" t="s">
        <v>1694</v>
      </c>
      <c r="BG603" t="s">
        <v>1697</v>
      </c>
      <c r="BH603" t="s">
        <v>1698</v>
      </c>
      <c r="BI603" t="b">
        <v>0</v>
      </c>
      <c r="BJ603">
        <f t="shared" si="9"/>
        <v>0</v>
      </c>
    </row>
    <row r="604" spans="1:62" x14ac:dyDescent="0.2">
      <c r="A604" s="5" t="s">
        <v>137</v>
      </c>
      <c r="B604" s="6">
        <v>38425</v>
      </c>
      <c r="C604" s="7">
        <v>33.361218999999998</v>
      </c>
      <c r="D604" s="7">
        <v>-112.00428599999999</v>
      </c>
      <c r="E604" s="17">
        <v>476</v>
      </c>
      <c r="F604" t="s">
        <v>1694</v>
      </c>
      <c r="G604" t="s">
        <v>1694</v>
      </c>
      <c r="H604" t="s">
        <v>1757</v>
      </c>
      <c r="I604">
        <v>0</v>
      </c>
      <c r="J604" s="8">
        <v>5.7111040984150012</v>
      </c>
      <c r="K604" s="8">
        <v>83.874217629008513</v>
      </c>
      <c r="L604" s="8">
        <v>10.414678272576481</v>
      </c>
      <c r="M604" s="8">
        <v>2.5266314371490703</v>
      </c>
      <c r="N604" s="8">
        <v>1.9382656693273379</v>
      </c>
      <c r="O604" s="8">
        <v>1.5023213950616099</v>
      </c>
      <c r="P604" s="8">
        <v>0.83760766424502797</v>
      </c>
      <c r="Q604" s="8">
        <v>6.1177497374538845</v>
      </c>
      <c r="R604" s="8">
        <v>2.7334865596987927</v>
      </c>
      <c r="S604" s="8">
        <v>0.51200000000000001</v>
      </c>
      <c r="T604" s="8">
        <v>0.34899999999999998</v>
      </c>
      <c r="U604" s="8">
        <v>0.114</v>
      </c>
      <c r="V604" s="8">
        <v>0.125</v>
      </c>
      <c r="W604" s="8">
        <v>0.39800000000000002</v>
      </c>
      <c r="X604" s="8">
        <v>0.22399999999999998</v>
      </c>
      <c r="Y604" s="8">
        <v>1.3100436681222685</v>
      </c>
      <c r="Z604" s="8">
        <v>1.3205282112845069</v>
      </c>
      <c r="AA604" s="8">
        <v>8.65</v>
      </c>
      <c r="AB604">
        <v>0.106</v>
      </c>
      <c r="AC604" s="8">
        <v>2.1834061135370968</v>
      </c>
      <c r="AD604" s="8">
        <v>3.4813925570228199</v>
      </c>
      <c r="AE604" s="8">
        <v>4.4999999999999998E-2</v>
      </c>
      <c r="AF604" s="8">
        <v>1.9E-2</v>
      </c>
      <c r="AG604" s="8">
        <v>1.3381568410604106</v>
      </c>
      <c r="AH604" s="8">
        <v>11.377777777777778</v>
      </c>
      <c r="AI604" s="8">
        <v>7.7555555555555555</v>
      </c>
      <c r="AJ604" t="s">
        <v>1694</v>
      </c>
      <c r="AK604" t="s">
        <v>1694</v>
      </c>
      <c r="AL604" t="s">
        <v>1726</v>
      </c>
      <c r="AM604" t="s">
        <v>1694</v>
      </c>
      <c r="AN604" t="s">
        <v>1726</v>
      </c>
      <c r="AO604" t="s">
        <v>1694</v>
      </c>
      <c r="AP604" t="s">
        <v>1695</v>
      </c>
      <c r="AQ604" t="s">
        <v>1694</v>
      </c>
      <c r="AR604" s="11" t="s">
        <v>1694</v>
      </c>
      <c r="AS604" t="s">
        <v>1726</v>
      </c>
      <c r="AT604" t="s">
        <v>1694</v>
      </c>
      <c r="AU604" t="s">
        <v>1695</v>
      </c>
      <c r="AV604" t="s">
        <v>1694</v>
      </c>
      <c r="AW604" t="s">
        <v>1694</v>
      </c>
      <c r="AX604" t="s">
        <v>1695</v>
      </c>
      <c r="AY604" t="s">
        <v>1694</v>
      </c>
      <c r="AZ604" t="s">
        <v>1694</v>
      </c>
      <c r="BA604" t="s">
        <v>1726</v>
      </c>
      <c r="BB604" t="s">
        <v>1695</v>
      </c>
      <c r="BC604" t="s">
        <v>1694</v>
      </c>
      <c r="BD604" t="s">
        <v>1694</v>
      </c>
      <c r="BE604" t="s">
        <v>1695</v>
      </c>
      <c r="BF604" t="s">
        <v>1694</v>
      </c>
      <c r="BG604" t="s">
        <v>1697</v>
      </c>
      <c r="BH604" t="s">
        <v>1698</v>
      </c>
      <c r="BI604" t="b">
        <v>0</v>
      </c>
      <c r="BJ604">
        <f t="shared" si="9"/>
        <v>0</v>
      </c>
    </row>
    <row r="605" spans="1:62" x14ac:dyDescent="0.2">
      <c r="A605" s="5" t="s">
        <v>137</v>
      </c>
      <c r="B605" s="6">
        <v>40247</v>
      </c>
      <c r="C605" s="7">
        <v>33.361218999999998</v>
      </c>
      <c r="D605" s="7">
        <v>-112.00428599999999</v>
      </c>
      <c r="E605" s="17">
        <v>476</v>
      </c>
      <c r="F605" t="s">
        <v>1694</v>
      </c>
      <c r="G605" t="s">
        <v>1694</v>
      </c>
      <c r="H605" t="s">
        <v>1757</v>
      </c>
      <c r="I605">
        <v>0</v>
      </c>
      <c r="J605" s="8">
        <v>5.3488858070670062</v>
      </c>
      <c r="K605" s="8">
        <v>86.944044114707523</v>
      </c>
      <c r="L605" s="8">
        <v>7.7070700782254704</v>
      </c>
      <c r="M605" s="8">
        <v>5.0000000000000001E-3</v>
      </c>
      <c r="N605" s="8">
        <v>0.83046904219336104</v>
      </c>
      <c r="O605" s="8">
        <v>12.285612262825746</v>
      </c>
      <c r="P605" s="8">
        <v>6.1703073695674959</v>
      </c>
      <c r="Q605" s="8">
        <v>10.031384814624781</v>
      </c>
      <c r="R605" s="8">
        <v>6.451648753217837</v>
      </c>
      <c r="S605" s="8">
        <v>0.439</v>
      </c>
      <c r="T605" s="8">
        <v>0.39100000000000001</v>
      </c>
      <c r="U605" s="8">
        <v>0.14000000000000001</v>
      </c>
      <c r="V605" s="8">
        <v>0.155</v>
      </c>
      <c r="W605" s="8">
        <v>0.29899999999999999</v>
      </c>
      <c r="X605" s="8">
        <v>0.23600000000000002</v>
      </c>
      <c r="Y605" s="8">
        <v>1.5592515592515446</v>
      </c>
      <c r="Z605" s="8">
        <v>1.313485113835364</v>
      </c>
      <c r="AA605" s="8">
        <v>8.5299999999999994</v>
      </c>
      <c r="AB605">
        <v>6.7000000000000004E-2</v>
      </c>
      <c r="AC605" s="8">
        <v>7.2765072765072878</v>
      </c>
      <c r="AD605" s="8">
        <v>6.1295971978984332</v>
      </c>
      <c r="AE605" s="8">
        <v>3.3000000000000002E-2</v>
      </c>
      <c r="AF605" s="8">
        <v>2.1999999999999999E-2</v>
      </c>
      <c r="AG605" s="8">
        <v>1.470473031890926</v>
      </c>
      <c r="AH605" s="8">
        <v>13.303030303030303</v>
      </c>
      <c r="AI605" s="8">
        <v>11.848484848484848</v>
      </c>
      <c r="AJ605" t="s">
        <v>1694</v>
      </c>
      <c r="AK605" t="s">
        <v>1694</v>
      </c>
      <c r="AL605" t="s">
        <v>1726</v>
      </c>
      <c r="AM605" t="s">
        <v>1694</v>
      </c>
      <c r="AN605" t="s">
        <v>1726</v>
      </c>
      <c r="AO605" t="s">
        <v>1694</v>
      </c>
      <c r="AP605" t="s">
        <v>1695</v>
      </c>
      <c r="AQ605" t="s">
        <v>1694</v>
      </c>
      <c r="AR605" s="11" t="s">
        <v>1694</v>
      </c>
      <c r="AS605" t="s">
        <v>1726</v>
      </c>
      <c r="AT605" t="s">
        <v>1694</v>
      </c>
      <c r="AU605" t="s">
        <v>1695</v>
      </c>
      <c r="AV605" t="s">
        <v>1694</v>
      </c>
      <c r="AW605" t="s">
        <v>1694</v>
      </c>
      <c r="AX605" t="s">
        <v>1695</v>
      </c>
      <c r="AY605" t="s">
        <v>1694</v>
      </c>
      <c r="AZ605" t="s">
        <v>1694</v>
      </c>
      <c r="BA605" t="s">
        <v>1726</v>
      </c>
      <c r="BB605" t="s">
        <v>1695</v>
      </c>
      <c r="BC605" t="s">
        <v>1694</v>
      </c>
      <c r="BD605" t="s">
        <v>1694</v>
      </c>
      <c r="BE605" t="s">
        <v>1695</v>
      </c>
      <c r="BF605" t="s">
        <v>1694</v>
      </c>
      <c r="BG605" t="s">
        <v>1697</v>
      </c>
      <c r="BH605" t="s">
        <v>1698</v>
      </c>
      <c r="BI605" t="b">
        <v>0</v>
      </c>
      <c r="BJ605">
        <f t="shared" si="9"/>
        <v>0</v>
      </c>
    </row>
    <row r="606" spans="1:62" x14ac:dyDescent="0.2">
      <c r="A606" s="5" t="s">
        <v>137</v>
      </c>
      <c r="B606" s="6">
        <v>42060</v>
      </c>
      <c r="C606" s="7">
        <v>33.361218999999998</v>
      </c>
      <c r="D606" s="7">
        <v>-112.00428599999999</v>
      </c>
      <c r="E606" s="17">
        <v>476</v>
      </c>
      <c r="F606" t="s">
        <v>1694</v>
      </c>
      <c r="G606" t="s">
        <v>1694</v>
      </c>
      <c r="H606" t="s">
        <v>1697</v>
      </c>
      <c r="I606" t="s">
        <v>1697</v>
      </c>
      <c r="J606">
        <v>1.9508925975167499</v>
      </c>
      <c r="K606">
        <v>93.9673229995811</v>
      </c>
      <c r="L606">
        <v>4.0817844029021702</v>
      </c>
      <c r="M606">
        <v>2.69441675488883</v>
      </c>
      <c r="N606">
        <v>2.6451275728249599</v>
      </c>
      <c r="O606">
        <v>8.76608190802874</v>
      </c>
      <c r="P606">
        <v>3.1244459920617</v>
      </c>
      <c r="Q606">
        <v>4.10364661630671</v>
      </c>
      <c r="R606">
        <v>2.5403163115642502</v>
      </c>
      <c r="S606">
        <v>0.498</v>
      </c>
      <c r="T606">
        <v>0.29699999999999999</v>
      </c>
      <c r="U606">
        <v>0.14699999999999999</v>
      </c>
      <c r="V606">
        <v>7.0000000000000007E-2</v>
      </c>
      <c r="W606">
        <v>0.35099999999999998</v>
      </c>
      <c r="X606">
        <v>0.22700000000000001</v>
      </c>
      <c r="Y606">
        <v>0.74074074074074703</v>
      </c>
      <c r="Z606">
        <v>0.528401585204756</v>
      </c>
      <c r="AA606">
        <v>8.48</v>
      </c>
      <c r="AB606">
        <v>6.7000000000000004E-2</v>
      </c>
      <c r="AC606">
        <v>0.85616438356165603</v>
      </c>
      <c r="AD606">
        <v>0.75187969924812104</v>
      </c>
      <c r="AE606">
        <v>7.4999999999999997E-2</v>
      </c>
      <c r="AF606">
        <v>3.1E-2</v>
      </c>
      <c r="AG606">
        <v>1.542060618301597</v>
      </c>
      <c r="AH606">
        <v>6.64</v>
      </c>
      <c r="AI606">
        <v>9.5806451612903203</v>
      </c>
      <c r="AJ606" t="s">
        <v>1694</v>
      </c>
      <c r="AK606" t="s">
        <v>1694</v>
      </c>
      <c r="AL606" t="s">
        <v>1726</v>
      </c>
      <c r="AM606" t="s">
        <v>1694</v>
      </c>
      <c r="AN606" t="s">
        <v>1726</v>
      </c>
      <c r="AO606" t="s">
        <v>1694</v>
      </c>
      <c r="AP606" t="s">
        <v>1695</v>
      </c>
      <c r="AQ606" t="s">
        <v>1694</v>
      </c>
      <c r="AR606" s="11" t="s">
        <v>1694</v>
      </c>
      <c r="AS606" t="s">
        <v>1726</v>
      </c>
      <c r="AT606" t="s">
        <v>1694</v>
      </c>
      <c r="AU606" t="s">
        <v>1695</v>
      </c>
      <c r="AV606" t="s">
        <v>1694</v>
      </c>
      <c r="AW606" t="s">
        <v>1694</v>
      </c>
      <c r="AX606" t="s">
        <v>1695</v>
      </c>
      <c r="AY606" t="s">
        <v>1694</v>
      </c>
      <c r="AZ606" t="s">
        <v>1694</v>
      </c>
      <c r="BA606" t="s">
        <v>1726</v>
      </c>
      <c r="BB606" t="s">
        <v>1695</v>
      </c>
      <c r="BC606" t="s">
        <v>1694</v>
      </c>
      <c r="BD606" t="s">
        <v>1694</v>
      </c>
      <c r="BE606" t="s">
        <v>1695</v>
      </c>
      <c r="BF606" t="s">
        <v>1694</v>
      </c>
      <c r="BG606" t="s">
        <v>1697</v>
      </c>
      <c r="BH606" t="s">
        <v>1698</v>
      </c>
      <c r="BI606" t="b">
        <v>0</v>
      </c>
      <c r="BJ606">
        <f t="shared" si="9"/>
        <v>0</v>
      </c>
    </row>
    <row r="607" spans="1:62" x14ac:dyDescent="0.2">
      <c r="A607" s="5" t="s">
        <v>137</v>
      </c>
      <c r="B607" s="6">
        <v>44993</v>
      </c>
      <c r="C607" s="7">
        <v>33.361218999999998</v>
      </c>
      <c r="D607" s="7">
        <v>-112.00428599999999</v>
      </c>
      <c r="E607" s="17">
        <v>476</v>
      </c>
      <c r="F607" t="s">
        <v>1694</v>
      </c>
      <c r="G607" t="s">
        <v>1694</v>
      </c>
      <c r="H607" t="s">
        <v>1694</v>
      </c>
      <c r="I607" t="s">
        <v>1697</v>
      </c>
      <c r="J607" s="6" t="s">
        <v>1697</v>
      </c>
      <c r="K607" s="6" t="s">
        <v>1697</v>
      </c>
      <c r="L607" s="6" t="s">
        <v>1697</v>
      </c>
      <c r="M607" s="6" t="s">
        <v>1697</v>
      </c>
      <c r="N607" s="6" t="s">
        <v>1697</v>
      </c>
      <c r="O607" s="6" t="s">
        <v>1697</v>
      </c>
      <c r="P607" s="6" t="s">
        <v>1697</v>
      </c>
      <c r="Q607" s="6" t="s">
        <v>1697</v>
      </c>
      <c r="R607" s="6" t="s">
        <v>1697</v>
      </c>
      <c r="S607" s="6" t="s">
        <v>1697</v>
      </c>
      <c r="T607" s="6" t="s">
        <v>1697</v>
      </c>
      <c r="U607" s="6" t="s">
        <v>1697</v>
      </c>
      <c r="V607" s="6" t="s">
        <v>1697</v>
      </c>
      <c r="W607" s="6" t="s">
        <v>1697</v>
      </c>
      <c r="X607" s="6" t="s">
        <v>1697</v>
      </c>
      <c r="Y607" s="6" t="s">
        <v>1697</v>
      </c>
      <c r="Z607" s="6" t="s">
        <v>1697</v>
      </c>
      <c r="AA607" s="6" t="s">
        <v>1697</v>
      </c>
      <c r="AB607" s="6" t="s">
        <v>1697</v>
      </c>
      <c r="AC607" s="6" t="s">
        <v>1697</v>
      </c>
      <c r="AD607" s="6" t="s">
        <v>1697</v>
      </c>
      <c r="AE607" s="6" t="s">
        <v>1697</v>
      </c>
      <c r="AF607" s="6" t="s">
        <v>1697</v>
      </c>
      <c r="AG607" s="6" t="s">
        <v>1697</v>
      </c>
      <c r="AH607" s="6" t="s">
        <v>1697</v>
      </c>
      <c r="AI607" s="6" t="s">
        <v>1697</v>
      </c>
      <c r="AJ607" t="s">
        <v>1694</v>
      </c>
      <c r="AK607" t="s">
        <v>1694</v>
      </c>
      <c r="AL607" t="s">
        <v>1726</v>
      </c>
      <c r="AM607" t="s">
        <v>1694</v>
      </c>
      <c r="AN607" t="s">
        <v>1726</v>
      </c>
      <c r="AO607" t="s">
        <v>1694</v>
      </c>
      <c r="AP607" t="s">
        <v>1695</v>
      </c>
      <c r="AQ607" t="s">
        <v>1694</v>
      </c>
      <c r="AR607" s="11" t="s">
        <v>1694</v>
      </c>
      <c r="AS607" t="s">
        <v>1726</v>
      </c>
      <c r="AT607" t="s">
        <v>1694</v>
      </c>
      <c r="AU607" t="s">
        <v>1695</v>
      </c>
      <c r="AV607" t="s">
        <v>1694</v>
      </c>
      <c r="AW607" t="s">
        <v>1694</v>
      </c>
      <c r="AX607" t="s">
        <v>1695</v>
      </c>
      <c r="AY607" t="s">
        <v>1694</v>
      </c>
      <c r="AZ607" t="s">
        <v>1694</v>
      </c>
      <c r="BA607" t="s">
        <v>1726</v>
      </c>
      <c r="BB607" t="s">
        <v>1695</v>
      </c>
      <c r="BC607" t="s">
        <v>1694</v>
      </c>
      <c r="BD607" t="s">
        <v>1694</v>
      </c>
      <c r="BE607" t="s">
        <v>1695</v>
      </c>
      <c r="BF607" t="s">
        <v>1694</v>
      </c>
      <c r="BG607" s="6" t="s">
        <v>1697</v>
      </c>
      <c r="BH607" s="6" t="s">
        <v>1697</v>
      </c>
      <c r="BI607" t="b">
        <v>1</v>
      </c>
      <c r="BJ607">
        <f t="shared" si="9"/>
        <v>1</v>
      </c>
    </row>
    <row r="608" spans="1:62" x14ac:dyDescent="0.2">
      <c r="A608" s="5" t="s">
        <v>138</v>
      </c>
      <c r="B608" s="6">
        <v>36621</v>
      </c>
      <c r="C608" s="7">
        <v>33.322417000000002</v>
      </c>
      <c r="D608" s="7">
        <v>-112.00536700000001</v>
      </c>
      <c r="E608" s="17">
        <v>397</v>
      </c>
      <c r="F608" t="s">
        <v>1706</v>
      </c>
      <c r="G608" t="s">
        <v>1724</v>
      </c>
      <c r="H608" t="s">
        <v>1724</v>
      </c>
      <c r="I608">
        <v>1</v>
      </c>
      <c r="J608" s="8">
        <v>9.3834787399468258</v>
      </c>
      <c r="K608" s="8">
        <v>73.631777093709317</v>
      </c>
      <c r="L608" s="8">
        <v>16.984744166343859</v>
      </c>
      <c r="M608" s="8">
        <v>4.9026015311387932</v>
      </c>
      <c r="N608" s="8">
        <v>2.5809653292661801</v>
      </c>
      <c r="O608" s="8">
        <v>48.537492350982852</v>
      </c>
      <c r="P608" s="8">
        <v>21.239555445104013</v>
      </c>
      <c r="Q608" s="8">
        <v>12.333396476342834</v>
      </c>
      <c r="R608" s="8">
        <v>4.3146742793117152</v>
      </c>
      <c r="S608" s="8">
        <v>0.76800000000000002</v>
      </c>
      <c r="T608" s="8">
        <v>0.61599999999999999</v>
      </c>
      <c r="U608" s="8">
        <v>0.38700000000000001</v>
      </c>
      <c r="V608" s="8">
        <v>0.18</v>
      </c>
      <c r="W608" s="8">
        <v>0.38100000000000001</v>
      </c>
      <c r="X608" s="8">
        <v>0.436</v>
      </c>
      <c r="Y608" s="8">
        <v>1.7310300000000001</v>
      </c>
      <c r="Z608" s="8">
        <v>1.22655</v>
      </c>
      <c r="AA608" s="9">
        <v>8.65</v>
      </c>
      <c r="AB608" s="10">
        <v>1.3754999999999999</v>
      </c>
      <c r="AC608" s="8">
        <v>6.87216</v>
      </c>
      <c r="AD608" s="8">
        <v>7.1241500000000002</v>
      </c>
      <c r="AE608" s="8">
        <v>6.0999999999999999E-2</v>
      </c>
      <c r="AF608" s="8">
        <v>3.5999999999999997E-2</v>
      </c>
      <c r="AG608" s="8">
        <v>1.5566079380693933</v>
      </c>
      <c r="AH608" s="8">
        <v>12.590163934426229</v>
      </c>
      <c r="AI608" s="8">
        <v>10.098360655737705</v>
      </c>
      <c r="AJ608" t="s">
        <v>1694</v>
      </c>
      <c r="AK608" t="s">
        <v>1694</v>
      </c>
      <c r="AL608" t="s">
        <v>1694</v>
      </c>
      <c r="AM608" t="s">
        <v>1694</v>
      </c>
      <c r="AN608" t="s">
        <v>1694</v>
      </c>
      <c r="AO608" t="s">
        <v>1694</v>
      </c>
      <c r="AP608" t="s">
        <v>1695</v>
      </c>
      <c r="AQ608" t="s">
        <v>1694</v>
      </c>
      <c r="AR608" s="11" t="s">
        <v>1694</v>
      </c>
      <c r="AS608" t="s">
        <v>1694</v>
      </c>
      <c r="AT608" t="s">
        <v>1694</v>
      </c>
      <c r="AU608" t="s">
        <v>1695</v>
      </c>
      <c r="AV608" t="s">
        <v>1694</v>
      </c>
      <c r="AW608" t="s">
        <v>1694</v>
      </c>
      <c r="AX608" t="s">
        <v>1706</v>
      </c>
      <c r="AY608" t="s">
        <v>1723</v>
      </c>
      <c r="AZ608" t="s">
        <v>1706</v>
      </c>
      <c r="BA608" t="s">
        <v>1700</v>
      </c>
      <c r="BB608" t="s">
        <v>1706</v>
      </c>
      <c r="BC608" t="s">
        <v>1723</v>
      </c>
      <c r="BD608" t="s">
        <v>1706</v>
      </c>
      <c r="BE608" t="s">
        <v>1706</v>
      </c>
      <c r="BF608" t="s">
        <v>1723</v>
      </c>
      <c r="BG608">
        <v>20</v>
      </c>
      <c r="BH608" s="12" t="s">
        <v>1708</v>
      </c>
      <c r="BI608" t="b">
        <v>0</v>
      </c>
      <c r="BJ608">
        <f t="shared" si="9"/>
        <v>0</v>
      </c>
    </row>
    <row r="609" spans="1:62" x14ac:dyDescent="0.2">
      <c r="A609" s="5" t="s">
        <v>138</v>
      </c>
      <c r="B609" s="6">
        <v>38408</v>
      </c>
      <c r="C609" s="7">
        <v>33.322417000000002</v>
      </c>
      <c r="D609" s="7">
        <v>-112.00536700000001</v>
      </c>
      <c r="E609" s="17">
        <v>397</v>
      </c>
      <c r="F609" t="s">
        <v>1706</v>
      </c>
      <c r="G609" t="s">
        <v>1724</v>
      </c>
      <c r="H609" t="s">
        <v>1724</v>
      </c>
      <c r="I609">
        <v>1</v>
      </c>
      <c r="J609" s="8">
        <v>9.442960516131377</v>
      </c>
      <c r="K609" s="8">
        <v>76.692785264441653</v>
      </c>
      <c r="L609" s="8">
        <v>13.864254219426968</v>
      </c>
      <c r="M609" s="8">
        <v>1.748919207585524</v>
      </c>
      <c r="N609" s="8">
        <v>1.9953495053615515</v>
      </c>
      <c r="O609" s="8">
        <v>2.2888029629706201</v>
      </c>
      <c r="P609" s="8">
        <v>1.278501720102031</v>
      </c>
      <c r="Q609" s="8">
        <v>20.973607473633916</v>
      </c>
      <c r="R609" s="8">
        <v>3.7357376850380164</v>
      </c>
      <c r="S609" s="8">
        <v>1.1599999999999999</v>
      </c>
      <c r="T609" s="8">
        <v>0.44800000000000001</v>
      </c>
      <c r="U609" s="8">
        <v>0.34399999999999997</v>
      </c>
      <c r="V609" s="8">
        <v>0.17799999999999999</v>
      </c>
      <c r="W609" s="8">
        <v>0.81599999999999995</v>
      </c>
      <c r="X609" s="8">
        <v>0.27</v>
      </c>
      <c r="Y609" s="8">
        <v>3.3663366336633644</v>
      </c>
      <c r="Z609" s="8">
        <v>2.0249221183800747</v>
      </c>
      <c r="AA609" s="8">
        <v>7.6</v>
      </c>
      <c r="AB609">
        <v>1.754</v>
      </c>
      <c r="AC609" s="8">
        <v>13.06930693069307</v>
      </c>
      <c r="AD609" s="8">
        <v>10.436137071651089</v>
      </c>
      <c r="AE609" s="8">
        <v>7.4999999999999997E-2</v>
      </c>
      <c r="AF609" s="8">
        <v>2.1000000000000001E-2</v>
      </c>
      <c r="AG609" s="8">
        <v>1.3468656843865774</v>
      </c>
      <c r="AH609" s="8">
        <v>15.466666666666667</v>
      </c>
      <c r="AI609" s="8">
        <v>5.9733333333333336</v>
      </c>
      <c r="AJ609" t="s">
        <v>1694</v>
      </c>
      <c r="AK609" t="s">
        <v>1694</v>
      </c>
      <c r="AL609" t="s">
        <v>1694</v>
      </c>
      <c r="AM609" t="s">
        <v>1694</v>
      </c>
      <c r="AN609" t="s">
        <v>1694</v>
      </c>
      <c r="AO609" t="s">
        <v>1694</v>
      </c>
      <c r="AP609" t="s">
        <v>1695</v>
      </c>
      <c r="AQ609" t="s">
        <v>1694</v>
      </c>
      <c r="AR609" s="11" t="s">
        <v>1694</v>
      </c>
      <c r="AS609" t="s">
        <v>1694</v>
      </c>
      <c r="AT609" t="s">
        <v>1694</v>
      </c>
      <c r="AU609" t="s">
        <v>1695</v>
      </c>
      <c r="AV609" t="s">
        <v>1694</v>
      </c>
      <c r="AW609" t="s">
        <v>1694</v>
      </c>
      <c r="AX609" t="s">
        <v>1706</v>
      </c>
      <c r="AY609" t="s">
        <v>1723</v>
      </c>
      <c r="AZ609" t="s">
        <v>1706</v>
      </c>
      <c r="BA609" t="s">
        <v>1700</v>
      </c>
      <c r="BB609" t="s">
        <v>1706</v>
      </c>
      <c r="BC609" t="s">
        <v>1723</v>
      </c>
      <c r="BD609" t="s">
        <v>1706</v>
      </c>
      <c r="BE609" t="s">
        <v>1706</v>
      </c>
      <c r="BF609" t="s">
        <v>1723</v>
      </c>
      <c r="BG609">
        <v>25</v>
      </c>
      <c r="BH609" s="12" t="s">
        <v>1709</v>
      </c>
      <c r="BI609" t="b">
        <v>0</v>
      </c>
      <c r="BJ609">
        <f t="shared" si="9"/>
        <v>0</v>
      </c>
    </row>
    <row r="610" spans="1:62" x14ac:dyDescent="0.2">
      <c r="A610" s="5" t="s">
        <v>138</v>
      </c>
      <c r="B610" s="6">
        <v>40332</v>
      </c>
      <c r="C610" s="7">
        <v>33.322417000000002</v>
      </c>
      <c r="D610" s="7">
        <v>-112.00536700000001</v>
      </c>
      <c r="E610" s="17">
        <v>397</v>
      </c>
      <c r="F610" t="s">
        <v>1697</v>
      </c>
      <c r="G610" t="s">
        <v>1697</v>
      </c>
      <c r="H610" t="s">
        <v>1697</v>
      </c>
      <c r="I610" t="s">
        <v>1697</v>
      </c>
      <c r="J610" t="s">
        <v>1697</v>
      </c>
      <c r="K610" t="s">
        <v>1697</v>
      </c>
      <c r="L610" t="s">
        <v>1697</v>
      </c>
      <c r="M610" t="s">
        <v>1697</v>
      </c>
      <c r="N610" t="s">
        <v>1697</v>
      </c>
      <c r="O610" t="s">
        <v>1697</v>
      </c>
      <c r="P610" t="s">
        <v>1697</v>
      </c>
      <c r="Q610" t="s">
        <v>1697</v>
      </c>
      <c r="R610" t="s">
        <v>1697</v>
      </c>
      <c r="S610" t="s">
        <v>1697</v>
      </c>
      <c r="T610" t="s">
        <v>1697</v>
      </c>
      <c r="U610" t="s">
        <v>1697</v>
      </c>
      <c r="V610" t="s">
        <v>1697</v>
      </c>
      <c r="W610" t="s">
        <v>1697</v>
      </c>
      <c r="X610" t="s">
        <v>1697</v>
      </c>
      <c r="Y610" t="s">
        <v>1697</v>
      </c>
      <c r="Z610" t="s">
        <v>1697</v>
      </c>
      <c r="AA610" t="s">
        <v>1697</v>
      </c>
      <c r="AB610" t="s">
        <v>1697</v>
      </c>
      <c r="AC610" t="s">
        <v>1697</v>
      </c>
      <c r="AD610" t="s">
        <v>1697</v>
      </c>
      <c r="AE610" t="s">
        <v>1697</v>
      </c>
      <c r="AF610" t="s">
        <v>1697</v>
      </c>
      <c r="AG610" t="s">
        <v>1697</v>
      </c>
      <c r="AH610" t="s">
        <v>1697</v>
      </c>
      <c r="AI610" t="s">
        <v>1697</v>
      </c>
      <c r="AJ610" t="s">
        <v>1694</v>
      </c>
      <c r="AK610" t="s">
        <v>1694</v>
      </c>
      <c r="AL610" t="s">
        <v>1694</v>
      </c>
      <c r="AM610" t="s">
        <v>1694</v>
      </c>
      <c r="AN610" t="s">
        <v>1694</v>
      </c>
      <c r="AO610" t="s">
        <v>1694</v>
      </c>
      <c r="AP610" t="s">
        <v>1695</v>
      </c>
      <c r="AQ610" t="s">
        <v>1694</v>
      </c>
      <c r="AR610" s="11" t="s">
        <v>1694</v>
      </c>
      <c r="AS610" t="s">
        <v>1694</v>
      </c>
      <c r="AT610" t="s">
        <v>1694</v>
      </c>
      <c r="AU610" t="s">
        <v>1695</v>
      </c>
      <c r="AV610" t="s">
        <v>1694</v>
      </c>
      <c r="AW610" t="s">
        <v>1694</v>
      </c>
      <c r="AX610" t="s">
        <v>1706</v>
      </c>
      <c r="AY610" t="s">
        <v>1723</v>
      </c>
      <c r="AZ610" t="s">
        <v>1706</v>
      </c>
      <c r="BA610" t="s">
        <v>1700</v>
      </c>
      <c r="BB610" t="s">
        <v>1706</v>
      </c>
      <c r="BC610" t="s">
        <v>1723</v>
      </c>
      <c r="BD610" t="s">
        <v>1706</v>
      </c>
      <c r="BE610" t="s">
        <v>1706</v>
      </c>
      <c r="BF610" t="s">
        <v>1723</v>
      </c>
      <c r="BG610" s="6" t="s">
        <v>1697</v>
      </c>
      <c r="BH610" s="6" t="s">
        <v>1697</v>
      </c>
      <c r="BI610" t="b">
        <v>0</v>
      </c>
      <c r="BJ610">
        <f t="shared" si="9"/>
        <v>0</v>
      </c>
    </row>
    <row r="611" spans="1:62" x14ac:dyDescent="0.2">
      <c r="A611" s="5" t="s">
        <v>139</v>
      </c>
      <c r="B611" s="6">
        <v>36294</v>
      </c>
      <c r="C611" s="7">
        <v>33.299793999999999</v>
      </c>
      <c r="D611" s="7">
        <v>-111.984228</v>
      </c>
      <c r="E611" s="17">
        <v>361</v>
      </c>
      <c r="F611" t="s">
        <v>1697</v>
      </c>
      <c r="G611" t="s">
        <v>1697</v>
      </c>
      <c r="H611" t="s">
        <v>1697</v>
      </c>
      <c r="I611" t="s">
        <v>1697</v>
      </c>
      <c r="J611" t="s">
        <v>1697</v>
      </c>
      <c r="K611" t="s">
        <v>1697</v>
      </c>
      <c r="L611" t="s">
        <v>1697</v>
      </c>
      <c r="M611" t="s">
        <v>1697</v>
      </c>
      <c r="N611" t="s">
        <v>1697</v>
      </c>
      <c r="O611" t="s">
        <v>1697</v>
      </c>
      <c r="P611" t="s">
        <v>1697</v>
      </c>
      <c r="Q611" t="s">
        <v>1697</v>
      </c>
      <c r="R611" t="s">
        <v>1697</v>
      </c>
      <c r="S611" t="s">
        <v>1697</v>
      </c>
      <c r="T611" t="s">
        <v>1697</v>
      </c>
      <c r="U611" t="s">
        <v>1697</v>
      </c>
      <c r="V611" t="s">
        <v>1697</v>
      </c>
      <c r="W611" t="s">
        <v>1697</v>
      </c>
      <c r="X611" t="s">
        <v>1697</v>
      </c>
      <c r="Y611" t="s">
        <v>1697</v>
      </c>
      <c r="Z611" t="s">
        <v>1697</v>
      </c>
      <c r="AA611" t="s">
        <v>1697</v>
      </c>
      <c r="AB611" t="s">
        <v>1697</v>
      </c>
      <c r="AC611" t="s">
        <v>1697</v>
      </c>
      <c r="AD611" t="s">
        <v>1697</v>
      </c>
      <c r="AE611" t="s">
        <v>1697</v>
      </c>
      <c r="AF611" t="s">
        <v>1697</v>
      </c>
      <c r="AG611" t="s">
        <v>1697</v>
      </c>
      <c r="AH611" t="s">
        <v>1697</v>
      </c>
      <c r="AI611" t="s">
        <v>1697</v>
      </c>
      <c r="AJ611" t="s">
        <v>1694</v>
      </c>
      <c r="AK611" t="s">
        <v>1694</v>
      </c>
      <c r="AL611" t="s">
        <v>1702</v>
      </c>
      <c r="AM611" t="s">
        <v>1703</v>
      </c>
      <c r="AN611" t="s">
        <v>1702</v>
      </c>
      <c r="AO611" t="s">
        <v>1703</v>
      </c>
      <c r="AP611" t="s">
        <v>1702</v>
      </c>
      <c r="AQ611" t="s">
        <v>1725</v>
      </c>
      <c r="AR611" s="11" t="s">
        <v>1703</v>
      </c>
      <c r="AS611" t="s">
        <v>1702</v>
      </c>
      <c r="AT611" t="s">
        <v>1703</v>
      </c>
      <c r="AU611" t="s">
        <v>1704</v>
      </c>
      <c r="AV611" t="s">
        <v>1725</v>
      </c>
      <c r="AW611" t="s">
        <v>1703</v>
      </c>
      <c r="AX611" t="s">
        <v>1706</v>
      </c>
      <c r="AY611" t="s">
        <v>1735</v>
      </c>
      <c r="AZ611" t="s">
        <v>1706</v>
      </c>
      <c r="BA611" t="s">
        <v>1700</v>
      </c>
      <c r="BB611" t="s">
        <v>1704</v>
      </c>
      <c r="BC611" t="s">
        <v>1705</v>
      </c>
      <c r="BD611" t="s">
        <v>1703</v>
      </c>
      <c r="BE611" t="s">
        <v>1755</v>
      </c>
      <c r="BF611" t="s">
        <v>1756</v>
      </c>
      <c r="BG611" s="6" t="s">
        <v>1697</v>
      </c>
      <c r="BH611" s="6" t="s">
        <v>1697</v>
      </c>
      <c r="BI611" t="b">
        <v>0</v>
      </c>
      <c r="BJ611">
        <f t="shared" si="9"/>
        <v>0</v>
      </c>
    </row>
    <row r="612" spans="1:62" x14ac:dyDescent="0.2">
      <c r="A612" s="5" t="s">
        <v>139</v>
      </c>
      <c r="B612" s="6">
        <v>38411</v>
      </c>
      <c r="C612" s="7">
        <v>33.299793999999999</v>
      </c>
      <c r="D612" s="7">
        <v>-111.984228</v>
      </c>
      <c r="E612" s="17">
        <v>361</v>
      </c>
      <c r="F612" t="s">
        <v>1700</v>
      </c>
      <c r="G612" t="s">
        <v>1755</v>
      </c>
      <c r="H612" t="s">
        <v>1755</v>
      </c>
      <c r="I612">
        <v>1</v>
      </c>
      <c r="J612" s="8">
        <v>14.220462468730847</v>
      </c>
      <c r="K612" s="8">
        <v>58.15718617123467</v>
      </c>
      <c r="L612" s="8">
        <v>27.622351360034486</v>
      </c>
      <c r="M612" s="8">
        <v>4.6477391347926105</v>
      </c>
      <c r="N612" s="8">
        <v>1.3078285538021313</v>
      </c>
      <c r="O612" s="8">
        <v>2.4942866690053669</v>
      </c>
      <c r="P612" s="8">
        <v>0.42312100270068947</v>
      </c>
      <c r="Q612" s="8">
        <v>47.926763979086665</v>
      </c>
      <c r="R612" s="8">
        <v>4.1029915413400193</v>
      </c>
      <c r="S612" s="8">
        <v>1.7190000000000001</v>
      </c>
      <c r="T612" s="8">
        <v>0.63100000000000001</v>
      </c>
      <c r="U612" s="8">
        <v>0.65300000000000002</v>
      </c>
      <c r="V612" s="8">
        <v>0.53500000000000003</v>
      </c>
      <c r="W612" s="8">
        <v>1.0660000000000001</v>
      </c>
      <c r="X612" s="8">
        <v>9.5999999999999974E-2</v>
      </c>
      <c r="Y612" s="8">
        <v>5.3211009174311927</v>
      </c>
      <c r="Z612" s="8">
        <v>2.782071097372484</v>
      </c>
      <c r="AA612" s="8">
        <v>8</v>
      </c>
      <c r="AB612">
        <v>0.254</v>
      </c>
      <c r="AC612" s="8">
        <v>13.211009174311922</v>
      </c>
      <c r="AD612" s="8">
        <v>12.210200927357018</v>
      </c>
      <c r="AE612" s="8">
        <v>0.10299999999999999</v>
      </c>
      <c r="AF612" s="8">
        <v>2.1999999999999999E-2</v>
      </c>
      <c r="AG612" s="8">
        <v>1.3632601008901462</v>
      </c>
      <c r="AH612" s="8">
        <v>16.689320388349515</v>
      </c>
      <c r="AI612" s="8">
        <v>6.1262135922330101</v>
      </c>
      <c r="AJ612" t="s">
        <v>1694</v>
      </c>
      <c r="AK612" t="s">
        <v>1694</v>
      </c>
      <c r="AL612" t="s">
        <v>1702</v>
      </c>
      <c r="AM612" t="s">
        <v>1703</v>
      </c>
      <c r="AN612" t="s">
        <v>1702</v>
      </c>
      <c r="AO612" t="s">
        <v>1703</v>
      </c>
      <c r="AP612" t="s">
        <v>1702</v>
      </c>
      <c r="AQ612" t="s">
        <v>1725</v>
      </c>
      <c r="AR612" s="11" t="s">
        <v>1703</v>
      </c>
      <c r="AS612" t="s">
        <v>1702</v>
      </c>
      <c r="AT612" t="s">
        <v>1703</v>
      </c>
      <c r="AU612" t="s">
        <v>1704</v>
      </c>
      <c r="AV612" t="s">
        <v>1725</v>
      </c>
      <c r="AW612" t="s">
        <v>1703</v>
      </c>
      <c r="AX612" t="s">
        <v>1706</v>
      </c>
      <c r="AY612" t="s">
        <v>1735</v>
      </c>
      <c r="AZ612" t="s">
        <v>1706</v>
      </c>
      <c r="BA612" t="s">
        <v>1700</v>
      </c>
      <c r="BB612" t="s">
        <v>1704</v>
      </c>
      <c r="BC612" t="s">
        <v>1705</v>
      </c>
      <c r="BD612" t="s">
        <v>1703</v>
      </c>
      <c r="BE612" t="s">
        <v>1755</v>
      </c>
      <c r="BF612" t="s">
        <v>1756</v>
      </c>
      <c r="BG612">
        <v>10</v>
      </c>
      <c r="BH612" s="12" t="s">
        <v>1708</v>
      </c>
      <c r="BI612" t="b">
        <v>0</v>
      </c>
      <c r="BJ612">
        <f t="shared" si="9"/>
        <v>0</v>
      </c>
    </row>
    <row r="613" spans="1:62" x14ac:dyDescent="0.2">
      <c r="A613" s="5" t="s">
        <v>139</v>
      </c>
      <c r="B613" s="6">
        <v>40326</v>
      </c>
      <c r="C613" s="7">
        <v>33.299793999999999</v>
      </c>
      <c r="D613" s="7">
        <v>-111.984228</v>
      </c>
      <c r="E613" s="17">
        <v>361</v>
      </c>
      <c r="F613" t="s">
        <v>1700</v>
      </c>
      <c r="G613" t="s">
        <v>1755</v>
      </c>
      <c r="H613" t="s">
        <v>1755</v>
      </c>
      <c r="I613">
        <v>1</v>
      </c>
      <c r="J613" s="8">
        <v>11.077907969546819</v>
      </c>
      <c r="K613" s="8">
        <v>59.517797130327935</v>
      </c>
      <c r="L613" s="8">
        <v>29.404294900125251</v>
      </c>
      <c r="M613" s="8">
        <v>0.55247725803749514</v>
      </c>
      <c r="N613" s="8">
        <v>5.0000000000000001E-3</v>
      </c>
      <c r="O613" s="8">
        <v>4.3067124839143318</v>
      </c>
      <c r="P613" s="8">
        <v>0.58797284793643956</v>
      </c>
      <c r="Q613" s="8">
        <v>16.998923197285421</v>
      </c>
      <c r="R613" s="8">
        <v>6.930047206720519</v>
      </c>
      <c r="S613" s="8">
        <v>1.2430000000000001</v>
      </c>
      <c r="T613" s="8">
        <v>0.40899999999999997</v>
      </c>
      <c r="U613" s="8">
        <v>0.48299999999999998</v>
      </c>
      <c r="V613" s="8">
        <v>0.308</v>
      </c>
      <c r="W613" s="8">
        <v>0.76000000000000012</v>
      </c>
      <c r="X613" s="8">
        <v>0.10099999999999998</v>
      </c>
      <c r="Y613" s="8">
        <v>3.6243822075782348</v>
      </c>
      <c r="Z613" s="8">
        <v>2.4469820554649324</v>
      </c>
      <c r="AA613" s="8">
        <v>8.1300000000000008</v>
      </c>
      <c r="AB613">
        <v>0.54100000000000004</v>
      </c>
      <c r="AC613" s="8">
        <v>4.1186161449752881</v>
      </c>
      <c r="AD613" s="8">
        <v>4.4045676998368606</v>
      </c>
      <c r="AE613" s="8">
        <v>7.9000000000000001E-2</v>
      </c>
      <c r="AF613" s="8">
        <v>1.4999999999999999E-2</v>
      </c>
      <c r="AG613" s="8">
        <v>1.6802433944723325</v>
      </c>
      <c r="AH613" s="8">
        <v>15.734177215189874</v>
      </c>
      <c r="AI613" s="8">
        <v>5.1772151898734178</v>
      </c>
      <c r="AJ613" t="s">
        <v>1694</v>
      </c>
      <c r="AK613" t="s">
        <v>1694</v>
      </c>
      <c r="AL613" t="s">
        <v>1702</v>
      </c>
      <c r="AM613" t="s">
        <v>1703</v>
      </c>
      <c r="AN613" t="s">
        <v>1702</v>
      </c>
      <c r="AO613" t="s">
        <v>1703</v>
      </c>
      <c r="AP613" t="s">
        <v>1702</v>
      </c>
      <c r="AQ613" t="s">
        <v>1725</v>
      </c>
      <c r="AR613" s="11" t="s">
        <v>1703</v>
      </c>
      <c r="AS613" t="s">
        <v>1702</v>
      </c>
      <c r="AT613" t="s">
        <v>1703</v>
      </c>
      <c r="AU613" t="s">
        <v>1704</v>
      </c>
      <c r="AV613" t="s">
        <v>1725</v>
      </c>
      <c r="AW613" t="s">
        <v>1703</v>
      </c>
      <c r="AX613" t="s">
        <v>1706</v>
      </c>
      <c r="AY613" t="s">
        <v>1735</v>
      </c>
      <c r="AZ613" t="s">
        <v>1706</v>
      </c>
      <c r="BA613" t="s">
        <v>1700</v>
      </c>
      <c r="BB613" t="s">
        <v>1704</v>
      </c>
      <c r="BC613" t="s">
        <v>1705</v>
      </c>
      <c r="BD613" t="s">
        <v>1703</v>
      </c>
      <c r="BE613" t="s">
        <v>1755</v>
      </c>
      <c r="BF613" t="s">
        <v>1756</v>
      </c>
      <c r="BG613">
        <v>15</v>
      </c>
      <c r="BH613" s="12" t="s">
        <v>1708</v>
      </c>
      <c r="BI613" t="b">
        <v>0</v>
      </c>
      <c r="BJ613">
        <f t="shared" si="9"/>
        <v>0</v>
      </c>
    </row>
    <row r="614" spans="1:62" x14ac:dyDescent="0.2">
      <c r="A614" s="5" t="s">
        <v>139</v>
      </c>
      <c r="B614" s="6">
        <v>42163</v>
      </c>
      <c r="C614" s="7">
        <v>33.299793999999999</v>
      </c>
      <c r="D614" s="7">
        <v>-111.984228</v>
      </c>
      <c r="E614" s="17">
        <v>361</v>
      </c>
      <c r="F614" t="s">
        <v>1700</v>
      </c>
      <c r="G614" t="s">
        <v>1755</v>
      </c>
      <c r="H614" t="s">
        <v>1755</v>
      </c>
      <c r="I614">
        <v>1</v>
      </c>
      <c r="J614" t="s">
        <v>1697</v>
      </c>
      <c r="K614" t="s">
        <v>1697</v>
      </c>
      <c r="L614" t="s">
        <v>1697</v>
      </c>
      <c r="M614" t="s">
        <v>1697</v>
      </c>
      <c r="N614" t="s">
        <v>1697</v>
      </c>
      <c r="O614" t="s">
        <v>1697</v>
      </c>
      <c r="P614" t="s">
        <v>1697</v>
      </c>
      <c r="Q614" t="s">
        <v>1697</v>
      </c>
      <c r="R614" t="s">
        <v>1697</v>
      </c>
      <c r="S614">
        <v>1.2829999999999999</v>
      </c>
      <c r="T614">
        <v>0.61799999999999999</v>
      </c>
      <c r="U614">
        <v>0.34100000000000003</v>
      </c>
      <c r="V614">
        <v>0.33600000000000002</v>
      </c>
      <c r="W614">
        <v>0.94199999999999995</v>
      </c>
      <c r="X614">
        <v>0.28199999999999997</v>
      </c>
      <c r="Y614">
        <v>2.2082018927444702</v>
      </c>
      <c r="Z614">
        <v>1.08527131782946</v>
      </c>
      <c r="AA614" t="s">
        <v>1697</v>
      </c>
      <c r="AB614" t="s">
        <v>1697</v>
      </c>
      <c r="AC614">
        <v>8.3538083538083505</v>
      </c>
      <c r="AD614">
        <v>6.1611374407582904</v>
      </c>
      <c r="AE614">
        <v>0.111</v>
      </c>
      <c r="AF614">
        <v>4.9000000000000002E-2</v>
      </c>
      <c r="AG614" t="s">
        <v>1697</v>
      </c>
      <c r="AH614">
        <v>11.5585585585586</v>
      </c>
      <c r="AI614">
        <v>12.612244897959201</v>
      </c>
      <c r="AJ614" t="s">
        <v>1694</v>
      </c>
      <c r="AK614" t="s">
        <v>1694</v>
      </c>
      <c r="AL614" t="s">
        <v>1702</v>
      </c>
      <c r="AM614" t="s">
        <v>1703</v>
      </c>
      <c r="AN614" t="s">
        <v>1702</v>
      </c>
      <c r="AO614" t="s">
        <v>1703</v>
      </c>
      <c r="AP614" t="s">
        <v>1702</v>
      </c>
      <c r="AQ614" t="s">
        <v>1725</v>
      </c>
      <c r="AR614" s="11" t="s">
        <v>1703</v>
      </c>
      <c r="AS614" t="s">
        <v>1702</v>
      </c>
      <c r="AT614" t="s">
        <v>1703</v>
      </c>
      <c r="AU614" t="s">
        <v>1704</v>
      </c>
      <c r="AV614" t="s">
        <v>1725</v>
      </c>
      <c r="AW614" t="s">
        <v>1703</v>
      </c>
      <c r="AX614" t="s">
        <v>1706</v>
      </c>
      <c r="AY614" t="s">
        <v>1735</v>
      </c>
      <c r="AZ614" t="s">
        <v>1706</v>
      </c>
      <c r="BA614" t="s">
        <v>1700</v>
      </c>
      <c r="BB614" t="s">
        <v>1704</v>
      </c>
      <c r="BC614" t="s">
        <v>1705</v>
      </c>
      <c r="BD614" t="s">
        <v>1703</v>
      </c>
      <c r="BE614" t="s">
        <v>1755</v>
      </c>
      <c r="BF614" t="s">
        <v>1756</v>
      </c>
      <c r="BG614">
        <v>20</v>
      </c>
      <c r="BH614" s="12" t="s">
        <v>1708</v>
      </c>
      <c r="BI614" t="b">
        <v>0</v>
      </c>
      <c r="BJ614">
        <f t="shared" si="9"/>
        <v>0</v>
      </c>
    </row>
    <row r="615" spans="1:62" x14ac:dyDescent="0.2">
      <c r="A615" s="5" t="s">
        <v>139</v>
      </c>
      <c r="B615" s="6">
        <v>45055</v>
      </c>
      <c r="C615" s="7">
        <v>33.299793999999999</v>
      </c>
      <c r="D615" s="7">
        <v>-111.984228</v>
      </c>
      <c r="E615" s="17">
        <v>361</v>
      </c>
      <c r="F615" t="s">
        <v>1700</v>
      </c>
      <c r="G615" t="s">
        <v>1755</v>
      </c>
      <c r="H615" t="s">
        <v>1755</v>
      </c>
      <c r="I615">
        <v>1</v>
      </c>
      <c r="J615" t="s">
        <v>1697</v>
      </c>
      <c r="K615" t="s">
        <v>1697</v>
      </c>
      <c r="L615" t="s">
        <v>1697</v>
      </c>
      <c r="M615" t="s">
        <v>1697</v>
      </c>
      <c r="N615" t="s">
        <v>1697</v>
      </c>
      <c r="O615" t="s">
        <v>1697</v>
      </c>
      <c r="P615" t="s">
        <v>1697</v>
      </c>
      <c r="Q615" t="s">
        <v>1697</v>
      </c>
      <c r="R615" t="s">
        <v>1697</v>
      </c>
      <c r="S615" t="s">
        <v>1697</v>
      </c>
      <c r="T615" t="s">
        <v>1697</v>
      </c>
      <c r="U615" t="s">
        <v>1697</v>
      </c>
      <c r="V615" t="s">
        <v>1697</v>
      </c>
      <c r="W615" t="s">
        <v>1697</v>
      </c>
      <c r="X615" t="s">
        <v>1697</v>
      </c>
      <c r="Y615" t="s">
        <v>1697</v>
      </c>
      <c r="Z615" t="s">
        <v>1697</v>
      </c>
      <c r="AA615" t="s">
        <v>1697</v>
      </c>
      <c r="AB615" t="s">
        <v>1697</v>
      </c>
      <c r="AC615" t="s">
        <v>1697</v>
      </c>
      <c r="AD615" t="s">
        <v>1697</v>
      </c>
      <c r="AE615" t="s">
        <v>1697</v>
      </c>
      <c r="AF615" t="s">
        <v>1697</v>
      </c>
      <c r="AG615" t="s">
        <v>1697</v>
      </c>
      <c r="AH615" t="s">
        <v>1697</v>
      </c>
      <c r="AI615" t="s">
        <v>1697</v>
      </c>
      <c r="AJ615" t="s">
        <v>1694</v>
      </c>
      <c r="AK615" t="s">
        <v>1694</v>
      </c>
      <c r="AL615" t="s">
        <v>1702</v>
      </c>
      <c r="AM615" t="s">
        <v>1703</v>
      </c>
      <c r="AN615" t="s">
        <v>1702</v>
      </c>
      <c r="AO615" t="s">
        <v>1703</v>
      </c>
      <c r="AP615" t="s">
        <v>1702</v>
      </c>
      <c r="AQ615" t="s">
        <v>1725</v>
      </c>
      <c r="AR615" s="11" t="s">
        <v>1703</v>
      </c>
      <c r="AS615" t="s">
        <v>1702</v>
      </c>
      <c r="AT615" t="s">
        <v>1703</v>
      </c>
      <c r="AU615" t="s">
        <v>1704</v>
      </c>
      <c r="AV615" t="s">
        <v>1725</v>
      </c>
      <c r="AW615" t="s">
        <v>1703</v>
      </c>
      <c r="AX615" t="s">
        <v>1706</v>
      </c>
      <c r="AY615" t="s">
        <v>1735</v>
      </c>
      <c r="AZ615" t="s">
        <v>1706</v>
      </c>
      <c r="BA615" t="s">
        <v>1700</v>
      </c>
      <c r="BB615" t="s">
        <v>1704</v>
      </c>
      <c r="BC615" t="s">
        <v>1705</v>
      </c>
      <c r="BD615" t="s">
        <v>1703</v>
      </c>
      <c r="BE615" t="s">
        <v>1755</v>
      </c>
      <c r="BF615" t="s">
        <v>1756</v>
      </c>
      <c r="BG615" s="6" t="s">
        <v>1697</v>
      </c>
      <c r="BH615" s="6" t="s">
        <v>1697</v>
      </c>
      <c r="BI615" t="b">
        <v>0</v>
      </c>
      <c r="BJ615">
        <f t="shared" si="9"/>
        <v>0</v>
      </c>
    </row>
    <row r="616" spans="1:62" x14ac:dyDescent="0.2">
      <c r="A616" s="5" t="s">
        <v>884</v>
      </c>
      <c r="B616" s="6">
        <v>38419</v>
      </c>
      <c r="C616" s="7">
        <v>33.825991999999999</v>
      </c>
      <c r="D616" s="7">
        <v>-111.970292</v>
      </c>
      <c r="E616" s="17">
        <v>605</v>
      </c>
      <c r="F616" t="s">
        <v>1694</v>
      </c>
      <c r="G616" t="s">
        <v>1694</v>
      </c>
      <c r="H616" t="s">
        <v>1694</v>
      </c>
      <c r="I616">
        <v>0</v>
      </c>
      <c r="J616" s="8">
        <v>8.1229739794084246</v>
      </c>
      <c r="K616" s="8">
        <v>80.104862013666121</v>
      </c>
      <c r="L616" s="8">
        <v>11.772164006925451</v>
      </c>
      <c r="M616" s="8">
        <v>2.2227910827398931</v>
      </c>
      <c r="N616" s="8">
        <v>2.1754867713423431</v>
      </c>
      <c r="O616" s="8">
        <v>1.7782328661919142</v>
      </c>
      <c r="P616" s="8">
        <v>1.9412035805823982</v>
      </c>
      <c r="Q616" s="8">
        <v>14.33162274540452</v>
      </c>
      <c r="R616" s="8">
        <v>3.8041022672180751</v>
      </c>
      <c r="S616" s="8">
        <v>1.6459999999999999</v>
      </c>
      <c r="T616" s="8">
        <v>0.25</v>
      </c>
      <c r="U616" s="8">
        <v>0.39300000000000002</v>
      </c>
      <c r="V616" s="8">
        <v>9.6000000000000002E-2</v>
      </c>
      <c r="W616" s="8">
        <v>1.2529999999999999</v>
      </c>
      <c r="X616" s="8">
        <v>0.154</v>
      </c>
      <c r="Y616" s="8">
        <v>4.2772861356932284</v>
      </c>
      <c r="Z616" s="8">
        <v>3.1315240083507203</v>
      </c>
      <c r="AA616" s="8">
        <v>8.2100000000000009</v>
      </c>
      <c r="AB616">
        <v>0.13200000000000001</v>
      </c>
      <c r="AC616" s="8">
        <v>13.126843657817089</v>
      </c>
      <c r="AD616" s="8">
        <v>11.273486430062633</v>
      </c>
      <c r="AE616" s="8">
        <v>0.111</v>
      </c>
      <c r="AF616" s="8">
        <v>1.2999999999999999E-2</v>
      </c>
      <c r="AG616" s="8">
        <v>1.5091586144193609</v>
      </c>
      <c r="AH616" s="8">
        <v>14.828828828828827</v>
      </c>
      <c r="AI616" s="8">
        <v>2.2522522522522523</v>
      </c>
      <c r="AJ616" t="s">
        <v>1694</v>
      </c>
      <c r="AK616" t="s">
        <v>1694</v>
      </c>
      <c r="AL616" t="s">
        <v>1694</v>
      </c>
      <c r="AM616" t="s">
        <v>1694</v>
      </c>
      <c r="AN616" t="s">
        <v>1694</v>
      </c>
      <c r="AO616" t="s">
        <v>1694</v>
      </c>
      <c r="AP616" s="11" t="s">
        <v>1695</v>
      </c>
      <c r="AQ616" s="11" t="s">
        <v>1694</v>
      </c>
      <c r="AR616" s="11" t="s">
        <v>1694</v>
      </c>
      <c r="AS616" t="s">
        <v>1694</v>
      </c>
      <c r="AT616" t="s">
        <v>1694</v>
      </c>
      <c r="AU616" t="s">
        <v>1695</v>
      </c>
      <c r="AV616" t="s">
        <v>1694</v>
      </c>
      <c r="AW616" t="s">
        <v>1694</v>
      </c>
      <c r="AX616" t="s">
        <v>1695</v>
      </c>
      <c r="AY616" t="s">
        <v>1694</v>
      </c>
      <c r="AZ616" t="s">
        <v>1694</v>
      </c>
      <c r="BA616" t="s">
        <v>1694</v>
      </c>
      <c r="BB616" t="s">
        <v>1695</v>
      </c>
      <c r="BC616" t="s">
        <v>1694</v>
      </c>
      <c r="BD616" t="s">
        <v>1694</v>
      </c>
      <c r="BE616" t="s">
        <v>1695</v>
      </c>
      <c r="BF616" t="s">
        <v>1694</v>
      </c>
      <c r="BG616" t="s">
        <v>1697</v>
      </c>
      <c r="BH616" t="s">
        <v>1698</v>
      </c>
      <c r="BI616" t="b">
        <v>0</v>
      </c>
      <c r="BJ616">
        <f t="shared" si="9"/>
        <v>0</v>
      </c>
    </row>
    <row r="617" spans="1:62" x14ac:dyDescent="0.2">
      <c r="A617" s="5" t="s">
        <v>884</v>
      </c>
      <c r="B617" s="6">
        <v>40282</v>
      </c>
      <c r="C617" s="7">
        <v>33.825991999999999</v>
      </c>
      <c r="D617" s="7">
        <v>-111.970292</v>
      </c>
      <c r="E617" s="17">
        <v>605</v>
      </c>
      <c r="F617" t="s">
        <v>1694</v>
      </c>
      <c r="G617" t="s">
        <v>1694</v>
      </c>
      <c r="H617" t="s">
        <v>1694</v>
      </c>
      <c r="I617">
        <v>0</v>
      </c>
      <c r="J617" s="8">
        <v>13.980768600030043</v>
      </c>
      <c r="K617" s="8">
        <v>66.911311724550558</v>
      </c>
      <c r="L617" s="8">
        <v>19.107919675419396</v>
      </c>
      <c r="M617" s="8">
        <v>1.2920605743355758</v>
      </c>
      <c r="N617" s="8">
        <v>1.0554481063807046</v>
      </c>
      <c r="O617" s="8">
        <v>0.75666297384527159</v>
      </c>
      <c r="P617" s="8">
        <v>0.86579727476542179</v>
      </c>
      <c r="Q617" s="8">
        <v>22.176231972971177</v>
      </c>
      <c r="R617" s="8">
        <v>7.5935071890099461</v>
      </c>
      <c r="S617" s="8">
        <v>0.88200000000000001</v>
      </c>
      <c r="T617" s="8">
        <v>0.98399999999999999</v>
      </c>
      <c r="U617" s="8">
        <v>0.44</v>
      </c>
      <c r="V617" s="8">
        <v>0.69399999999999995</v>
      </c>
      <c r="W617" s="8">
        <v>0.442</v>
      </c>
      <c r="X617" s="8">
        <v>0.29000000000000004</v>
      </c>
      <c r="Y617" s="8">
        <v>2.7166882276843576</v>
      </c>
      <c r="Z617" s="8">
        <v>2.5796661608497717</v>
      </c>
      <c r="AA617" s="8">
        <v>8.27</v>
      </c>
      <c r="AB617">
        <v>0.16700000000000001</v>
      </c>
      <c r="AC617" s="8">
        <v>2.1992238033635179</v>
      </c>
      <c r="AD617" s="8">
        <v>3.945371775417323</v>
      </c>
      <c r="AE617" s="8">
        <v>5.8999999999999997E-2</v>
      </c>
      <c r="AF617" s="8">
        <v>0.04</v>
      </c>
      <c r="AG617" s="8">
        <v>1.6027293498596373</v>
      </c>
      <c r="AH617" s="8">
        <v>14.949152542372882</v>
      </c>
      <c r="AI617" s="8">
        <v>16.677966101694917</v>
      </c>
      <c r="AJ617" t="s">
        <v>1694</v>
      </c>
      <c r="AK617" t="s">
        <v>1694</v>
      </c>
      <c r="AL617" t="s">
        <v>1694</v>
      </c>
      <c r="AM617" t="s">
        <v>1694</v>
      </c>
      <c r="AN617" t="s">
        <v>1694</v>
      </c>
      <c r="AO617" t="s">
        <v>1694</v>
      </c>
      <c r="AP617" s="11" t="s">
        <v>1695</v>
      </c>
      <c r="AQ617" s="11" t="s">
        <v>1694</v>
      </c>
      <c r="AR617" s="11" t="s">
        <v>1694</v>
      </c>
      <c r="AS617" t="s">
        <v>1694</v>
      </c>
      <c r="AT617" t="s">
        <v>1694</v>
      </c>
      <c r="AU617" t="s">
        <v>1695</v>
      </c>
      <c r="AV617" t="s">
        <v>1694</v>
      </c>
      <c r="AW617" t="s">
        <v>1694</v>
      </c>
      <c r="AX617" t="s">
        <v>1695</v>
      </c>
      <c r="AY617" t="s">
        <v>1694</v>
      </c>
      <c r="AZ617" t="s">
        <v>1694</v>
      </c>
      <c r="BA617" t="s">
        <v>1694</v>
      </c>
      <c r="BB617" t="s">
        <v>1695</v>
      </c>
      <c r="BC617" t="s">
        <v>1694</v>
      </c>
      <c r="BD617" t="s">
        <v>1694</v>
      </c>
      <c r="BE617" t="s">
        <v>1695</v>
      </c>
      <c r="BF617" t="s">
        <v>1694</v>
      </c>
      <c r="BG617" t="s">
        <v>1697</v>
      </c>
      <c r="BH617" t="s">
        <v>1698</v>
      </c>
      <c r="BI617" t="b">
        <v>1</v>
      </c>
      <c r="BJ617">
        <f t="shared" si="9"/>
        <v>1</v>
      </c>
    </row>
    <row r="618" spans="1:62" x14ac:dyDescent="0.2">
      <c r="A618" s="5" t="s">
        <v>884</v>
      </c>
      <c r="B618" s="6">
        <v>42152</v>
      </c>
      <c r="C618" s="7">
        <v>33.825991999999999</v>
      </c>
      <c r="D618" s="7">
        <v>-111.970292</v>
      </c>
      <c r="E618" s="17">
        <v>605</v>
      </c>
      <c r="F618" t="s">
        <v>1694</v>
      </c>
      <c r="G618" t="s">
        <v>1694</v>
      </c>
      <c r="H618" t="s">
        <v>1694</v>
      </c>
      <c r="I618">
        <v>0</v>
      </c>
      <c r="J618">
        <v>8.8034974466920968</v>
      </c>
      <c r="K618">
        <v>67.462893280225643</v>
      </c>
      <c r="L618">
        <v>23.733609273082259</v>
      </c>
      <c r="M618">
        <v>34.2308011940111</v>
      </c>
      <c r="N618">
        <v>7.2748541898715802</v>
      </c>
      <c r="O618">
        <v>49.3155610422194</v>
      </c>
      <c r="P618">
        <v>9.4111208964211706</v>
      </c>
      <c r="Q618">
        <v>14.3562179639531</v>
      </c>
      <c r="R618">
        <v>9.6028213805706404</v>
      </c>
      <c r="S618">
        <v>0.96499999999999997</v>
      </c>
      <c r="T618">
        <v>0.91</v>
      </c>
      <c r="U618">
        <v>0.42499999999999999</v>
      </c>
      <c r="V618">
        <v>0.47399999999999998</v>
      </c>
      <c r="W618">
        <v>0.54</v>
      </c>
      <c r="X618">
        <v>0.436</v>
      </c>
      <c r="Y618">
        <v>2.5284450063211099</v>
      </c>
      <c r="Z618">
        <v>2.3192360163710801</v>
      </c>
      <c r="AA618">
        <v>7.87</v>
      </c>
      <c r="AB618">
        <v>0.17100000000000001</v>
      </c>
      <c r="AC618">
        <v>2.3008849557521902</v>
      </c>
      <c r="AD618">
        <v>3.1558185404339301</v>
      </c>
      <c r="AE618">
        <v>7.3999999999999996E-2</v>
      </c>
      <c r="AF618">
        <v>5.5E-2</v>
      </c>
      <c r="AG618">
        <v>1.6383993054573298</v>
      </c>
      <c r="AH618">
        <v>13.040540540540499</v>
      </c>
      <c r="AI618">
        <v>16.545454545454501</v>
      </c>
      <c r="AJ618" t="s">
        <v>1694</v>
      </c>
      <c r="AK618" t="s">
        <v>1694</v>
      </c>
      <c r="AL618" t="s">
        <v>1694</v>
      </c>
      <c r="AM618" t="s">
        <v>1694</v>
      </c>
      <c r="AN618" t="s">
        <v>1694</v>
      </c>
      <c r="AO618" t="s">
        <v>1694</v>
      </c>
      <c r="AP618" t="s">
        <v>1697</v>
      </c>
      <c r="AQ618" t="s">
        <v>1697</v>
      </c>
      <c r="AR618" s="11" t="s">
        <v>1694</v>
      </c>
      <c r="AS618" t="s">
        <v>1694</v>
      </c>
      <c r="AT618" t="s">
        <v>1694</v>
      </c>
      <c r="AU618" t="s">
        <v>1695</v>
      </c>
      <c r="AV618" t="s">
        <v>1694</v>
      </c>
      <c r="AW618" t="s">
        <v>1694</v>
      </c>
      <c r="AX618" t="s">
        <v>1695</v>
      </c>
      <c r="AY618" t="s">
        <v>1694</v>
      </c>
      <c r="AZ618" t="s">
        <v>1694</v>
      </c>
      <c r="BA618" t="s">
        <v>1694</v>
      </c>
      <c r="BB618" t="s">
        <v>1695</v>
      </c>
      <c r="BC618" t="s">
        <v>1694</v>
      </c>
      <c r="BD618" t="s">
        <v>1694</v>
      </c>
      <c r="BE618" t="s">
        <v>1695</v>
      </c>
      <c r="BF618" t="s">
        <v>1694</v>
      </c>
      <c r="BG618" t="s">
        <v>1697</v>
      </c>
      <c r="BH618" t="s">
        <v>1698</v>
      </c>
      <c r="BI618" t="b">
        <v>1</v>
      </c>
      <c r="BJ618">
        <f t="shared" si="9"/>
        <v>1</v>
      </c>
    </row>
    <row r="619" spans="1:62" x14ac:dyDescent="0.2">
      <c r="A619" s="5" t="s">
        <v>885</v>
      </c>
      <c r="B619" s="6">
        <v>36643</v>
      </c>
      <c r="C619" s="7">
        <v>33.776649999999997</v>
      </c>
      <c r="D619" s="7">
        <v>-111.95036899999999</v>
      </c>
      <c r="E619" s="17">
        <v>638</v>
      </c>
      <c r="F619" t="s">
        <v>1694</v>
      </c>
      <c r="G619" t="s">
        <v>1694</v>
      </c>
      <c r="H619" t="s">
        <v>1694</v>
      </c>
      <c r="I619">
        <v>0</v>
      </c>
      <c r="J619" s="8">
        <v>15.991666255481489</v>
      </c>
      <c r="K619" s="8">
        <v>60.770991970193649</v>
      </c>
      <c r="L619" s="8">
        <v>23.237341774324861</v>
      </c>
      <c r="M619" s="8">
        <v>1.8408241838835189</v>
      </c>
      <c r="N619" s="8">
        <v>1.3418486268031871</v>
      </c>
      <c r="O619" s="8">
        <v>2.7140314087740989</v>
      </c>
      <c r="P619" s="8">
        <v>0.60851293278739482</v>
      </c>
      <c r="Q619" s="8">
        <v>28.323803596640488</v>
      </c>
      <c r="R619" s="8">
        <v>6.2534420869169161</v>
      </c>
      <c r="S619" s="8">
        <v>1.0109999999999999</v>
      </c>
      <c r="T619" s="8">
        <v>0.78</v>
      </c>
      <c r="U619" s="8">
        <v>0.26</v>
      </c>
      <c r="V619" s="8">
        <v>0.46200000000000002</v>
      </c>
      <c r="W619" s="8">
        <v>0.751</v>
      </c>
      <c r="X619" s="8">
        <v>0.318</v>
      </c>
      <c r="Y619" s="8">
        <v>2.1908500000000002</v>
      </c>
      <c r="Z619" s="8">
        <v>1.22986</v>
      </c>
      <c r="AA619" s="9">
        <v>8.4600000000000009</v>
      </c>
      <c r="AB619" s="10">
        <v>0.24299999999999999</v>
      </c>
      <c r="AC619" s="8">
        <v>1.33653</v>
      </c>
      <c r="AD619" s="8">
        <v>2.2761800000000001</v>
      </c>
      <c r="AE619" s="8">
        <v>8.5000000000000006E-2</v>
      </c>
      <c r="AF619" s="8">
        <v>4.4999999999999998E-2</v>
      </c>
      <c r="AG619" s="8">
        <v>1.5665378019754561</v>
      </c>
      <c r="AH619" s="8">
        <v>11.894117647058822</v>
      </c>
      <c r="AI619" s="8">
        <v>9.1764705882352935</v>
      </c>
      <c r="AJ619" t="s">
        <v>1694</v>
      </c>
      <c r="AK619" t="s">
        <v>1694</v>
      </c>
      <c r="AL619" t="s">
        <v>1694</v>
      </c>
      <c r="AM619" t="s">
        <v>1694</v>
      </c>
      <c r="AN619" t="s">
        <v>1694</v>
      </c>
      <c r="AO619" t="s">
        <v>1694</v>
      </c>
      <c r="AP619" s="11" t="s">
        <v>1695</v>
      </c>
      <c r="AQ619" s="11" t="s">
        <v>1694</v>
      </c>
      <c r="AR619" s="11" t="s">
        <v>1694</v>
      </c>
      <c r="AS619" t="s">
        <v>1694</v>
      </c>
      <c r="AT619" t="s">
        <v>1694</v>
      </c>
      <c r="AU619" t="s">
        <v>1695</v>
      </c>
      <c r="AV619" t="s">
        <v>1694</v>
      </c>
      <c r="AW619" t="s">
        <v>1694</v>
      </c>
      <c r="AX619" t="s">
        <v>1695</v>
      </c>
      <c r="AY619" t="s">
        <v>1694</v>
      </c>
      <c r="AZ619" t="s">
        <v>1694</v>
      </c>
      <c r="BA619" t="s">
        <v>1694</v>
      </c>
      <c r="BB619" t="s">
        <v>1695</v>
      </c>
      <c r="BC619" t="s">
        <v>1694</v>
      </c>
      <c r="BD619" t="s">
        <v>1694</v>
      </c>
      <c r="BE619" t="s">
        <v>1695</v>
      </c>
      <c r="BF619" t="s">
        <v>1694</v>
      </c>
      <c r="BG619" t="s">
        <v>1697</v>
      </c>
      <c r="BH619" t="s">
        <v>1698</v>
      </c>
      <c r="BI619" t="b">
        <v>0</v>
      </c>
      <c r="BJ619">
        <f t="shared" si="9"/>
        <v>0</v>
      </c>
    </row>
    <row r="620" spans="1:62" x14ac:dyDescent="0.2">
      <c r="A620" s="5" t="s">
        <v>885</v>
      </c>
      <c r="B620" s="6">
        <v>38414</v>
      </c>
      <c r="C620" s="7">
        <v>33.776649999999997</v>
      </c>
      <c r="D620" s="7">
        <v>-111.95036899999999</v>
      </c>
      <c r="E620" s="17">
        <v>638</v>
      </c>
      <c r="F620" t="s">
        <v>1694</v>
      </c>
      <c r="G620" t="s">
        <v>1694</v>
      </c>
      <c r="H620" t="s">
        <v>1694</v>
      </c>
      <c r="I620">
        <v>0</v>
      </c>
      <c r="J620" s="8">
        <v>11.307664148510799</v>
      </c>
      <c r="K620" s="8">
        <v>62.835980250087118</v>
      </c>
      <c r="L620" s="8">
        <v>25.856355601402086</v>
      </c>
      <c r="M620" s="8">
        <v>1.6042656360344114</v>
      </c>
      <c r="N620" s="8">
        <v>1.3707189673617357</v>
      </c>
      <c r="O620" s="8">
        <v>3.5991350791032879</v>
      </c>
      <c r="P620" s="8">
        <v>0.22616862961468637</v>
      </c>
      <c r="Q620" s="8">
        <v>18.970079232202142</v>
      </c>
      <c r="R620" s="8">
        <v>3.5852525310313554</v>
      </c>
      <c r="S620" s="8">
        <v>0.98799999999999999</v>
      </c>
      <c r="T620" s="8">
        <v>0.75900000000000001</v>
      </c>
      <c r="U620" s="8">
        <v>0.28000000000000003</v>
      </c>
      <c r="V620" s="8">
        <v>0.54</v>
      </c>
      <c r="W620" s="8">
        <v>0.70799999999999996</v>
      </c>
      <c r="X620" s="8">
        <v>0.21899999999999997</v>
      </c>
      <c r="Y620" s="8">
        <v>3.339191564147634</v>
      </c>
      <c r="Z620" s="8">
        <v>2.8443113772455018</v>
      </c>
      <c r="AA620" s="8">
        <v>8.4600000000000009</v>
      </c>
      <c r="AB620">
        <v>0.23499999999999999</v>
      </c>
      <c r="AC620" s="8">
        <v>11.423550087873451</v>
      </c>
      <c r="AD620" s="8">
        <v>10.029940119760479</v>
      </c>
      <c r="AE620" s="8">
        <v>6.8000000000000005E-2</v>
      </c>
      <c r="AF620" s="8">
        <v>0.02</v>
      </c>
      <c r="AG620" s="8">
        <v>1.2473755936504911</v>
      </c>
      <c r="AH620" s="8">
        <v>14.52941176470588</v>
      </c>
      <c r="AI620" s="8">
        <v>11.161764705882351</v>
      </c>
      <c r="AJ620" t="s">
        <v>1694</v>
      </c>
      <c r="AK620" t="s">
        <v>1694</v>
      </c>
      <c r="AL620" t="s">
        <v>1694</v>
      </c>
      <c r="AM620" t="s">
        <v>1694</v>
      </c>
      <c r="AN620" t="s">
        <v>1694</v>
      </c>
      <c r="AO620" t="s">
        <v>1694</v>
      </c>
      <c r="AP620" s="11" t="s">
        <v>1695</v>
      </c>
      <c r="AQ620" s="11" t="s">
        <v>1694</v>
      </c>
      <c r="AR620" s="11" t="s">
        <v>1694</v>
      </c>
      <c r="AS620" t="s">
        <v>1694</v>
      </c>
      <c r="AT620" t="s">
        <v>1694</v>
      </c>
      <c r="AU620" t="s">
        <v>1695</v>
      </c>
      <c r="AV620" t="s">
        <v>1694</v>
      </c>
      <c r="AW620" t="s">
        <v>1694</v>
      </c>
      <c r="AX620" t="s">
        <v>1695</v>
      </c>
      <c r="AY620" t="s">
        <v>1694</v>
      </c>
      <c r="AZ620" t="s">
        <v>1694</v>
      </c>
      <c r="BA620" t="s">
        <v>1694</v>
      </c>
      <c r="BB620" t="s">
        <v>1695</v>
      </c>
      <c r="BC620" t="s">
        <v>1694</v>
      </c>
      <c r="BD620" t="s">
        <v>1694</v>
      </c>
      <c r="BE620" t="s">
        <v>1695</v>
      </c>
      <c r="BF620" t="s">
        <v>1694</v>
      </c>
      <c r="BG620" t="s">
        <v>1697</v>
      </c>
      <c r="BH620" t="s">
        <v>1698</v>
      </c>
      <c r="BI620" t="b">
        <v>0</v>
      </c>
      <c r="BJ620">
        <f t="shared" si="9"/>
        <v>0</v>
      </c>
    </row>
    <row r="621" spans="1:62" x14ac:dyDescent="0.2">
      <c r="A621" s="5" t="s">
        <v>885</v>
      </c>
      <c r="B621" s="6">
        <v>40248</v>
      </c>
      <c r="C621" s="7">
        <v>33.776649999999997</v>
      </c>
      <c r="D621" s="7">
        <v>-111.95036899999999</v>
      </c>
      <c r="E621" s="17">
        <v>638</v>
      </c>
      <c r="F621" t="s">
        <v>1700</v>
      </c>
      <c r="G621" t="s">
        <v>1736</v>
      </c>
      <c r="H621" t="s">
        <v>1737</v>
      </c>
      <c r="I621">
        <v>1</v>
      </c>
      <c r="J621" s="8">
        <v>11.41772153232216</v>
      </c>
      <c r="K621" s="8">
        <v>68.930138200673298</v>
      </c>
      <c r="L621" s="8">
        <v>19.65214026700454</v>
      </c>
      <c r="M621" s="8">
        <v>5.0000000000000001E-3</v>
      </c>
      <c r="N621" s="8">
        <v>5.0000000000000001E-3</v>
      </c>
      <c r="O621" s="8">
        <v>10.631843099559871</v>
      </c>
      <c r="P621" s="8">
        <v>19.253352734159506</v>
      </c>
      <c r="Q621" s="8">
        <v>10.56921198052139</v>
      </c>
      <c r="R621" s="8">
        <v>8.7070772058258914</v>
      </c>
      <c r="S621" s="8">
        <v>1.23</v>
      </c>
      <c r="T621" s="8">
        <v>1.0940000000000001</v>
      </c>
      <c r="U621" s="8">
        <v>0.89200000000000002</v>
      </c>
      <c r="V621" s="8">
        <v>0.80600000000000005</v>
      </c>
      <c r="W621" s="8">
        <v>0.33799999999999997</v>
      </c>
      <c r="X621" s="8">
        <v>0.28800000000000003</v>
      </c>
      <c r="Y621" s="8">
        <v>2.9487179487179538</v>
      </c>
      <c r="Z621" s="8">
        <v>3.2312925170068092</v>
      </c>
      <c r="AA621" s="8">
        <v>8.64</v>
      </c>
      <c r="AB621">
        <v>0.34599999999999997</v>
      </c>
      <c r="AC621" s="8">
        <v>10.256410256410241</v>
      </c>
      <c r="AD621" s="8">
        <v>10.714285714285696</v>
      </c>
      <c r="AE621" s="8">
        <v>2.9000000000000001E-2</v>
      </c>
      <c r="AF621" s="8">
        <v>0.02</v>
      </c>
      <c r="AG621" s="8">
        <v>1.7083913250544429</v>
      </c>
      <c r="AH621" s="8">
        <v>42.41379310344827</v>
      </c>
      <c r="AI621" s="8">
        <v>37.724137931034484</v>
      </c>
      <c r="AJ621" t="s">
        <v>1694</v>
      </c>
      <c r="AK621" t="s">
        <v>1694</v>
      </c>
      <c r="AL621" t="s">
        <v>1694</v>
      </c>
      <c r="AM621" t="s">
        <v>1694</v>
      </c>
      <c r="AN621" t="s">
        <v>1694</v>
      </c>
      <c r="AO621" t="s">
        <v>1694</v>
      </c>
      <c r="AP621" s="11" t="s">
        <v>1695</v>
      </c>
      <c r="AQ621" s="11" t="s">
        <v>1694</v>
      </c>
      <c r="AR621" s="11" t="s">
        <v>1694</v>
      </c>
      <c r="AS621" t="s">
        <v>1694</v>
      </c>
      <c r="AT621" t="s">
        <v>1694</v>
      </c>
      <c r="AU621" t="s">
        <v>1695</v>
      </c>
      <c r="AV621" t="s">
        <v>1694</v>
      </c>
      <c r="AW621" t="s">
        <v>1694</v>
      </c>
      <c r="AX621" t="s">
        <v>1695</v>
      </c>
      <c r="AY621" t="s">
        <v>1694</v>
      </c>
      <c r="AZ621" t="s">
        <v>1694</v>
      </c>
      <c r="BA621" t="s">
        <v>1694</v>
      </c>
      <c r="BB621" t="s">
        <v>1695</v>
      </c>
      <c r="BC621" t="s">
        <v>1694</v>
      </c>
      <c r="BD621" t="s">
        <v>1694</v>
      </c>
      <c r="BE621" t="s">
        <v>1695</v>
      </c>
      <c r="BF621" t="s">
        <v>1694</v>
      </c>
      <c r="BG621">
        <v>5</v>
      </c>
      <c r="BH621" t="s">
        <v>1708</v>
      </c>
      <c r="BI621" t="b">
        <v>0</v>
      </c>
      <c r="BJ621">
        <f t="shared" si="9"/>
        <v>0</v>
      </c>
    </row>
    <row r="622" spans="1:62" x14ac:dyDescent="0.2">
      <c r="A622" s="5" t="s">
        <v>885</v>
      </c>
      <c r="B622" s="6">
        <v>42156</v>
      </c>
      <c r="C622" s="7">
        <v>33.776649999999997</v>
      </c>
      <c r="D622" s="7">
        <v>-111.95036899999999</v>
      </c>
      <c r="E622" s="17">
        <v>638</v>
      </c>
      <c r="F622" t="s">
        <v>1706</v>
      </c>
      <c r="G622" t="s">
        <v>1724</v>
      </c>
      <c r="H622" t="s">
        <v>1724</v>
      </c>
      <c r="I622">
        <v>1</v>
      </c>
      <c r="J622">
        <v>11.8350374544708</v>
      </c>
      <c r="K622">
        <v>70.728138692232207</v>
      </c>
      <c r="L622">
        <v>17.436823853297</v>
      </c>
      <c r="M622">
        <v>1.5294107149303799</v>
      </c>
      <c r="N622">
        <v>1.1221156815943001</v>
      </c>
      <c r="O622">
        <v>41.986652645730302</v>
      </c>
      <c r="P622">
        <v>21.732675256174101</v>
      </c>
      <c r="Q622">
        <v>10.643862700491299</v>
      </c>
      <c r="R622">
        <v>19.175900284952501</v>
      </c>
      <c r="S622">
        <v>1.0940000000000001</v>
      </c>
      <c r="T622">
        <v>1.119</v>
      </c>
      <c r="U622">
        <v>0.91100000000000003</v>
      </c>
      <c r="V622">
        <v>0.60699999999999998</v>
      </c>
      <c r="W622">
        <v>0.183</v>
      </c>
      <c r="X622">
        <v>0.51200000000000001</v>
      </c>
      <c r="Y622">
        <v>1.3953488372092899</v>
      </c>
      <c r="Z622">
        <v>1.2176560121765601</v>
      </c>
      <c r="AA622">
        <v>8</v>
      </c>
      <c r="AB622">
        <v>0.48199999999999998</v>
      </c>
      <c r="AC622">
        <v>7.0754716981132297</v>
      </c>
      <c r="AD622">
        <v>7.1264367816092102</v>
      </c>
      <c r="AE622">
        <v>5.2999999999999999E-2</v>
      </c>
      <c r="AF622">
        <v>0.03</v>
      </c>
      <c r="AG622">
        <v>1.2047512547326198</v>
      </c>
      <c r="AH622">
        <v>20.641509433962302</v>
      </c>
      <c r="AI622">
        <v>37.299999999999997</v>
      </c>
      <c r="AJ622" t="s">
        <v>1694</v>
      </c>
      <c r="AK622" t="s">
        <v>1694</v>
      </c>
      <c r="AL622" t="s">
        <v>1694</v>
      </c>
      <c r="AM622" t="s">
        <v>1694</v>
      </c>
      <c r="AN622" t="s">
        <v>1694</v>
      </c>
      <c r="AO622" t="s">
        <v>1694</v>
      </c>
      <c r="AP622" t="s">
        <v>1697</v>
      </c>
      <c r="AQ622" t="s">
        <v>1697</v>
      </c>
      <c r="AR622" s="11" t="s">
        <v>1694</v>
      </c>
      <c r="AS622" t="s">
        <v>1694</v>
      </c>
      <c r="AT622" t="s">
        <v>1694</v>
      </c>
      <c r="AU622" t="s">
        <v>1695</v>
      </c>
      <c r="AV622" t="s">
        <v>1694</v>
      </c>
      <c r="AW622" t="s">
        <v>1694</v>
      </c>
      <c r="AX622" t="s">
        <v>1695</v>
      </c>
      <c r="AY622" t="s">
        <v>1694</v>
      </c>
      <c r="AZ622" t="s">
        <v>1694</v>
      </c>
      <c r="BA622" t="s">
        <v>1694</v>
      </c>
      <c r="BB622" t="s">
        <v>1695</v>
      </c>
      <c r="BC622" t="s">
        <v>1694</v>
      </c>
      <c r="BD622" t="s">
        <v>1694</v>
      </c>
      <c r="BE622" t="s">
        <v>1695</v>
      </c>
      <c r="BF622" t="s">
        <v>1694</v>
      </c>
      <c r="BG622">
        <v>10</v>
      </c>
      <c r="BH622" t="s">
        <v>1708</v>
      </c>
      <c r="BI622" t="b">
        <v>0</v>
      </c>
      <c r="BJ622">
        <f t="shared" si="9"/>
        <v>0</v>
      </c>
    </row>
    <row r="623" spans="1:62" x14ac:dyDescent="0.2">
      <c r="A623" s="5" t="s">
        <v>140</v>
      </c>
      <c r="B623" s="6">
        <v>36635</v>
      </c>
      <c r="C623" s="7">
        <v>33.661166999999999</v>
      </c>
      <c r="D623" s="7">
        <v>-111.940242</v>
      </c>
      <c r="E623" s="17">
        <v>486</v>
      </c>
      <c r="F623" t="s">
        <v>1700</v>
      </c>
      <c r="G623" t="s">
        <v>1736</v>
      </c>
      <c r="H623" t="s">
        <v>1737</v>
      </c>
      <c r="I623">
        <v>1</v>
      </c>
      <c r="J623" s="8">
        <v>20.406644701419431</v>
      </c>
      <c r="K623" s="8">
        <v>47.643025943756356</v>
      </c>
      <c r="L623" s="8">
        <v>31.95032935482422</v>
      </c>
      <c r="M623" s="8">
        <v>11.523131643338266</v>
      </c>
      <c r="N623" s="8">
        <v>6.7041828542995079</v>
      </c>
      <c r="O623" s="8">
        <v>143.8789575139609</v>
      </c>
      <c r="P623" s="8">
        <v>73.482968810411123</v>
      </c>
      <c r="Q623" s="8">
        <v>13.332744994870158</v>
      </c>
      <c r="R623" s="8">
        <v>11.132526118705645</v>
      </c>
      <c r="S623" s="8">
        <v>0.43</v>
      </c>
      <c r="T623" s="8">
        <v>0.31900000000000001</v>
      </c>
      <c r="U623" s="8">
        <v>0.28699999999999998</v>
      </c>
      <c r="V623" s="8">
        <v>0.219</v>
      </c>
      <c r="W623" s="8">
        <v>0.14299999999999999</v>
      </c>
      <c r="X623" s="8">
        <v>0.1</v>
      </c>
      <c r="Y623" s="8">
        <v>1.9127799999999999</v>
      </c>
      <c r="Z623" s="8">
        <v>1.61002</v>
      </c>
      <c r="AA623" s="9">
        <v>7.66</v>
      </c>
      <c r="AB623" s="10">
        <v>1.052</v>
      </c>
      <c r="AC623" s="8">
        <v>5.7773099999999999</v>
      </c>
      <c r="AD623" s="8">
        <v>8.4826800000000002</v>
      </c>
      <c r="AE623" s="8">
        <v>0.04</v>
      </c>
      <c r="AF623" s="8">
        <v>2.7E-2</v>
      </c>
      <c r="AG623" s="8">
        <v>1.7790564993755711</v>
      </c>
      <c r="AH623" s="8">
        <v>10.75</v>
      </c>
      <c r="AI623" s="8">
        <v>7.9749999999999996</v>
      </c>
      <c r="AJ623" t="s">
        <v>1694</v>
      </c>
      <c r="AK623" t="s">
        <v>1694</v>
      </c>
      <c r="AL623" t="s">
        <v>1694</v>
      </c>
      <c r="AM623" t="s">
        <v>1694</v>
      </c>
      <c r="AN623" t="s">
        <v>1694</v>
      </c>
      <c r="AO623" t="s">
        <v>1694</v>
      </c>
      <c r="AP623" s="11" t="s">
        <v>1695</v>
      </c>
      <c r="AQ623" s="11" t="s">
        <v>1694</v>
      </c>
      <c r="AR623" s="11" t="s">
        <v>1694</v>
      </c>
      <c r="AS623" t="s">
        <v>1694</v>
      </c>
      <c r="AT623" t="s">
        <v>1694</v>
      </c>
      <c r="AU623" t="s">
        <v>1695</v>
      </c>
      <c r="AV623" t="s">
        <v>1694</v>
      </c>
      <c r="AW623" t="s">
        <v>1694</v>
      </c>
      <c r="AX623" t="s">
        <v>1695</v>
      </c>
      <c r="AY623" t="s">
        <v>1694</v>
      </c>
      <c r="AZ623" s="11" t="s">
        <v>1694</v>
      </c>
      <c r="BA623" t="s">
        <v>1694</v>
      </c>
      <c r="BB623" t="s">
        <v>1695</v>
      </c>
      <c r="BC623" t="s">
        <v>1694</v>
      </c>
      <c r="BD623" t="s">
        <v>1694</v>
      </c>
      <c r="BE623" t="s">
        <v>1714</v>
      </c>
      <c r="BF623" t="s">
        <v>1754</v>
      </c>
      <c r="BG623">
        <v>5</v>
      </c>
      <c r="BH623" s="12" t="s">
        <v>1708</v>
      </c>
      <c r="BI623" t="b">
        <v>0</v>
      </c>
      <c r="BJ623">
        <f t="shared" si="9"/>
        <v>0</v>
      </c>
    </row>
    <row r="624" spans="1:62" x14ac:dyDescent="0.2">
      <c r="A624" s="5" t="s">
        <v>140</v>
      </c>
      <c r="B624" s="6">
        <v>38517</v>
      </c>
      <c r="C624" s="7">
        <v>33.661166999999999</v>
      </c>
      <c r="D624" s="7">
        <v>-111.940242</v>
      </c>
      <c r="E624" s="17">
        <v>486</v>
      </c>
      <c r="F624" t="s">
        <v>1714</v>
      </c>
      <c r="G624" t="s">
        <v>1714</v>
      </c>
      <c r="H624" t="s">
        <v>1754</v>
      </c>
      <c r="I624">
        <v>1</v>
      </c>
      <c r="J624" s="8">
        <v>8.2555599424392287</v>
      </c>
      <c r="K624" s="8">
        <v>71.038807408384983</v>
      </c>
      <c r="L624" s="8">
        <v>20.705632649175783</v>
      </c>
      <c r="M624" s="8">
        <v>2.3660329205113664</v>
      </c>
      <c r="N624" s="8">
        <v>0.88211360618744883</v>
      </c>
      <c r="O624" s="8">
        <v>5.8604815415743072</v>
      </c>
      <c r="P624" s="8">
        <v>1.7838297369568412</v>
      </c>
      <c r="Q624" s="8">
        <v>7.9279069174891932</v>
      </c>
      <c r="R624" s="8">
        <v>4.5236595189099935</v>
      </c>
      <c r="S624" s="8">
        <v>0.97699999999999998</v>
      </c>
      <c r="T624" s="8">
        <v>2.1869999999999998</v>
      </c>
      <c r="U624" s="8">
        <v>0.92700000000000005</v>
      </c>
      <c r="V624" s="8">
        <v>1.633</v>
      </c>
      <c r="W624" s="8">
        <v>4.9999999999999933E-2</v>
      </c>
      <c r="X624" s="8">
        <v>0.55399999999999983</v>
      </c>
      <c r="Y624" s="8">
        <v>2.1223470661672903</v>
      </c>
      <c r="Z624" s="8">
        <v>2.465331278890603</v>
      </c>
      <c r="AA624" s="8">
        <v>9.09</v>
      </c>
      <c r="AB624">
        <v>0.28299999999999997</v>
      </c>
      <c r="AC624" s="8">
        <v>1.6229712858926442</v>
      </c>
      <c r="AD624" s="8">
        <v>6.4714946070878261</v>
      </c>
      <c r="AE624" s="8">
        <v>1.6E-2</v>
      </c>
      <c r="AF624" s="8">
        <v>8.0000000000000002E-3</v>
      </c>
      <c r="AG624" s="8">
        <v>1.8363610341185195</v>
      </c>
      <c r="AH624" s="8">
        <v>61.0625</v>
      </c>
      <c r="AI624" s="8">
        <v>136.6875</v>
      </c>
      <c r="AJ624" t="s">
        <v>1694</v>
      </c>
      <c r="AK624" t="s">
        <v>1694</v>
      </c>
      <c r="AL624" t="s">
        <v>1694</v>
      </c>
      <c r="AM624" t="s">
        <v>1694</v>
      </c>
      <c r="AN624" t="s">
        <v>1694</v>
      </c>
      <c r="AO624" t="s">
        <v>1694</v>
      </c>
      <c r="AP624" s="11" t="s">
        <v>1695</v>
      </c>
      <c r="AQ624" s="11" t="s">
        <v>1694</v>
      </c>
      <c r="AR624" s="11" t="s">
        <v>1694</v>
      </c>
      <c r="AS624" t="s">
        <v>1694</v>
      </c>
      <c r="AT624" t="s">
        <v>1694</v>
      </c>
      <c r="AU624" t="s">
        <v>1695</v>
      </c>
      <c r="AV624" t="s">
        <v>1694</v>
      </c>
      <c r="AW624" t="s">
        <v>1694</v>
      </c>
      <c r="AX624" t="s">
        <v>1695</v>
      </c>
      <c r="AY624" t="s">
        <v>1694</v>
      </c>
      <c r="AZ624" s="11" t="s">
        <v>1694</v>
      </c>
      <c r="BA624" t="s">
        <v>1694</v>
      </c>
      <c r="BB624" t="s">
        <v>1695</v>
      </c>
      <c r="BC624" t="s">
        <v>1694</v>
      </c>
      <c r="BD624" t="s">
        <v>1694</v>
      </c>
      <c r="BE624" t="s">
        <v>1714</v>
      </c>
      <c r="BF624" t="s">
        <v>1754</v>
      </c>
      <c r="BG624">
        <v>5</v>
      </c>
      <c r="BH624" s="12" t="s">
        <v>1708</v>
      </c>
      <c r="BI624" t="b">
        <v>1</v>
      </c>
      <c r="BJ624">
        <f t="shared" si="9"/>
        <v>1</v>
      </c>
    </row>
    <row r="625" spans="1:62" x14ac:dyDescent="0.2">
      <c r="A625" s="5" t="s">
        <v>140</v>
      </c>
      <c r="B625" s="6">
        <v>40340</v>
      </c>
      <c r="C625" s="7">
        <v>33.661166999999999</v>
      </c>
      <c r="D625" s="7">
        <v>-111.940242</v>
      </c>
      <c r="E625" s="17">
        <v>486</v>
      </c>
      <c r="F625" t="s">
        <v>1697</v>
      </c>
      <c r="G625" t="s">
        <v>1697</v>
      </c>
      <c r="H625" t="s">
        <v>1697</v>
      </c>
      <c r="I625" t="s">
        <v>1697</v>
      </c>
      <c r="J625" t="s">
        <v>1697</v>
      </c>
      <c r="K625" t="s">
        <v>1697</v>
      </c>
      <c r="L625" t="s">
        <v>1697</v>
      </c>
      <c r="M625" t="s">
        <v>1697</v>
      </c>
      <c r="N625" t="s">
        <v>1697</v>
      </c>
      <c r="O625" t="s">
        <v>1697</v>
      </c>
      <c r="P625" t="s">
        <v>1697</v>
      </c>
      <c r="Q625" t="s">
        <v>1697</v>
      </c>
      <c r="R625" t="s">
        <v>1697</v>
      </c>
      <c r="S625" t="s">
        <v>1697</v>
      </c>
      <c r="T625" t="s">
        <v>1697</v>
      </c>
      <c r="U625" t="s">
        <v>1697</v>
      </c>
      <c r="V625" t="s">
        <v>1697</v>
      </c>
      <c r="W625" t="s">
        <v>1697</v>
      </c>
      <c r="X625" t="s">
        <v>1697</v>
      </c>
      <c r="Y625" t="s">
        <v>1697</v>
      </c>
      <c r="Z625" t="s">
        <v>1697</v>
      </c>
      <c r="AA625" t="s">
        <v>1697</v>
      </c>
      <c r="AB625" t="s">
        <v>1697</v>
      </c>
      <c r="AC625" t="s">
        <v>1697</v>
      </c>
      <c r="AD625" t="s">
        <v>1697</v>
      </c>
      <c r="AE625" t="s">
        <v>1697</v>
      </c>
      <c r="AF625" t="s">
        <v>1697</v>
      </c>
      <c r="AG625" t="s">
        <v>1697</v>
      </c>
      <c r="AH625" t="s">
        <v>1697</v>
      </c>
      <c r="AI625" t="s">
        <v>1697</v>
      </c>
      <c r="AJ625" t="s">
        <v>1694</v>
      </c>
      <c r="AK625" t="s">
        <v>1694</v>
      </c>
      <c r="AL625" t="s">
        <v>1694</v>
      </c>
      <c r="AM625" t="s">
        <v>1694</v>
      </c>
      <c r="AN625" t="s">
        <v>1694</v>
      </c>
      <c r="AO625" t="s">
        <v>1694</v>
      </c>
      <c r="AP625" s="11" t="s">
        <v>1695</v>
      </c>
      <c r="AQ625" s="11" t="s">
        <v>1694</v>
      </c>
      <c r="AR625" s="11" t="s">
        <v>1694</v>
      </c>
      <c r="AS625" t="s">
        <v>1694</v>
      </c>
      <c r="AT625" t="s">
        <v>1694</v>
      </c>
      <c r="AU625" t="s">
        <v>1695</v>
      </c>
      <c r="AV625" t="s">
        <v>1694</v>
      </c>
      <c r="AW625" t="s">
        <v>1694</v>
      </c>
      <c r="AX625" t="s">
        <v>1695</v>
      </c>
      <c r="AY625" t="s">
        <v>1694</v>
      </c>
      <c r="AZ625" s="11" t="s">
        <v>1694</v>
      </c>
      <c r="BA625" t="s">
        <v>1694</v>
      </c>
      <c r="BB625" t="s">
        <v>1695</v>
      </c>
      <c r="BC625" t="s">
        <v>1694</v>
      </c>
      <c r="BD625" t="s">
        <v>1694</v>
      </c>
      <c r="BE625" t="s">
        <v>1714</v>
      </c>
      <c r="BF625" t="s">
        <v>1754</v>
      </c>
      <c r="BG625" s="6" t="s">
        <v>1697</v>
      </c>
      <c r="BH625" s="6" t="s">
        <v>1697</v>
      </c>
      <c r="BI625" t="b">
        <v>0</v>
      </c>
      <c r="BJ625">
        <f t="shared" si="9"/>
        <v>0</v>
      </c>
    </row>
    <row r="626" spans="1:62" x14ac:dyDescent="0.2">
      <c r="A626" s="5" t="s">
        <v>140</v>
      </c>
      <c r="B626" s="6">
        <v>42101</v>
      </c>
      <c r="C626" s="7">
        <v>33.661166999999999</v>
      </c>
      <c r="D626" s="7">
        <v>-111.940242</v>
      </c>
      <c r="E626" s="17">
        <v>486</v>
      </c>
      <c r="F626" t="s">
        <v>1714</v>
      </c>
      <c r="G626" t="s">
        <v>1714</v>
      </c>
      <c r="H626" t="s">
        <v>1754</v>
      </c>
      <c r="I626">
        <v>1</v>
      </c>
      <c r="J626">
        <v>11.729077708048999</v>
      </c>
      <c r="K626">
        <v>71.238646376672904</v>
      </c>
      <c r="L626">
        <v>17.032275915278099</v>
      </c>
      <c r="M626">
        <v>2.7265873217744798</v>
      </c>
      <c r="N626" t="s">
        <v>1697</v>
      </c>
      <c r="O626">
        <v>72.903404325520896</v>
      </c>
      <c r="P626" t="s">
        <v>1697</v>
      </c>
      <c r="Q626">
        <v>6.8645106511567402</v>
      </c>
      <c r="R626" t="s">
        <v>1697</v>
      </c>
      <c r="S626">
        <v>0.94699999999999995</v>
      </c>
      <c r="T626" t="s">
        <v>1697</v>
      </c>
      <c r="U626">
        <v>0.66900000000000004</v>
      </c>
      <c r="V626" t="s">
        <v>1697</v>
      </c>
      <c r="W626">
        <v>0.27800000000000002</v>
      </c>
      <c r="X626" t="s">
        <v>1697</v>
      </c>
      <c r="Y626">
        <v>1.90274841437634</v>
      </c>
      <c r="Z626" t="s">
        <v>1697</v>
      </c>
      <c r="AA626">
        <v>8.1999999999999993</v>
      </c>
      <c r="AB626">
        <v>2.79</v>
      </c>
      <c r="AC626">
        <v>2.0718232044198701</v>
      </c>
      <c r="AD626" t="s">
        <v>1697</v>
      </c>
      <c r="AE626">
        <v>5.1999999999999998E-2</v>
      </c>
      <c r="AF626" t="s">
        <v>1697</v>
      </c>
      <c r="AG626">
        <v>1.173094977781562</v>
      </c>
      <c r="AH626">
        <v>18.211538461538499</v>
      </c>
      <c r="AI626" t="s">
        <v>1697</v>
      </c>
      <c r="AJ626" t="s">
        <v>1694</v>
      </c>
      <c r="AK626" t="s">
        <v>1694</v>
      </c>
      <c r="AL626" t="s">
        <v>1694</v>
      </c>
      <c r="AM626" t="s">
        <v>1694</v>
      </c>
      <c r="AN626" t="s">
        <v>1694</v>
      </c>
      <c r="AO626" t="s">
        <v>1694</v>
      </c>
      <c r="AP626" t="s">
        <v>1697</v>
      </c>
      <c r="AQ626" t="s">
        <v>1697</v>
      </c>
      <c r="AR626" s="11" t="s">
        <v>1694</v>
      </c>
      <c r="AS626" t="s">
        <v>1694</v>
      </c>
      <c r="AT626" t="s">
        <v>1694</v>
      </c>
      <c r="AU626" t="s">
        <v>1695</v>
      </c>
      <c r="AV626" t="s">
        <v>1694</v>
      </c>
      <c r="AW626" t="s">
        <v>1694</v>
      </c>
      <c r="AX626" t="s">
        <v>1695</v>
      </c>
      <c r="AY626" t="s">
        <v>1694</v>
      </c>
      <c r="AZ626" s="11" t="s">
        <v>1694</v>
      </c>
      <c r="BA626" t="s">
        <v>1694</v>
      </c>
      <c r="BB626" t="s">
        <v>1695</v>
      </c>
      <c r="BC626" t="s">
        <v>1694</v>
      </c>
      <c r="BD626" t="s">
        <v>1694</v>
      </c>
      <c r="BE626" t="s">
        <v>1714</v>
      </c>
      <c r="BF626" t="s">
        <v>1754</v>
      </c>
      <c r="BG626">
        <v>15</v>
      </c>
      <c r="BH626" s="12" t="s">
        <v>1708</v>
      </c>
      <c r="BI626" t="b">
        <v>0</v>
      </c>
      <c r="BJ626">
        <f t="shared" si="9"/>
        <v>0</v>
      </c>
    </row>
    <row r="627" spans="1:62" x14ac:dyDescent="0.2">
      <c r="A627" s="5" t="s">
        <v>141</v>
      </c>
      <c r="B627" s="6">
        <v>36605</v>
      </c>
      <c r="C627" s="7">
        <v>33.627817</v>
      </c>
      <c r="D627" s="7">
        <v>-111.963425</v>
      </c>
      <c r="E627" s="17">
        <v>442</v>
      </c>
      <c r="F627" t="s">
        <v>1697</v>
      </c>
      <c r="G627" t="s">
        <v>1697</v>
      </c>
      <c r="H627" t="s">
        <v>1697</v>
      </c>
      <c r="I627" t="s">
        <v>1697</v>
      </c>
      <c r="J627" t="s">
        <v>1697</v>
      </c>
      <c r="K627" t="s">
        <v>1697</v>
      </c>
      <c r="L627" t="s">
        <v>1697</v>
      </c>
      <c r="M627" t="s">
        <v>1697</v>
      </c>
      <c r="N627" t="s">
        <v>1697</v>
      </c>
      <c r="O627" t="s">
        <v>1697</v>
      </c>
      <c r="P627" t="s">
        <v>1697</v>
      </c>
      <c r="Q627" t="s">
        <v>1697</v>
      </c>
      <c r="R627" t="s">
        <v>1697</v>
      </c>
      <c r="S627" t="s">
        <v>1697</v>
      </c>
      <c r="T627" t="s">
        <v>1697</v>
      </c>
      <c r="U627" t="s">
        <v>1697</v>
      </c>
      <c r="V627" t="s">
        <v>1697</v>
      </c>
      <c r="W627" t="s">
        <v>1697</v>
      </c>
      <c r="X627" t="s">
        <v>1697</v>
      </c>
      <c r="Y627" t="s">
        <v>1697</v>
      </c>
      <c r="Z627" t="s">
        <v>1697</v>
      </c>
      <c r="AA627" t="s">
        <v>1697</v>
      </c>
      <c r="AB627" t="s">
        <v>1697</v>
      </c>
      <c r="AC627" t="s">
        <v>1697</v>
      </c>
      <c r="AD627" t="s">
        <v>1697</v>
      </c>
      <c r="AE627" t="s">
        <v>1697</v>
      </c>
      <c r="AF627" t="s">
        <v>1697</v>
      </c>
      <c r="AG627" t="s">
        <v>1697</v>
      </c>
      <c r="AH627" t="s">
        <v>1697</v>
      </c>
      <c r="AI627" t="s">
        <v>1697</v>
      </c>
      <c r="AJ627" t="s">
        <v>1694</v>
      </c>
      <c r="AK627" t="s">
        <v>1694</v>
      </c>
      <c r="AL627" t="s">
        <v>1694</v>
      </c>
      <c r="AM627" t="s">
        <v>1694</v>
      </c>
      <c r="AN627" t="s">
        <v>1694</v>
      </c>
      <c r="AO627" t="s">
        <v>1694</v>
      </c>
      <c r="AP627" s="11" t="s">
        <v>1695</v>
      </c>
      <c r="AQ627" s="11" t="s">
        <v>1694</v>
      </c>
      <c r="AR627" s="11" t="s">
        <v>1694</v>
      </c>
      <c r="AS627" t="s">
        <v>1694</v>
      </c>
      <c r="AT627" t="s">
        <v>1694</v>
      </c>
      <c r="AU627" t="s">
        <v>1734</v>
      </c>
      <c r="AV627" t="s">
        <v>1734</v>
      </c>
      <c r="AW627" t="s">
        <v>1706</v>
      </c>
      <c r="AX627" t="s">
        <v>1706</v>
      </c>
      <c r="AY627" t="s">
        <v>1723</v>
      </c>
      <c r="AZ627" t="s">
        <v>1706</v>
      </c>
      <c r="BA627" t="s">
        <v>1700</v>
      </c>
      <c r="BB627" t="s">
        <v>1706</v>
      </c>
      <c r="BC627" t="s">
        <v>1723</v>
      </c>
      <c r="BD627" t="s">
        <v>1706</v>
      </c>
      <c r="BE627" t="s">
        <v>1706</v>
      </c>
      <c r="BF627" t="s">
        <v>1723</v>
      </c>
      <c r="BG627" s="6" t="s">
        <v>1697</v>
      </c>
      <c r="BH627" s="6" t="s">
        <v>1697</v>
      </c>
      <c r="BI627" t="b">
        <v>0</v>
      </c>
      <c r="BJ627">
        <f t="shared" si="9"/>
        <v>0</v>
      </c>
    </row>
    <row r="628" spans="1:62" x14ac:dyDescent="0.2">
      <c r="A628" s="5" t="s">
        <v>141</v>
      </c>
      <c r="B628" s="6">
        <v>38439</v>
      </c>
      <c r="C628" s="7">
        <v>33.627817</v>
      </c>
      <c r="D628" s="7">
        <v>-111.963425</v>
      </c>
      <c r="E628" s="17">
        <v>442</v>
      </c>
      <c r="F628" t="s">
        <v>1706</v>
      </c>
      <c r="G628" t="s">
        <v>1724</v>
      </c>
      <c r="H628" t="s">
        <v>1724</v>
      </c>
      <c r="I628">
        <v>1</v>
      </c>
      <c r="J628" s="8">
        <v>17.657221282698355</v>
      </c>
      <c r="K628" s="8">
        <v>54.629609747521123</v>
      </c>
      <c r="L628" s="8">
        <v>27.713168969780526</v>
      </c>
      <c r="M628" s="8">
        <v>1.9490472478019327</v>
      </c>
      <c r="N628" s="8">
        <v>1.2947127850914271</v>
      </c>
      <c r="O628" s="8">
        <v>11.574342117716094</v>
      </c>
      <c r="P628" s="8">
        <v>10.403398026087585</v>
      </c>
      <c r="Q628" s="8">
        <v>14.1959591441538</v>
      </c>
      <c r="R628" s="8">
        <v>24.057052401354913</v>
      </c>
      <c r="S628" s="8">
        <v>0.67400000000000004</v>
      </c>
      <c r="T628" s="8">
        <v>0.153</v>
      </c>
      <c r="U628" s="8">
        <v>3.5999999999999997E-2</v>
      </c>
      <c r="V628" s="8">
        <v>4.1000000000000002E-2</v>
      </c>
      <c r="W628" s="8">
        <v>0.63800000000000001</v>
      </c>
      <c r="X628" s="8">
        <v>0.11199999999999999</v>
      </c>
      <c r="Y628" s="8">
        <v>3.1203566121842621</v>
      </c>
      <c r="Z628" s="8">
        <v>2.7672955974842846</v>
      </c>
      <c r="AA628" s="8">
        <v>7.85</v>
      </c>
      <c r="AB628">
        <v>1.26</v>
      </c>
      <c r="AC628" s="8">
        <v>11.589895988112916</v>
      </c>
      <c r="AD628" s="8">
        <v>13.710691823899367</v>
      </c>
      <c r="AE628" s="8">
        <v>5.5E-2</v>
      </c>
      <c r="AF628" s="8">
        <v>2.5000000000000001E-2</v>
      </c>
      <c r="AG628" s="8">
        <v>1.3362127272844306</v>
      </c>
      <c r="AH628" s="8">
        <v>12.254545454545456</v>
      </c>
      <c r="AI628" s="8">
        <v>2.7818181818181817</v>
      </c>
      <c r="AJ628" t="s">
        <v>1694</v>
      </c>
      <c r="AK628" t="s">
        <v>1694</v>
      </c>
      <c r="AL628" t="s">
        <v>1694</v>
      </c>
      <c r="AM628" t="s">
        <v>1694</v>
      </c>
      <c r="AN628" t="s">
        <v>1694</v>
      </c>
      <c r="AO628" t="s">
        <v>1694</v>
      </c>
      <c r="AP628" s="11" t="s">
        <v>1695</v>
      </c>
      <c r="AQ628" s="11" t="s">
        <v>1694</v>
      </c>
      <c r="AR628" s="11" t="s">
        <v>1694</v>
      </c>
      <c r="AS628" t="s">
        <v>1694</v>
      </c>
      <c r="AT628" t="s">
        <v>1694</v>
      </c>
      <c r="AU628" t="s">
        <v>1734</v>
      </c>
      <c r="AV628" t="s">
        <v>1734</v>
      </c>
      <c r="AW628" t="s">
        <v>1706</v>
      </c>
      <c r="AX628" t="s">
        <v>1706</v>
      </c>
      <c r="AY628" t="s">
        <v>1723</v>
      </c>
      <c r="AZ628" t="s">
        <v>1706</v>
      </c>
      <c r="BA628" t="s">
        <v>1700</v>
      </c>
      <c r="BB628" t="s">
        <v>1706</v>
      </c>
      <c r="BC628" t="s">
        <v>1723</v>
      </c>
      <c r="BD628" t="s">
        <v>1706</v>
      </c>
      <c r="BE628" t="s">
        <v>1706</v>
      </c>
      <c r="BF628" t="s">
        <v>1723</v>
      </c>
      <c r="BG628">
        <v>30</v>
      </c>
      <c r="BH628" s="12" t="s">
        <v>1709</v>
      </c>
      <c r="BI628" t="b">
        <v>0</v>
      </c>
      <c r="BJ628">
        <f t="shared" si="9"/>
        <v>0</v>
      </c>
    </row>
    <row r="629" spans="1:62" x14ac:dyDescent="0.2">
      <c r="A629" s="5" t="s">
        <v>142</v>
      </c>
      <c r="B629" s="6">
        <v>38488</v>
      </c>
      <c r="C629" s="7">
        <v>33.581381</v>
      </c>
      <c r="D629" s="7">
        <v>-111.941942</v>
      </c>
      <c r="E629" s="17">
        <v>412</v>
      </c>
      <c r="F629" t="s">
        <v>1706</v>
      </c>
      <c r="G629" t="s">
        <v>1724</v>
      </c>
      <c r="H629" t="s">
        <v>1724</v>
      </c>
      <c r="I629">
        <v>1</v>
      </c>
      <c r="J629" s="8">
        <v>10.440075453895293</v>
      </c>
      <c r="K629" s="8">
        <v>59.815868430173545</v>
      </c>
      <c r="L629" s="8">
        <v>29.744056115931159</v>
      </c>
      <c r="M629" s="8">
        <v>0.62638677240046303</v>
      </c>
      <c r="N629" s="8">
        <v>1.4567454529847901</v>
      </c>
      <c r="O629" s="8">
        <v>4.2202808790481194</v>
      </c>
      <c r="P629" s="8">
        <v>2.5684722460521301</v>
      </c>
      <c r="Q629" s="8">
        <v>5.7927417487441879</v>
      </c>
      <c r="R629" s="8">
        <v>11.53997003728924</v>
      </c>
      <c r="S629" s="8">
        <v>0.98199999999999998</v>
      </c>
      <c r="T629" s="8">
        <v>0.45400000000000001</v>
      </c>
      <c r="U629" s="8">
        <v>0.78</v>
      </c>
      <c r="V629" s="8">
        <v>0.26600000000000001</v>
      </c>
      <c r="W629" s="8">
        <v>0.20199999999999996</v>
      </c>
      <c r="X629" s="8">
        <v>0.188</v>
      </c>
      <c r="Y629" s="8">
        <v>2.7826086956521765</v>
      </c>
      <c r="Z629" s="8">
        <v>2.4043715846994602</v>
      </c>
      <c r="AA629" s="8">
        <v>8.5399999999999991</v>
      </c>
      <c r="AB629">
        <v>0.21199999999999999</v>
      </c>
      <c r="AC629" s="8">
        <v>4.5217391304347787</v>
      </c>
      <c r="AD629" s="8">
        <v>7.431693989071035</v>
      </c>
      <c r="AE629" s="8">
        <v>2.7E-2</v>
      </c>
      <c r="AF629" s="8">
        <v>2.7E-2</v>
      </c>
      <c r="AG629" s="8">
        <v>1.5328112182583207</v>
      </c>
      <c r="AH629" s="8">
        <v>36.370370370370367</v>
      </c>
      <c r="AI629" s="8">
        <v>16.814814814814817</v>
      </c>
      <c r="AJ629" t="s">
        <v>1694</v>
      </c>
      <c r="AK629" t="s">
        <v>1694</v>
      </c>
      <c r="AL629" t="s">
        <v>1694</v>
      </c>
      <c r="AM629" t="s">
        <v>1694</v>
      </c>
      <c r="AN629" t="s">
        <v>1694</v>
      </c>
      <c r="AO629" t="s">
        <v>1694</v>
      </c>
      <c r="AP629" s="11" t="s">
        <v>1697</v>
      </c>
      <c r="AQ629" s="11" t="s">
        <v>1697</v>
      </c>
      <c r="AR629" s="11" t="s">
        <v>1697</v>
      </c>
      <c r="AS629" t="s">
        <v>1700</v>
      </c>
      <c r="AT629" t="s">
        <v>1700</v>
      </c>
      <c r="AU629" t="s">
        <v>1706</v>
      </c>
      <c r="AV629" t="s">
        <v>1735</v>
      </c>
      <c r="AW629" t="s">
        <v>1706</v>
      </c>
      <c r="AX629" t="s">
        <v>1706</v>
      </c>
      <c r="AY629" t="s">
        <v>1735</v>
      </c>
      <c r="AZ629" t="s">
        <v>1706</v>
      </c>
      <c r="BA629" t="s">
        <v>1700</v>
      </c>
      <c r="BB629" t="s">
        <v>1706</v>
      </c>
      <c r="BC629" t="s">
        <v>1735</v>
      </c>
      <c r="BD629" t="s">
        <v>1706</v>
      </c>
      <c r="BE629" t="s">
        <v>1706</v>
      </c>
      <c r="BF629" t="s">
        <v>1735</v>
      </c>
      <c r="BG629">
        <v>30</v>
      </c>
      <c r="BH629" s="12" t="s">
        <v>1709</v>
      </c>
      <c r="BI629" t="b">
        <v>0</v>
      </c>
      <c r="BJ629">
        <f t="shared" si="9"/>
        <v>0</v>
      </c>
    </row>
    <row r="630" spans="1:62" x14ac:dyDescent="0.2">
      <c r="A630" s="5" t="s">
        <v>142</v>
      </c>
      <c r="B630" s="6">
        <v>40330</v>
      </c>
      <c r="C630" s="7">
        <v>33.581381</v>
      </c>
      <c r="D630" s="7">
        <v>-111.941942</v>
      </c>
      <c r="E630" s="17">
        <v>412</v>
      </c>
      <c r="F630" t="s">
        <v>1706</v>
      </c>
      <c r="G630" t="s">
        <v>1724</v>
      </c>
      <c r="H630" t="s">
        <v>1724</v>
      </c>
      <c r="I630">
        <v>1</v>
      </c>
      <c r="J630" s="8">
        <v>14.950727175131972</v>
      </c>
      <c r="K630" s="8">
        <v>67.499638163598036</v>
      </c>
      <c r="L630" s="8">
        <v>17.549634661269991</v>
      </c>
      <c r="M630" s="8">
        <v>1.702877374248664</v>
      </c>
      <c r="N630" s="8">
        <v>0.38407414457637667</v>
      </c>
      <c r="O630" s="8">
        <v>3.4734828258822179</v>
      </c>
      <c r="P630" s="8">
        <v>1.6833476361785775</v>
      </c>
      <c r="Q630" s="8">
        <v>20.665987551561457</v>
      </c>
      <c r="R630" s="8">
        <v>2.5000000000000001E-3</v>
      </c>
      <c r="S630" s="8">
        <v>1.35</v>
      </c>
      <c r="T630" s="8">
        <v>0.443</v>
      </c>
      <c r="U630" s="8">
        <v>1.048</v>
      </c>
      <c r="V630" s="8">
        <v>0.39800000000000002</v>
      </c>
      <c r="W630" s="8">
        <v>0.30200000000000005</v>
      </c>
      <c r="X630" s="8">
        <v>4.4999999999999984E-2</v>
      </c>
      <c r="Y630" s="8">
        <v>3.3726812816189047</v>
      </c>
      <c r="Z630" s="8">
        <v>3.0534351145038197</v>
      </c>
      <c r="AA630" s="8">
        <v>8.49</v>
      </c>
      <c r="AB630">
        <v>0.22500000000000001</v>
      </c>
      <c r="AC630" s="8">
        <v>2.698145025295112</v>
      </c>
      <c r="AD630" s="8">
        <v>3.8167938931297574</v>
      </c>
      <c r="AE630" s="8">
        <v>5.0999999999999997E-2</v>
      </c>
      <c r="AF630" s="8">
        <v>2.7E-2</v>
      </c>
      <c r="AG630" s="8">
        <v>1.8700881713986353</v>
      </c>
      <c r="AH630" s="8">
        <v>26.47058823529412</v>
      </c>
      <c r="AI630" s="8">
        <v>8.6862745098039227</v>
      </c>
      <c r="AJ630" t="s">
        <v>1694</v>
      </c>
      <c r="AK630" t="s">
        <v>1694</v>
      </c>
      <c r="AL630" t="s">
        <v>1694</v>
      </c>
      <c r="AM630" t="s">
        <v>1694</v>
      </c>
      <c r="AN630" t="s">
        <v>1694</v>
      </c>
      <c r="AO630" t="s">
        <v>1694</v>
      </c>
      <c r="AP630" s="11" t="s">
        <v>1697</v>
      </c>
      <c r="AQ630" s="11" t="s">
        <v>1697</v>
      </c>
      <c r="AR630" s="11" t="s">
        <v>1697</v>
      </c>
      <c r="AS630" t="s">
        <v>1700</v>
      </c>
      <c r="AT630" t="s">
        <v>1700</v>
      </c>
      <c r="AU630" t="s">
        <v>1706</v>
      </c>
      <c r="AV630" t="s">
        <v>1735</v>
      </c>
      <c r="AW630" t="s">
        <v>1706</v>
      </c>
      <c r="AX630" t="s">
        <v>1706</v>
      </c>
      <c r="AY630" t="s">
        <v>1735</v>
      </c>
      <c r="AZ630" t="s">
        <v>1706</v>
      </c>
      <c r="BA630" t="s">
        <v>1700</v>
      </c>
      <c r="BB630" t="s">
        <v>1706</v>
      </c>
      <c r="BC630" t="s">
        <v>1735</v>
      </c>
      <c r="BD630" t="s">
        <v>1706</v>
      </c>
      <c r="BE630" t="s">
        <v>1706</v>
      </c>
      <c r="BF630" t="s">
        <v>1735</v>
      </c>
      <c r="BG630">
        <v>35</v>
      </c>
      <c r="BH630" s="12" t="s">
        <v>1709</v>
      </c>
      <c r="BI630" t="b">
        <v>0</v>
      </c>
      <c r="BJ630">
        <f t="shared" si="9"/>
        <v>0</v>
      </c>
    </row>
    <row r="631" spans="1:62" x14ac:dyDescent="0.2">
      <c r="A631" s="5" t="s">
        <v>142</v>
      </c>
      <c r="B631" s="6">
        <v>42145</v>
      </c>
      <c r="C631" s="7">
        <v>33.581381</v>
      </c>
      <c r="D631" s="7">
        <v>-111.941942</v>
      </c>
      <c r="E631" s="17">
        <v>412</v>
      </c>
      <c r="F631" t="s">
        <v>1706</v>
      </c>
      <c r="G631" t="s">
        <v>1724</v>
      </c>
      <c r="H631" t="s">
        <v>1724</v>
      </c>
      <c r="I631">
        <v>1</v>
      </c>
      <c r="J631">
        <v>6.85466260055746</v>
      </c>
      <c r="K631">
        <v>74.281623028288905</v>
      </c>
      <c r="L631">
        <v>18.863714371153598</v>
      </c>
      <c r="M631">
        <v>2.0285009208876699</v>
      </c>
      <c r="N631">
        <v>4.5102668751323201</v>
      </c>
      <c r="O631">
        <v>60.855027626630203</v>
      </c>
      <c r="P631">
        <v>15.0584716637482</v>
      </c>
      <c r="Q631">
        <v>10.161559790789299</v>
      </c>
      <c r="R631">
        <v>10.302692565661401</v>
      </c>
      <c r="S631">
        <v>1.7110000000000001</v>
      </c>
      <c r="T631">
        <v>0.94899999999999995</v>
      </c>
      <c r="U631">
        <v>0.99</v>
      </c>
      <c r="V631">
        <v>0.81799999999999995</v>
      </c>
      <c r="W631">
        <v>0.72099999999999997</v>
      </c>
      <c r="X631">
        <v>0.13100000000000001</v>
      </c>
      <c r="Y631">
        <v>2.3041474654377798</v>
      </c>
      <c r="Z631">
        <v>1.67664670658681</v>
      </c>
      <c r="AA631">
        <v>8.15</v>
      </c>
      <c r="AB631">
        <v>0.40799999999999997</v>
      </c>
      <c r="AC631">
        <v>6.0747663551401798</v>
      </c>
      <c r="AD631">
        <v>5.3921568627451002</v>
      </c>
      <c r="AE631">
        <v>6.8000000000000005E-2</v>
      </c>
      <c r="AF631">
        <v>1.7000000000000001E-2</v>
      </c>
      <c r="AG631">
        <v>1.4857973010595009</v>
      </c>
      <c r="AH631">
        <v>25.161764705882401</v>
      </c>
      <c r="AI631">
        <v>55.823529411764703</v>
      </c>
      <c r="AJ631" t="s">
        <v>1694</v>
      </c>
      <c r="AK631" t="s">
        <v>1694</v>
      </c>
      <c r="AL631" t="s">
        <v>1694</v>
      </c>
      <c r="AM631" t="s">
        <v>1694</v>
      </c>
      <c r="AN631" t="s">
        <v>1694</v>
      </c>
      <c r="AO631" t="s">
        <v>1694</v>
      </c>
      <c r="AP631" t="s">
        <v>1697</v>
      </c>
      <c r="AQ631" t="s">
        <v>1697</v>
      </c>
      <c r="AR631" s="11" t="s">
        <v>1697</v>
      </c>
      <c r="AS631" t="s">
        <v>1700</v>
      </c>
      <c r="AT631" t="s">
        <v>1700</v>
      </c>
      <c r="AU631" t="s">
        <v>1706</v>
      </c>
      <c r="AV631" t="s">
        <v>1735</v>
      </c>
      <c r="AW631" t="s">
        <v>1706</v>
      </c>
      <c r="AX631" t="s">
        <v>1706</v>
      </c>
      <c r="AY631" t="s">
        <v>1735</v>
      </c>
      <c r="AZ631" t="s">
        <v>1706</v>
      </c>
      <c r="BA631" t="s">
        <v>1700</v>
      </c>
      <c r="BB631" t="s">
        <v>1706</v>
      </c>
      <c r="BC631" t="s">
        <v>1735</v>
      </c>
      <c r="BD631" t="s">
        <v>1706</v>
      </c>
      <c r="BE631" t="s">
        <v>1706</v>
      </c>
      <c r="BF631" t="s">
        <v>1735</v>
      </c>
      <c r="BG631">
        <v>40</v>
      </c>
      <c r="BH631" s="12" t="s">
        <v>1709</v>
      </c>
      <c r="BI631" t="b">
        <v>0</v>
      </c>
      <c r="BJ631">
        <f t="shared" si="9"/>
        <v>0</v>
      </c>
    </row>
    <row r="632" spans="1:62" x14ac:dyDescent="0.2">
      <c r="A632" s="5" t="s">
        <v>143</v>
      </c>
      <c r="B632" s="6">
        <v>38463</v>
      </c>
      <c r="C632" s="7">
        <v>33.548980999999998</v>
      </c>
      <c r="D632" s="7">
        <v>-111.95765</v>
      </c>
      <c r="E632" s="17">
        <v>645</v>
      </c>
      <c r="F632" t="s">
        <v>1694</v>
      </c>
      <c r="G632" t="s">
        <v>1694</v>
      </c>
      <c r="H632" t="s">
        <v>1694</v>
      </c>
      <c r="I632">
        <v>0</v>
      </c>
      <c r="J632" s="8">
        <v>6.1120675281446797</v>
      </c>
      <c r="K632" s="8">
        <v>58.069822817053023</v>
      </c>
      <c r="L632" s="8">
        <v>35.818109654802299</v>
      </c>
      <c r="M632" s="8">
        <v>1.4517079939692619</v>
      </c>
      <c r="N632" s="8">
        <v>2.0792325500823732</v>
      </c>
      <c r="O632" s="8">
        <v>2.4734870820322428</v>
      </c>
      <c r="P632" s="8">
        <v>0.94408396868605082</v>
      </c>
      <c r="Q632" s="8">
        <v>5.0529341941150783</v>
      </c>
      <c r="R632" s="8">
        <v>0.85545567774817644</v>
      </c>
      <c r="S632" s="8">
        <v>0.54900000000000004</v>
      </c>
      <c r="T632" s="8">
        <v>0.34399999999999997</v>
      </c>
      <c r="U632" s="8">
        <v>0.03</v>
      </c>
      <c r="V632" s="8">
        <v>2.5999999999999999E-2</v>
      </c>
      <c r="W632" s="8">
        <v>0.51900000000000002</v>
      </c>
      <c r="X632" s="8">
        <v>0.31799999999999995</v>
      </c>
      <c r="Y632" s="8">
        <v>3.1952662721893432</v>
      </c>
      <c r="Z632" s="8">
        <v>2.5449101796407176</v>
      </c>
      <c r="AA632" s="8">
        <v>6.16</v>
      </c>
      <c r="AB632">
        <v>0.108</v>
      </c>
      <c r="AC632" s="8">
        <v>0.94674556213017824</v>
      </c>
      <c r="AD632" s="8">
        <v>1.4970059880239468</v>
      </c>
      <c r="AE632" s="8">
        <v>5.8000000000000003E-2</v>
      </c>
      <c r="AF632" s="8">
        <v>3.9E-2</v>
      </c>
      <c r="AG632" s="8">
        <v>1.1020815914806565</v>
      </c>
      <c r="AH632" s="8">
        <v>9.4655172413793114</v>
      </c>
      <c r="AI632" s="8">
        <v>5.9310344827586201</v>
      </c>
      <c r="AJ632" t="s">
        <v>1694</v>
      </c>
      <c r="AK632" t="s">
        <v>1694</v>
      </c>
      <c r="AL632" t="s">
        <v>1694</v>
      </c>
      <c r="AM632" t="s">
        <v>1694</v>
      </c>
      <c r="AN632" t="s">
        <v>1694</v>
      </c>
      <c r="AO632" t="s">
        <v>1694</v>
      </c>
      <c r="AP632" s="11" t="s">
        <v>1695</v>
      </c>
      <c r="AQ632" s="11" t="s">
        <v>1694</v>
      </c>
      <c r="AR632" s="11" t="s">
        <v>1694</v>
      </c>
      <c r="AS632" t="s">
        <v>1694</v>
      </c>
      <c r="AT632" t="s">
        <v>1694</v>
      </c>
      <c r="AU632" t="s">
        <v>1695</v>
      </c>
      <c r="AV632" t="s">
        <v>1694</v>
      </c>
      <c r="AW632" t="s">
        <v>1694</v>
      </c>
      <c r="AX632" t="s">
        <v>1695</v>
      </c>
      <c r="AY632" t="s">
        <v>1694</v>
      </c>
      <c r="AZ632" t="s">
        <v>1694</v>
      </c>
      <c r="BA632" t="s">
        <v>1694</v>
      </c>
      <c r="BB632" t="s">
        <v>1695</v>
      </c>
      <c r="BC632" t="s">
        <v>1694</v>
      </c>
      <c r="BD632" t="s">
        <v>1694</v>
      </c>
      <c r="BE632" t="s">
        <v>1695</v>
      </c>
      <c r="BF632" t="s">
        <v>1696</v>
      </c>
      <c r="BG632" t="s">
        <v>1697</v>
      </c>
      <c r="BH632" t="s">
        <v>1698</v>
      </c>
      <c r="BI632" t="b">
        <v>0</v>
      </c>
      <c r="BJ632">
        <f t="shared" si="9"/>
        <v>0</v>
      </c>
    </row>
    <row r="633" spans="1:62" x14ac:dyDescent="0.2">
      <c r="A633" s="5" t="s">
        <v>144</v>
      </c>
      <c r="B633" s="6">
        <v>38435</v>
      </c>
      <c r="C633" s="7">
        <v>33.517169000000003</v>
      </c>
      <c r="D633" s="7">
        <v>-111.96472799999999</v>
      </c>
      <c r="E633" s="17">
        <v>650</v>
      </c>
      <c r="F633" t="s">
        <v>1694</v>
      </c>
      <c r="G633" t="s">
        <v>1694</v>
      </c>
      <c r="H633" t="s">
        <v>1694</v>
      </c>
      <c r="I633">
        <v>0</v>
      </c>
      <c r="J633" s="8">
        <v>8.6720177491002701</v>
      </c>
      <c r="K633" s="8">
        <v>66.376668525778712</v>
      </c>
      <c r="L633" s="8">
        <v>24.951313725121025</v>
      </c>
      <c r="M633" s="8">
        <v>3.1741175219033724</v>
      </c>
      <c r="N633" s="8">
        <v>3.039388209322524</v>
      </c>
      <c r="O633" s="8">
        <v>2.3683799971125157</v>
      </c>
      <c r="P633" s="8">
        <v>1.2643854950781699</v>
      </c>
      <c r="Q633" s="8">
        <v>20.489274804993709</v>
      </c>
      <c r="R633" s="8">
        <v>4.5116975104862505</v>
      </c>
      <c r="S633" s="8">
        <v>1.514</v>
      </c>
      <c r="T633" s="8">
        <v>0.51900000000000002</v>
      </c>
      <c r="U633" s="8">
        <v>3.5999999999999997E-2</v>
      </c>
      <c r="V633" s="8">
        <v>7.3999999999999996E-2</v>
      </c>
      <c r="W633" s="8">
        <v>1.478</v>
      </c>
      <c r="X633" s="8">
        <v>0.44500000000000001</v>
      </c>
      <c r="Y633" s="8">
        <v>4.0677966101694798</v>
      </c>
      <c r="Z633" s="8">
        <v>1.5999999999999945</v>
      </c>
      <c r="AA633" s="8">
        <v>7.79</v>
      </c>
      <c r="AB633">
        <v>0.17100000000000001</v>
      </c>
      <c r="AC633" s="8">
        <v>4.7457627118644261</v>
      </c>
      <c r="AD633" s="8">
        <v>4</v>
      </c>
      <c r="AE633" s="8">
        <v>0.151</v>
      </c>
      <c r="AF633" s="8">
        <v>4.1000000000000002E-2</v>
      </c>
      <c r="AG633" s="8">
        <v>1.1682971088256648</v>
      </c>
      <c r="AH633" s="8">
        <v>10.026490066225167</v>
      </c>
      <c r="AI633" s="8">
        <v>3.4370860927152318</v>
      </c>
      <c r="AJ633" t="s">
        <v>1694</v>
      </c>
      <c r="AK633" t="s">
        <v>1694</v>
      </c>
      <c r="AL633" t="s">
        <v>1694</v>
      </c>
      <c r="AM633" t="s">
        <v>1694</v>
      </c>
      <c r="AN633" t="s">
        <v>1694</v>
      </c>
      <c r="AO633" t="s">
        <v>1694</v>
      </c>
      <c r="AP633" s="11" t="s">
        <v>1695</v>
      </c>
      <c r="AQ633" s="11" t="s">
        <v>1694</v>
      </c>
      <c r="AR633" s="11" t="s">
        <v>1694</v>
      </c>
      <c r="AS633" t="s">
        <v>1694</v>
      </c>
      <c r="AT633" t="s">
        <v>1694</v>
      </c>
      <c r="AU633" t="s">
        <v>1695</v>
      </c>
      <c r="AV633" t="s">
        <v>1694</v>
      </c>
      <c r="AW633" t="s">
        <v>1694</v>
      </c>
      <c r="AX633" t="s">
        <v>1695</v>
      </c>
      <c r="AY633" t="s">
        <v>1694</v>
      </c>
      <c r="AZ633" t="s">
        <v>1694</v>
      </c>
      <c r="BA633" t="s">
        <v>1694</v>
      </c>
      <c r="BB633" t="s">
        <v>1695</v>
      </c>
      <c r="BC633" t="s">
        <v>1694</v>
      </c>
      <c r="BD633" t="s">
        <v>1694</v>
      </c>
      <c r="BE633" t="s">
        <v>1695</v>
      </c>
      <c r="BF633" t="s">
        <v>1694</v>
      </c>
      <c r="BG633" t="s">
        <v>1697</v>
      </c>
      <c r="BH633" t="s">
        <v>1698</v>
      </c>
      <c r="BI633" t="b">
        <v>0</v>
      </c>
      <c r="BJ633">
        <f t="shared" si="9"/>
        <v>0</v>
      </c>
    </row>
    <row r="634" spans="1:62" x14ac:dyDescent="0.2">
      <c r="A634" s="5" t="s">
        <v>144</v>
      </c>
      <c r="B634" s="6">
        <v>40228</v>
      </c>
      <c r="C634" s="7">
        <v>33.517169000000003</v>
      </c>
      <c r="D634" s="7">
        <v>-111.96472799999999</v>
      </c>
      <c r="E634" s="17">
        <v>650</v>
      </c>
      <c r="F634" t="s">
        <v>1694</v>
      </c>
      <c r="G634" t="s">
        <v>1694</v>
      </c>
      <c r="H634" t="s">
        <v>1694</v>
      </c>
      <c r="I634">
        <v>0</v>
      </c>
      <c r="J634" s="8">
        <v>11.25665116797768</v>
      </c>
      <c r="K634" s="8">
        <v>59.623063596474509</v>
      </c>
      <c r="L634" s="8">
        <v>29.120285235547811</v>
      </c>
      <c r="M634" s="8">
        <v>5.0000000000000001E-3</v>
      </c>
      <c r="N634" s="8">
        <v>5.0000000000000001E-3</v>
      </c>
      <c r="O634" s="8">
        <v>31.727634732834346</v>
      </c>
      <c r="P634" s="8">
        <v>10.713201950710213</v>
      </c>
      <c r="Q634" s="8">
        <v>37.124241859586945</v>
      </c>
      <c r="R634" s="8">
        <v>21.301468601703686</v>
      </c>
      <c r="S634" s="8">
        <v>1.44</v>
      </c>
      <c r="T634" s="8">
        <v>0.73199999999999998</v>
      </c>
      <c r="U634" s="8">
        <v>1.7000000000000001E-2</v>
      </c>
      <c r="V634" s="8">
        <v>0.29799999999999999</v>
      </c>
      <c r="W634" s="8">
        <v>1.423</v>
      </c>
      <c r="X634" s="8">
        <v>0.434</v>
      </c>
      <c r="Y634" s="8">
        <v>3.2854209445585072</v>
      </c>
      <c r="Z634" s="8">
        <v>1.9817073170731825</v>
      </c>
      <c r="AA634" s="8">
        <v>6</v>
      </c>
      <c r="AB634">
        <v>1.2030000000000001</v>
      </c>
      <c r="AC634" s="8">
        <v>6.3655030800821466</v>
      </c>
      <c r="AD634" s="8">
        <v>7.0121951219512049</v>
      </c>
      <c r="AE634" s="8">
        <v>0.13500000000000001</v>
      </c>
      <c r="AF634" s="8">
        <v>4.4999999999999998E-2</v>
      </c>
      <c r="AG634" s="8">
        <v>1.3879517530694669</v>
      </c>
      <c r="AH634" s="8">
        <v>10.666666666666666</v>
      </c>
      <c r="AI634" s="8">
        <v>5.4222222222222216</v>
      </c>
      <c r="AJ634" t="s">
        <v>1694</v>
      </c>
      <c r="AK634" t="s">
        <v>1694</v>
      </c>
      <c r="AL634" t="s">
        <v>1694</v>
      </c>
      <c r="AM634" t="s">
        <v>1694</v>
      </c>
      <c r="AN634" t="s">
        <v>1694</v>
      </c>
      <c r="AO634" t="s">
        <v>1694</v>
      </c>
      <c r="AP634" s="11" t="s">
        <v>1695</v>
      </c>
      <c r="AQ634" s="11" t="s">
        <v>1694</v>
      </c>
      <c r="AR634" s="11" t="s">
        <v>1694</v>
      </c>
      <c r="AS634" t="s">
        <v>1694</v>
      </c>
      <c r="AT634" t="s">
        <v>1694</v>
      </c>
      <c r="AU634" t="s">
        <v>1695</v>
      </c>
      <c r="AV634" t="s">
        <v>1694</v>
      </c>
      <c r="AW634" t="s">
        <v>1694</v>
      </c>
      <c r="AX634" t="s">
        <v>1695</v>
      </c>
      <c r="AY634" t="s">
        <v>1694</v>
      </c>
      <c r="AZ634" t="s">
        <v>1694</v>
      </c>
      <c r="BA634" t="s">
        <v>1694</v>
      </c>
      <c r="BB634" t="s">
        <v>1695</v>
      </c>
      <c r="BC634" t="s">
        <v>1694</v>
      </c>
      <c r="BD634" t="s">
        <v>1694</v>
      </c>
      <c r="BE634" t="s">
        <v>1695</v>
      </c>
      <c r="BF634" t="s">
        <v>1694</v>
      </c>
      <c r="BG634" t="s">
        <v>1697</v>
      </c>
      <c r="BH634" t="s">
        <v>1698</v>
      </c>
      <c r="BI634" t="b">
        <v>0</v>
      </c>
      <c r="BJ634">
        <f t="shared" si="9"/>
        <v>0</v>
      </c>
    </row>
    <row r="635" spans="1:62" x14ac:dyDescent="0.2">
      <c r="A635" s="5" t="s">
        <v>144</v>
      </c>
      <c r="B635" s="6">
        <v>42107</v>
      </c>
      <c r="C635" s="7">
        <v>33.517169000000003</v>
      </c>
      <c r="D635" s="7">
        <v>-111.96472799999999</v>
      </c>
      <c r="E635" s="17">
        <v>650</v>
      </c>
      <c r="F635" t="s">
        <v>1694</v>
      </c>
      <c r="G635" t="s">
        <v>1694</v>
      </c>
      <c r="H635" t="s">
        <v>1694</v>
      </c>
      <c r="I635">
        <v>0</v>
      </c>
      <c r="J635">
        <v>6.0195788520640203</v>
      </c>
      <c r="K635">
        <v>86.014211728396404</v>
      </c>
      <c r="L635">
        <v>7.9662094195396103</v>
      </c>
      <c r="M635">
        <v>4.4590044742054804</v>
      </c>
      <c r="N635">
        <v>2.75344670303729</v>
      </c>
      <c r="O635">
        <v>7.1059832258254696</v>
      </c>
      <c r="P635">
        <v>2.8993246740591299</v>
      </c>
      <c r="Q635">
        <v>11.7559375839376</v>
      </c>
      <c r="R635">
        <v>7.5932140506153099</v>
      </c>
      <c r="S635">
        <v>0.97399999999999998</v>
      </c>
      <c r="T635">
        <v>0.38800000000000001</v>
      </c>
      <c r="U635">
        <v>8.0000000000000002E-3</v>
      </c>
      <c r="V635">
        <v>5.0000000000000001E-3</v>
      </c>
      <c r="W635">
        <v>0.96599999999999997</v>
      </c>
      <c r="X635">
        <v>0.38300000000000001</v>
      </c>
      <c r="Y635">
        <v>1.9790454016298</v>
      </c>
      <c r="Z635">
        <v>1.1780104712041899</v>
      </c>
      <c r="AA635">
        <v>6.58</v>
      </c>
      <c r="AB635">
        <v>0.24</v>
      </c>
      <c r="AC635">
        <v>1.8957345971564099</v>
      </c>
      <c r="AD635">
        <v>1.85528756957329</v>
      </c>
      <c r="AE635">
        <v>0.122</v>
      </c>
      <c r="AF635">
        <v>0.17899999999999999</v>
      </c>
      <c r="AG635">
        <v>1.5303933335536226</v>
      </c>
      <c r="AH635">
        <v>7.9836065573770503</v>
      </c>
      <c r="AI635">
        <v>2.16759776536313</v>
      </c>
      <c r="AJ635" t="s">
        <v>1694</v>
      </c>
      <c r="AK635" t="s">
        <v>1694</v>
      </c>
      <c r="AL635" t="s">
        <v>1694</v>
      </c>
      <c r="AM635" t="s">
        <v>1694</v>
      </c>
      <c r="AN635" t="s">
        <v>1694</v>
      </c>
      <c r="AO635" t="s">
        <v>1694</v>
      </c>
      <c r="AP635" t="s">
        <v>1697</v>
      </c>
      <c r="AQ635" t="s">
        <v>1697</v>
      </c>
      <c r="AR635" s="11" t="s">
        <v>1694</v>
      </c>
      <c r="AS635" t="s">
        <v>1694</v>
      </c>
      <c r="AT635" t="s">
        <v>1694</v>
      </c>
      <c r="AU635" t="s">
        <v>1695</v>
      </c>
      <c r="AV635" t="s">
        <v>1694</v>
      </c>
      <c r="AW635" t="s">
        <v>1694</v>
      </c>
      <c r="AX635" t="s">
        <v>1695</v>
      </c>
      <c r="AY635" t="s">
        <v>1694</v>
      </c>
      <c r="AZ635" t="s">
        <v>1694</v>
      </c>
      <c r="BA635" t="s">
        <v>1694</v>
      </c>
      <c r="BB635" t="s">
        <v>1695</v>
      </c>
      <c r="BC635" t="s">
        <v>1694</v>
      </c>
      <c r="BD635" t="s">
        <v>1694</v>
      </c>
      <c r="BE635" t="s">
        <v>1695</v>
      </c>
      <c r="BF635" t="s">
        <v>1694</v>
      </c>
      <c r="BG635" t="s">
        <v>1697</v>
      </c>
      <c r="BH635" t="s">
        <v>1698</v>
      </c>
      <c r="BI635" t="b">
        <v>0</v>
      </c>
      <c r="BJ635">
        <f t="shared" si="9"/>
        <v>0</v>
      </c>
    </row>
    <row r="636" spans="1:62" x14ac:dyDescent="0.2">
      <c r="A636" s="5" t="s">
        <v>144</v>
      </c>
      <c r="B636" s="6">
        <v>45029</v>
      </c>
      <c r="C636" s="7">
        <v>33.517169000000003</v>
      </c>
      <c r="D636" s="7">
        <v>-111.96472799999999</v>
      </c>
      <c r="E636" s="17">
        <v>650</v>
      </c>
      <c r="F636" t="s">
        <v>1694</v>
      </c>
      <c r="G636" t="s">
        <v>1694</v>
      </c>
      <c r="H636" t="s">
        <v>1694</v>
      </c>
      <c r="I636">
        <v>0</v>
      </c>
      <c r="J636" s="6" t="s">
        <v>1697</v>
      </c>
      <c r="K636" s="6" t="s">
        <v>1697</v>
      </c>
      <c r="L636" s="6" t="s">
        <v>1697</v>
      </c>
      <c r="M636" s="6" t="s">
        <v>1697</v>
      </c>
      <c r="N636" s="6" t="s">
        <v>1697</v>
      </c>
      <c r="O636" s="6" t="s">
        <v>1697</v>
      </c>
      <c r="P636" s="6" t="s">
        <v>1697</v>
      </c>
      <c r="Q636" s="6" t="s">
        <v>1697</v>
      </c>
      <c r="R636" s="6" t="s">
        <v>1697</v>
      </c>
      <c r="S636" s="6" t="s">
        <v>1697</v>
      </c>
      <c r="T636" s="6" t="s">
        <v>1697</v>
      </c>
      <c r="U636" s="6" t="s">
        <v>1697</v>
      </c>
      <c r="V636" s="6" t="s">
        <v>1697</v>
      </c>
      <c r="W636" s="6" t="s">
        <v>1697</v>
      </c>
      <c r="X636" s="6" t="s">
        <v>1697</v>
      </c>
      <c r="Y636" s="6" t="s">
        <v>1697</v>
      </c>
      <c r="Z636" s="6" t="s">
        <v>1697</v>
      </c>
      <c r="AA636" s="6" t="s">
        <v>1697</v>
      </c>
      <c r="AB636" s="6" t="s">
        <v>1697</v>
      </c>
      <c r="AC636" s="6" t="s">
        <v>1697</v>
      </c>
      <c r="AD636" s="6" t="s">
        <v>1697</v>
      </c>
      <c r="AE636" s="6" t="s">
        <v>1697</v>
      </c>
      <c r="AF636" s="6" t="s">
        <v>1697</v>
      </c>
      <c r="AG636" s="6" t="s">
        <v>1697</v>
      </c>
      <c r="AH636" s="6" t="s">
        <v>1697</v>
      </c>
      <c r="AI636" s="6" t="s">
        <v>1697</v>
      </c>
      <c r="AJ636" t="s">
        <v>1694</v>
      </c>
      <c r="AK636" t="s">
        <v>1694</v>
      </c>
      <c r="AL636" t="s">
        <v>1694</v>
      </c>
      <c r="AM636" t="s">
        <v>1694</v>
      </c>
      <c r="AN636" t="s">
        <v>1694</v>
      </c>
      <c r="AO636" t="s">
        <v>1694</v>
      </c>
      <c r="AP636" t="s">
        <v>1697</v>
      </c>
      <c r="AQ636" t="s">
        <v>1697</v>
      </c>
      <c r="AR636" s="11" t="s">
        <v>1694</v>
      </c>
      <c r="AS636" t="s">
        <v>1694</v>
      </c>
      <c r="AT636" t="s">
        <v>1694</v>
      </c>
      <c r="AU636" t="s">
        <v>1695</v>
      </c>
      <c r="AV636" t="s">
        <v>1694</v>
      </c>
      <c r="AW636" t="s">
        <v>1694</v>
      </c>
      <c r="AX636" t="s">
        <v>1695</v>
      </c>
      <c r="AY636" t="s">
        <v>1694</v>
      </c>
      <c r="AZ636" t="s">
        <v>1694</v>
      </c>
      <c r="BA636" t="s">
        <v>1694</v>
      </c>
      <c r="BB636" t="s">
        <v>1695</v>
      </c>
      <c r="BC636" t="s">
        <v>1694</v>
      </c>
      <c r="BD636" t="s">
        <v>1694</v>
      </c>
      <c r="BE636" t="s">
        <v>1695</v>
      </c>
      <c r="BF636" t="s">
        <v>1694</v>
      </c>
      <c r="BG636" s="6" t="s">
        <v>1697</v>
      </c>
      <c r="BH636" s="6" t="s">
        <v>1697</v>
      </c>
      <c r="BI636" t="b">
        <v>0</v>
      </c>
      <c r="BJ636">
        <f t="shared" si="9"/>
        <v>0</v>
      </c>
    </row>
    <row r="637" spans="1:62" x14ac:dyDescent="0.2">
      <c r="A637" s="5" t="s">
        <v>145</v>
      </c>
      <c r="B637" s="6">
        <v>38482</v>
      </c>
      <c r="C637" s="7">
        <v>33.478411000000001</v>
      </c>
      <c r="D637" s="7">
        <v>-111.9392</v>
      </c>
      <c r="E637" s="17">
        <v>381</v>
      </c>
      <c r="F637" t="s">
        <v>1706</v>
      </c>
      <c r="G637" t="s">
        <v>1710</v>
      </c>
      <c r="H637" t="s">
        <v>1710</v>
      </c>
      <c r="I637">
        <v>1</v>
      </c>
      <c r="J637" s="8">
        <v>6.7059326395230059</v>
      </c>
      <c r="K637" s="8">
        <v>72.455753688494639</v>
      </c>
      <c r="L637" s="8">
        <v>20.838313671982348</v>
      </c>
      <c r="M637" s="8">
        <v>1.370361138624026</v>
      </c>
      <c r="N637" s="8">
        <v>1.4773507882934809</v>
      </c>
      <c r="O637" s="8">
        <v>62.787455806046268</v>
      </c>
      <c r="P637" s="8">
        <v>12.127122992600397</v>
      </c>
      <c r="Q637" s="8">
        <v>87.323828082858782</v>
      </c>
      <c r="R637" s="8">
        <v>17.386053136973203</v>
      </c>
      <c r="S637" s="8">
        <v>2.827</v>
      </c>
      <c r="T637" s="8">
        <v>1.6579999999999999</v>
      </c>
      <c r="U637" s="8">
        <v>1.1879999999999999</v>
      </c>
      <c r="V637" s="8">
        <v>0.66400000000000003</v>
      </c>
      <c r="W637" s="8">
        <v>1.639</v>
      </c>
      <c r="X637" s="8">
        <v>0.99399999999999988</v>
      </c>
      <c r="Y637" s="8">
        <v>4.7045951859956201</v>
      </c>
      <c r="Z637" s="8">
        <v>2.6115342763873794</v>
      </c>
      <c r="AA637" s="8">
        <v>7.88</v>
      </c>
      <c r="AB637">
        <v>0.44</v>
      </c>
      <c r="AC637" s="8">
        <v>9.7374179431072072</v>
      </c>
      <c r="AD637" s="8">
        <v>7.0729053318824651</v>
      </c>
      <c r="AE637" s="8">
        <v>0.155</v>
      </c>
      <c r="AF637" s="8">
        <v>3.9E-2</v>
      </c>
      <c r="AG637" s="8">
        <v>1.2214719340329343</v>
      </c>
      <c r="AH637" s="8">
        <v>18.238709677419354</v>
      </c>
      <c r="AI637" s="8">
        <v>10.696774193548386</v>
      </c>
      <c r="AJ637" t="s">
        <v>1694</v>
      </c>
      <c r="AK637" t="s">
        <v>1694</v>
      </c>
      <c r="AL637" t="s">
        <v>1702</v>
      </c>
      <c r="AM637" t="s">
        <v>1703</v>
      </c>
      <c r="AN637" t="s">
        <v>1702</v>
      </c>
      <c r="AO637" t="s">
        <v>1703</v>
      </c>
      <c r="AP637" t="s">
        <v>1702</v>
      </c>
      <c r="AQ637" t="s">
        <v>1705</v>
      </c>
      <c r="AR637" s="11" t="s">
        <v>1703</v>
      </c>
      <c r="AS637" t="s">
        <v>1700</v>
      </c>
      <c r="AT637" t="s">
        <v>1700</v>
      </c>
      <c r="AU637" t="s">
        <v>1734</v>
      </c>
      <c r="AV637" t="s">
        <v>1734</v>
      </c>
      <c r="AW637" t="s">
        <v>1706</v>
      </c>
      <c r="AX637" t="s">
        <v>1706</v>
      </c>
      <c r="AY637" t="s">
        <v>1723</v>
      </c>
      <c r="AZ637" t="s">
        <v>1706</v>
      </c>
      <c r="BA637" t="s">
        <v>1700</v>
      </c>
      <c r="BB637" t="s">
        <v>1706</v>
      </c>
      <c r="BC637" t="s">
        <v>1723</v>
      </c>
      <c r="BD637" t="s">
        <v>1706</v>
      </c>
      <c r="BE637" t="s">
        <v>1706</v>
      </c>
      <c r="BF637" t="s">
        <v>1723</v>
      </c>
      <c r="BG637">
        <v>30</v>
      </c>
      <c r="BH637" s="12" t="s">
        <v>1709</v>
      </c>
      <c r="BI637" t="b">
        <v>0</v>
      </c>
      <c r="BJ637">
        <f t="shared" si="9"/>
        <v>0</v>
      </c>
    </row>
    <row r="638" spans="1:62" x14ac:dyDescent="0.2">
      <c r="A638" s="5" t="s">
        <v>145</v>
      </c>
      <c r="B638" s="6">
        <v>40228</v>
      </c>
      <c r="C638" s="7">
        <v>33.478411000000001</v>
      </c>
      <c r="D638" s="7">
        <v>-111.9392</v>
      </c>
      <c r="E638" s="17">
        <v>381</v>
      </c>
      <c r="F638" t="s">
        <v>1706</v>
      </c>
      <c r="G638" t="s">
        <v>1710</v>
      </c>
      <c r="H638" t="s">
        <v>1710</v>
      </c>
      <c r="I638">
        <v>1</v>
      </c>
      <c r="J638" s="8">
        <v>14.448919817891122</v>
      </c>
      <c r="K638" s="8">
        <v>62.826082525891429</v>
      </c>
      <c r="L638" s="8">
        <v>22.724997656217454</v>
      </c>
      <c r="M638" s="8">
        <v>5.0000000000000001E-3</v>
      </c>
      <c r="N638" s="8">
        <v>0.13102235395618783</v>
      </c>
      <c r="O638" s="8">
        <v>343.60830479791167</v>
      </c>
      <c r="P638" s="8">
        <v>30.276787197983946</v>
      </c>
      <c r="Q638" s="8">
        <v>163.32050130513477</v>
      </c>
      <c r="R638" s="8">
        <v>37.033193376646352</v>
      </c>
      <c r="S638" s="8">
        <v>4.34</v>
      </c>
      <c r="T638" s="8">
        <v>1.379</v>
      </c>
      <c r="U638" s="8">
        <v>0.52400000000000002</v>
      </c>
      <c r="V638" s="8">
        <v>1.0509999999999999</v>
      </c>
      <c r="W638" s="8">
        <v>3.8159999999999998</v>
      </c>
      <c r="X638" s="8">
        <v>0.32800000000000007</v>
      </c>
      <c r="Y638" s="8">
        <v>7.7647058823529429</v>
      </c>
      <c r="Z638" s="8">
        <v>2.1216407355021265</v>
      </c>
      <c r="AA638" s="8">
        <v>7.69</v>
      </c>
      <c r="AB638">
        <v>0.51700000000000002</v>
      </c>
      <c r="AC638" s="8">
        <v>25.411764705882355</v>
      </c>
      <c r="AD638" s="8">
        <v>14.285714285714283</v>
      </c>
      <c r="AE638" s="8">
        <v>0.35899999999999999</v>
      </c>
      <c r="AF638" s="8">
        <v>3.9E-2</v>
      </c>
      <c r="AG638" s="8">
        <v>1.5914574338420215</v>
      </c>
      <c r="AH638" s="8">
        <v>12.089136490250697</v>
      </c>
      <c r="AI638" s="8">
        <v>3.8412256267409473</v>
      </c>
      <c r="AJ638" t="s">
        <v>1694</v>
      </c>
      <c r="AK638" t="s">
        <v>1694</v>
      </c>
      <c r="AL638" t="s">
        <v>1702</v>
      </c>
      <c r="AM638" t="s">
        <v>1703</v>
      </c>
      <c r="AN638" t="s">
        <v>1702</v>
      </c>
      <c r="AO638" t="s">
        <v>1703</v>
      </c>
      <c r="AP638" t="s">
        <v>1702</v>
      </c>
      <c r="AQ638" t="s">
        <v>1705</v>
      </c>
      <c r="AR638" s="11" t="s">
        <v>1703</v>
      </c>
      <c r="AS638" t="s">
        <v>1700</v>
      </c>
      <c r="AT638" t="s">
        <v>1700</v>
      </c>
      <c r="AU638" t="s">
        <v>1734</v>
      </c>
      <c r="AV638" t="s">
        <v>1734</v>
      </c>
      <c r="AW638" t="s">
        <v>1706</v>
      </c>
      <c r="AX638" t="s">
        <v>1706</v>
      </c>
      <c r="AY638" t="s">
        <v>1723</v>
      </c>
      <c r="AZ638" t="s">
        <v>1706</v>
      </c>
      <c r="BA638" t="s">
        <v>1700</v>
      </c>
      <c r="BB638" t="s">
        <v>1706</v>
      </c>
      <c r="BC638" t="s">
        <v>1723</v>
      </c>
      <c r="BD638" t="s">
        <v>1706</v>
      </c>
      <c r="BE638" t="s">
        <v>1706</v>
      </c>
      <c r="BF638" t="s">
        <v>1723</v>
      </c>
      <c r="BG638">
        <v>35</v>
      </c>
      <c r="BH638" s="12" t="s">
        <v>1709</v>
      </c>
      <c r="BI638" t="b">
        <v>0</v>
      </c>
      <c r="BJ638">
        <f t="shared" si="9"/>
        <v>0</v>
      </c>
    </row>
    <row r="639" spans="1:62" x14ac:dyDescent="0.2">
      <c r="A639" s="5" t="s">
        <v>145</v>
      </c>
      <c r="B639" s="6">
        <v>42151</v>
      </c>
      <c r="C639" s="7">
        <v>33.478411000000001</v>
      </c>
      <c r="D639" s="7">
        <v>-111.9392</v>
      </c>
      <c r="E639" s="17">
        <v>381</v>
      </c>
      <c r="F639" t="s">
        <v>1706</v>
      </c>
      <c r="G639" t="s">
        <v>1728</v>
      </c>
      <c r="H639" t="s">
        <v>1728</v>
      </c>
      <c r="I639">
        <v>1</v>
      </c>
      <c r="J639">
        <v>13.415987689073701</v>
      </c>
      <c r="K639">
        <v>71.602514163433398</v>
      </c>
      <c r="L639">
        <v>14.9814981474929</v>
      </c>
      <c r="M639">
        <v>9.4395859741634496</v>
      </c>
      <c r="N639" t="s">
        <v>1697</v>
      </c>
      <c r="O639">
        <v>137.14524909589201</v>
      </c>
      <c r="P639" t="s">
        <v>1697</v>
      </c>
      <c r="Q639">
        <v>16.362853469867201</v>
      </c>
      <c r="R639" t="s">
        <v>1697</v>
      </c>
      <c r="S639">
        <v>3.895</v>
      </c>
      <c r="T639" t="s">
        <v>1697</v>
      </c>
      <c r="U639">
        <v>0.34100000000000003</v>
      </c>
      <c r="V639" t="s">
        <v>1697</v>
      </c>
      <c r="W639">
        <v>3.5539999999999998</v>
      </c>
      <c r="X639" t="s">
        <v>1697</v>
      </c>
      <c r="Y639">
        <v>2.9239766081871301</v>
      </c>
      <c r="Z639" t="s">
        <v>1697</v>
      </c>
      <c r="AA639">
        <v>7.65</v>
      </c>
      <c r="AB639">
        <v>0.747</v>
      </c>
      <c r="AC639">
        <v>12.857142857142801</v>
      </c>
      <c r="AD639" t="s">
        <v>1697</v>
      </c>
      <c r="AE639">
        <v>0.216</v>
      </c>
      <c r="AF639" t="s">
        <v>1697</v>
      </c>
      <c r="AG639">
        <v>1.4710014901255204</v>
      </c>
      <c r="AH639">
        <v>18.032407407407401</v>
      </c>
      <c r="AI639" t="s">
        <v>1697</v>
      </c>
      <c r="AJ639" t="s">
        <v>1694</v>
      </c>
      <c r="AK639" t="s">
        <v>1694</v>
      </c>
      <c r="AL639" t="s">
        <v>1702</v>
      </c>
      <c r="AM639" t="s">
        <v>1703</v>
      </c>
      <c r="AN639" t="s">
        <v>1702</v>
      </c>
      <c r="AO639" t="s">
        <v>1703</v>
      </c>
      <c r="AP639" t="s">
        <v>1702</v>
      </c>
      <c r="AQ639" t="s">
        <v>1705</v>
      </c>
      <c r="AR639" s="11" t="s">
        <v>1703</v>
      </c>
      <c r="AS639" t="s">
        <v>1700</v>
      </c>
      <c r="AT639" t="s">
        <v>1700</v>
      </c>
      <c r="AU639" t="s">
        <v>1734</v>
      </c>
      <c r="AV639" t="s">
        <v>1734</v>
      </c>
      <c r="AW639" t="s">
        <v>1706</v>
      </c>
      <c r="AX639" t="s">
        <v>1706</v>
      </c>
      <c r="AY639" t="s">
        <v>1723</v>
      </c>
      <c r="AZ639" t="s">
        <v>1706</v>
      </c>
      <c r="BA639" t="s">
        <v>1700</v>
      </c>
      <c r="BB639" t="s">
        <v>1706</v>
      </c>
      <c r="BC639" t="s">
        <v>1723</v>
      </c>
      <c r="BD639" t="s">
        <v>1706</v>
      </c>
      <c r="BE639" t="s">
        <v>1706</v>
      </c>
      <c r="BF639" t="s">
        <v>1723</v>
      </c>
      <c r="BG639">
        <v>40</v>
      </c>
      <c r="BH639" s="12" t="s">
        <v>1709</v>
      </c>
      <c r="BI639" t="b">
        <v>0</v>
      </c>
      <c r="BJ639">
        <f t="shared" si="9"/>
        <v>0</v>
      </c>
    </row>
    <row r="640" spans="1:62" x14ac:dyDescent="0.2">
      <c r="A640" s="5" t="s">
        <v>145</v>
      </c>
      <c r="B640" s="6">
        <v>45090</v>
      </c>
      <c r="C640" s="7">
        <v>33.478411000000001</v>
      </c>
      <c r="D640" s="7">
        <v>-111.9392</v>
      </c>
      <c r="E640" s="17">
        <v>381</v>
      </c>
      <c r="F640" t="s">
        <v>1706</v>
      </c>
      <c r="G640" t="s">
        <v>1697</v>
      </c>
      <c r="H640" t="s">
        <v>1697</v>
      </c>
      <c r="I640">
        <v>1</v>
      </c>
      <c r="J640" t="s">
        <v>1697</v>
      </c>
      <c r="K640" t="s">
        <v>1697</v>
      </c>
      <c r="L640" t="s">
        <v>1697</v>
      </c>
      <c r="M640" t="s">
        <v>1697</v>
      </c>
      <c r="N640" t="s">
        <v>1697</v>
      </c>
      <c r="O640" t="s">
        <v>1697</v>
      </c>
      <c r="P640" t="s">
        <v>1697</v>
      </c>
      <c r="Q640" t="s">
        <v>1697</v>
      </c>
      <c r="R640" t="s">
        <v>1697</v>
      </c>
      <c r="S640" t="s">
        <v>1697</v>
      </c>
      <c r="T640" t="s">
        <v>1697</v>
      </c>
      <c r="U640" t="s">
        <v>1697</v>
      </c>
      <c r="V640" t="s">
        <v>1697</v>
      </c>
      <c r="W640" t="s">
        <v>1697</v>
      </c>
      <c r="X640" t="s">
        <v>1697</v>
      </c>
      <c r="Y640" t="s">
        <v>1697</v>
      </c>
      <c r="Z640" t="s">
        <v>1697</v>
      </c>
      <c r="AA640" t="s">
        <v>1697</v>
      </c>
      <c r="AB640" t="s">
        <v>1697</v>
      </c>
      <c r="AC640" t="s">
        <v>1697</v>
      </c>
      <c r="AD640" t="s">
        <v>1697</v>
      </c>
      <c r="AE640" t="s">
        <v>1697</v>
      </c>
      <c r="AF640" t="s">
        <v>1697</v>
      </c>
      <c r="AG640" t="s">
        <v>1697</v>
      </c>
      <c r="AH640" t="s">
        <v>1697</v>
      </c>
      <c r="AI640" t="s">
        <v>1697</v>
      </c>
      <c r="AJ640" t="s">
        <v>1694</v>
      </c>
      <c r="AK640" t="s">
        <v>1694</v>
      </c>
      <c r="AL640" t="s">
        <v>1702</v>
      </c>
      <c r="AM640" t="s">
        <v>1703</v>
      </c>
      <c r="AN640" t="s">
        <v>1702</v>
      </c>
      <c r="AO640" t="s">
        <v>1703</v>
      </c>
      <c r="AP640" t="s">
        <v>1702</v>
      </c>
      <c r="AQ640" t="s">
        <v>1705</v>
      </c>
      <c r="AR640" s="11" t="s">
        <v>1703</v>
      </c>
      <c r="AS640" t="s">
        <v>1700</v>
      </c>
      <c r="AT640" t="s">
        <v>1700</v>
      </c>
      <c r="AU640" t="s">
        <v>1734</v>
      </c>
      <c r="AV640" t="s">
        <v>1734</v>
      </c>
      <c r="AW640" t="s">
        <v>1706</v>
      </c>
      <c r="AX640" t="s">
        <v>1706</v>
      </c>
      <c r="AY640" t="s">
        <v>1723</v>
      </c>
      <c r="AZ640" t="s">
        <v>1706</v>
      </c>
      <c r="BA640" t="s">
        <v>1700</v>
      </c>
      <c r="BB640" t="s">
        <v>1706</v>
      </c>
      <c r="BC640" t="s">
        <v>1723</v>
      </c>
      <c r="BD640" t="s">
        <v>1706</v>
      </c>
      <c r="BE640" t="s">
        <v>1706</v>
      </c>
      <c r="BF640" t="s">
        <v>1723</v>
      </c>
      <c r="BG640" s="6" t="s">
        <v>1697</v>
      </c>
      <c r="BH640" s="6" t="s">
        <v>1697</v>
      </c>
      <c r="BI640" t="b">
        <v>0</v>
      </c>
      <c r="BJ640">
        <f t="shared" si="9"/>
        <v>0</v>
      </c>
    </row>
    <row r="641" spans="1:62" x14ac:dyDescent="0.2">
      <c r="A641" s="5" t="s">
        <v>146</v>
      </c>
      <c r="B641" s="6">
        <v>36564</v>
      </c>
      <c r="C641" s="7">
        <v>33.425761000000001</v>
      </c>
      <c r="D641" s="7">
        <v>-111.959822</v>
      </c>
      <c r="E641" s="17">
        <v>348</v>
      </c>
      <c r="F641" t="s">
        <v>1706</v>
      </c>
      <c r="G641" t="s">
        <v>1710</v>
      </c>
      <c r="H641" t="s">
        <v>1710</v>
      </c>
      <c r="I641">
        <v>1</v>
      </c>
      <c r="J641" s="8">
        <v>27.829516183993722</v>
      </c>
      <c r="K641" s="8">
        <v>49.789642890709793</v>
      </c>
      <c r="L641" s="8">
        <v>22.380840925296482</v>
      </c>
      <c r="M641" s="8">
        <v>9.4507687913131448</v>
      </c>
      <c r="N641" s="8">
        <v>9.4507687913131448</v>
      </c>
      <c r="O641" s="8">
        <v>51.052614651926845</v>
      </c>
      <c r="P641" s="8">
        <v>51.052614651926845</v>
      </c>
      <c r="Q641" s="8">
        <v>17.639970540816364</v>
      </c>
      <c r="R641" s="8" t="s">
        <v>1697</v>
      </c>
      <c r="S641" s="8">
        <v>3.2959999999999998</v>
      </c>
      <c r="T641" s="8" t="s">
        <v>1697</v>
      </c>
      <c r="U641" s="8">
        <v>0.86699999999999999</v>
      </c>
      <c r="V641" s="8" t="s">
        <v>1697</v>
      </c>
      <c r="W641" s="8">
        <v>2.4289999999999998</v>
      </c>
      <c r="X641" s="8" t="s">
        <v>1697</v>
      </c>
      <c r="Y641" s="8">
        <v>6.4304600000000001</v>
      </c>
      <c r="Z641" s="8" t="s">
        <v>1697</v>
      </c>
      <c r="AA641" s="9">
        <v>8.4600000000000009</v>
      </c>
      <c r="AB641" s="10">
        <v>0.73150000000000004</v>
      </c>
      <c r="AC641" s="8">
        <v>6.4744799999999998</v>
      </c>
      <c r="AD641" s="8">
        <v>6.4744799999999998</v>
      </c>
      <c r="AE641" s="8">
        <v>0.26700000000000002</v>
      </c>
      <c r="AF641" s="8" t="s">
        <v>1697</v>
      </c>
      <c r="AG641" s="8">
        <v>1.3003568489419564</v>
      </c>
      <c r="AH641" s="8">
        <v>12.344569288389511</v>
      </c>
      <c r="AI641" s="8" t="s">
        <v>1697</v>
      </c>
      <c r="AJ641" t="s">
        <v>1702</v>
      </c>
      <c r="AK641" t="s">
        <v>1703</v>
      </c>
      <c r="AL641" t="s">
        <v>1702</v>
      </c>
      <c r="AM641" t="s">
        <v>1703</v>
      </c>
      <c r="AN641" t="s">
        <v>1700</v>
      </c>
      <c r="AO641" t="s">
        <v>1700</v>
      </c>
      <c r="AP641" t="s">
        <v>1706</v>
      </c>
      <c r="AQ641" t="s">
        <v>1707</v>
      </c>
      <c r="AR641" s="11" t="s">
        <v>1706</v>
      </c>
      <c r="AS641" t="s">
        <v>1700</v>
      </c>
      <c r="AT641" t="s">
        <v>1700</v>
      </c>
      <c r="AU641" t="s">
        <v>1706</v>
      </c>
      <c r="AV641" t="s">
        <v>1707</v>
      </c>
      <c r="AW641" t="s">
        <v>1706</v>
      </c>
      <c r="AX641" t="s">
        <v>1706</v>
      </c>
      <c r="AY641" t="s">
        <v>1707</v>
      </c>
      <c r="AZ641" t="s">
        <v>1706</v>
      </c>
      <c r="BA641" t="s">
        <v>1700</v>
      </c>
      <c r="BB641" t="s">
        <v>1706</v>
      </c>
      <c r="BC641" t="s">
        <v>1707</v>
      </c>
      <c r="BD641" t="s">
        <v>1706</v>
      </c>
      <c r="BE641" t="s">
        <v>1706</v>
      </c>
      <c r="BF641" t="s">
        <v>1707</v>
      </c>
      <c r="BG641">
        <v>66</v>
      </c>
      <c r="BH641" s="12" t="s">
        <v>1712</v>
      </c>
      <c r="BI641" t="b">
        <v>0</v>
      </c>
      <c r="BJ641">
        <f t="shared" si="9"/>
        <v>0</v>
      </c>
    </row>
    <row r="642" spans="1:62" x14ac:dyDescent="0.2">
      <c r="A642" s="5" t="s">
        <v>146</v>
      </c>
      <c r="B642" s="6">
        <v>38428</v>
      </c>
      <c r="C642" s="7">
        <v>33.425761000000001</v>
      </c>
      <c r="D642" s="7">
        <v>-111.959822</v>
      </c>
      <c r="E642" s="17">
        <v>348</v>
      </c>
      <c r="F642" t="s">
        <v>1706</v>
      </c>
      <c r="G642" t="s">
        <v>1710</v>
      </c>
      <c r="H642" t="s">
        <v>1710</v>
      </c>
      <c r="I642">
        <v>1</v>
      </c>
      <c r="J642" s="8">
        <v>24.360866163485525</v>
      </c>
      <c r="K642" s="8">
        <v>44.688906178538801</v>
      </c>
      <c r="L642" s="8">
        <v>30.950227657975674</v>
      </c>
      <c r="M642" s="8">
        <v>14.808748076774856</v>
      </c>
      <c r="N642" s="8">
        <v>5.1743217837837632</v>
      </c>
      <c r="O642" s="8">
        <v>2.8283374705191617</v>
      </c>
      <c r="P642" s="8">
        <v>1.0953434425412381</v>
      </c>
      <c r="Q642" s="8">
        <v>13.683485641366616</v>
      </c>
      <c r="R642" s="8">
        <v>11.653094437428978</v>
      </c>
      <c r="S642" s="8">
        <v>2.8210000000000002</v>
      </c>
      <c r="T642" s="8">
        <v>1.575</v>
      </c>
      <c r="U642" s="8">
        <v>0.77100000000000002</v>
      </c>
      <c r="V642" s="8">
        <v>0.85799999999999998</v>
      </c>
      <c r="W642" s="8">
        <v>2.0500000000000003</v>
      </c>
      <c r="X642" s="8">
        <v>0.71699999999999997</v>
      </c>
      <c r="Y642" s="8">
        <v>6.9965870307167251</v>
      </c>
      <c r="Z642" s="8">
        <v>4.2087542087541943</v>
      </c>
      <c r="AA642" s="8">
        <v>8.27</v>
      </c>
      <c r="AB642">
        <v>0.72499999999999998</v>
      </c>
      <c r="AC642" s="8">
        <v>15.017064846416364</v>
      </c>
      <c r="AD642" s="8">
        <v>16.329966329966343</v>
      </c>
      <c r="AE642" s="8">
        <v>0.221</v>
      </c>
      <c r="AF642" s="8">
        <v>8.8999999999999996E-2</v>
      </c>
      <c r="AG642" s="8">
        <v>1.1455943147554051</v>
      </c>
      <c r="AH642" s="8">
        <v>12.764705882352942</v>
      </c>
      <c r="AI642" s="8">
        <v>7.1266968325791851</v>
      </c>
      <c r="AJ642" t="s">
        <v>1702</v>
      </c>
      <c r="AK642" t="s">
        <v>1703</v>
      </c>
      <c r="AL642" t="s">
        <v>1702</v>
      </c>
      <c r="AM642" t="s">
        <v>1703</v>
      </c>
      <c r="AN642" t="s">
        <v>1700</v>
      </c>
      <c r="AO642" t="s">
        <v>1700</v>
      </c>
      <c r="AP642" t="s">
        <v>1706</v>
      </c>
      <c r="AQ642" t="s">
        <v>1707</v>
      </c>
      <c r="AR642" s="11" t="s">
        <v>1706</v>
      </c>
      <c r="AS642" t="s">
        <v>1700</v>
      </c>
      <c r="AT642" t="s">
        <v>1700</v>
      </c>
      <c r="AU642" t="s">
        <v>1706</v>
      </c>
      <c r="AV642" t="s">
        <v>1707</v>
      </c>
      <c r="AW642" t="s">
        <v>1706</v>
      </c>
      <c r="AX642" t="s">
        <v>1706</v>
      </c>
      <c r="AY642" t="s">
        <v>1707</v>
      </c>
      <c r="AZ642" t="s">
        <v>1706</v>
      </c>
      <c r="BA642" t="s">
        <v>1700</v>
      </c>
      <c r="BB642" t="s">
        <v>1706</v>
      </c>
      <c r="BC642" t="s">
        <v>1707</v>
      </c>
      <c r="BD642" t="s">
        <v>1706</v>
      </c>
      <c r="BE642" t="s">
        <v>1706</v>
      </c>
      <c r="BF642" t="s">
        <v>1707</v>
      </c>
      <c r="BG642">
        <v>71</v>
      </c>
      <c r="BH642" s="12" t="s">
        <v>1712</v>
      </c>
      <c r="BI642" t="b">
        <v>0</v>
      </c>
      <c r="BJ642">
        <f t="shared" ref="BJ642:BJ705" si="10">COUNTIF(BI642:BI642,TRUE)</f>
        <v>0</v>
      </c>
    </row>
    <row r="643" spans="1:62" x14ac:dyDescent="0.2">
      <c r="A643" s="5" t="s">
        <v>146</v>
      </c>
      <c r="B643" s="6">
        <v>40323</v>
      </c>
      <c r="C643" s="7">
        <v>33.425761000000001</v>
      </c>
      <c r="D643" s="7">
        <v>-111.959822</v>
      </c>
      <c r="E643" s="17">
        <v>348</v>
      </c>
      <c r="F643" t="s">
        <v>1706</v>
      </c>
      <c r="G643" t="s">
        <v>1710</v>
      </c>
      <c r="H643" t="s">
        <v>1710</v>
      </c>
      <c r="I643">
        <v>1</v>
      </c>
      <c r="J643" s="8">
        <v>23.489831592653328</v>
      </c>
      <c r="K643" s="8">
        <v>42.221882427030401</v>
      </c>
      <c r="L643" s="8">
        <v>34.288285980316275</v>
      </c>
      <c r="M643" s="8">
        <v>1.0009422082501269</v>
      </c>
      <c r="N643" s="8">
        <v>5.0000000000000001E-3</v>
      </c>
      <c r="O643" s="8">
        <v>16.508076718155074</v>
      </c>
      <c r="P643" s="8">
        <v>8.4679874958782015</v>
      </c>
      <c r="Q643" s="8">
        <v>20.554880045740632</v>
      </c>
      <c r="R643" s="8">
        <v>6.6341287912273375</v>
      </c>
      <c r="S643" s="8">
        <v>2.5579999999999998</v>
      </c>
      <c r="T643" s="8">
        <v>1.425</v>
      </c>
      <c r="U643" s="8">
        <v>0.52300000000000002</v>
      </c>
      <c r="V643" s="8">
        <v>0.72299999999999998</v>
      </c>
      <c r="W643" s="8">
        <v>2.0349999999999997</v>
      </c>
      <c r="X643" s="8">
        <v>0.70200000000000007</v>
      </c>
      <c r="Y643" s="8">
        <v>6.4159292035398243</v>
      </c>
      <c r="Z643" s="8">
        <v>4.1407867494824053</v>
      </c>
      <c r="AA643" s="8">
        <v>7.96</v>
      </c>
      <c r="AB643">
        <v>0.73799999999999999</v>
      </c>
      <c r="AC643" s="8">
        <v>6.6371681415929364</v>
      </c>
      <c r="AD643" s="8">
        <v>8.9026915113871574</v>
      </c>
      <c r="AE643" s="8">
        <v>0.189</v>
      </c>
      <c r="AF643" s="8">
        <v>7.4999999999999997E-2</v>
      </c>
      <c r="AG643" s="8">
        <v>1.3564092456392149</v>
      </c>
      <c r="AH643" s="8">
        <v>13.534391534391533</v>
      </c>
      <c r="AI643" s="8">
        <v>7.5396825396825395</v>
      </c>
      <c r="AJ643" t="s">
        <v>1702</v>
      </c>
      <c r="AK643" t="s">
        <v>1703</v>
      </c>
      <c r="AL643" t="s">
        <v>1702</v>
      </c>
      <c r="AM643" t="s">
        <v>1703</v>
      </c>
      <c r="AN643" t="s">
        <v>1700</v>
      </c>
      <c r="AO643" t="s">
        <v>1700</v>
      </c>
      <c r="AP643" t="s">
        <v>1706</v>
      </c>
      <c r="AQ643" t="s">
        <v>1707</v>
      </c>
      <c r="AR643" s="11" t="s">
        <v>1706</v>
      </c>
      <c r="AS643" t="s">
        <v>1700</v>
      </c>
      <c r="AT643" t="s">
        <v>1700</v>
      </c>
      <c r="AU643" t="s">
        <v>1706</v>
      </c>
      <c r="AV643" t="s">
        <v>1707</v>
      </c>
      <c r="AW643" t="s">
        <v>1706</v>
      </c>
      <c r="AX643" t="s">
        <v>1706</v>
      </c>
      <c r="AY643" t="s">
        <v>1707</v>
      </c>
      <c r="AZ643" t="s">
        <v>1706</v>
      </c>
      <c r="BA643" t="s">
        <v>1700</v>
      </c>
      <c r="BB643" t="s">
        <v>1706</v>
      </c>
      <c r="BC643" t="s">
        <v>1707</v>
      </c>
      <c r="BD643" t="s">
        <v>1706</v>
      </c>
      <c r="BE643" t="s">
        <v>1706</v>
      </c>
      <c r="BF643" t="s">
        <v>1707</v>
      </c>
      <c r="BG643">
        <v>76</v>
      </c>
      <c r="BH643" s="12" t="s">
        <v>1712</v>
      </c>
      <c r="BI643" t="b">
        <v>1</v>
      </c>
      <c r="BJ643">
        <f t="shared" si="10"/>
        <v>1</v>
      </c>
    </row>
    <row r="644" spans="1:62" x14ac:dyDescent="0.2">
      <c r="A644" s="5" t="s">
        <v>146</v>
      </c>
      <c r="B644" s="6">
        <v>42163</v>
      </c>
      <c r="C644" s="7">
        <v>33.425761000000001</v>
      </c>
      <c r="D644" s="7">
        <v>-111.959822</v>
      </c>
      <c r="E644" s="17">
        <v>348</v>
      </c>
      <c r="F644" t="s">
        <v>1706</v>
      </c>
      <c r="G644" t="s">
        <v>1710</v>
      </c>
      <c r="H644" t="s">
        <v>1710</v>
      </c>
      <c r="I644">
        <v>1</v>
      </c>
      <c r="J644" t="s">
        <v>1697</v>
      </c>
      <c r="K644" t="s">
        <v>1697</v>
      </c>
      <c r="L644" t="s">
        <v>1697</v>
      </c>
      <c r="M644" t="s">
        <v>1697</v>
      </c>
      <c r="N644" t="s">
        <v>1697</v>
      </c>
      <c r="O644" t="s">
        <v>1697</v>
      </c>
      <c r="P644" t="s">
        <v>1697</v>
      </c>
      <c r="Q644" t="s">
        <v>1697</v>
      </c>
      <c r="R644" t="s">
        <v>1697</v>
      </c>
      <c r="S644" t="s">
        <v>1697</v>
      </c>
      <c r="T644" t="s">
        <v>1697</v>
      </c>
      <c r="U644" t="s">
        <v>1697</v>
      </c>
      <c r="V644" t="s">
        <v>1697</v>
      </c>
      <c r="W644" t="s">
        <v>1697</v>
      </c>
      <c r="X644" t="s">
        <v>1697</v>
      </c>
      <c r="Y644" t="s">
        <v>1697</v>
      </c>
      <c r="Z644" t="s">
        <v>1697</v>
      </c>
      <c r="AA644" t="s">
        <v>1697</v>
      </c>
      <c r="AB644" t="s">
        <v>1697</v>
      </c>
      <c r="AC644" t="s">
        <v>1697</v>
      </c>
      <c r="AD644" t="s">
        <v>1697</v>
      </c>
      <c r="AE644" t="s">
        <v>1697</v>
      </c>
      <c r="AF644" t="s">
        <v>1697</v>
      </c>
      <c r="AG644" t="s">
        <v>1697</v>
      </c>
      <c r="AH644" t="s">
        <v>1697</v>
      </c>
      <c r="AI644" t="s">
        <v>1697</v>
      </c>
      <c r="AJ644" t="s">
        <v>1702</v>
      </c>
      <c r="AK644" t="s">
        <v>1703</v>
      </c>
      <c r="AL644" t="s">
        <v>1702</v>
      </c>
      <c r="AM644" t="s">
        <v>1703</v>
      </c>
      <c r="AN644" t="s">
        <v>1700</v>
      </c>
      <c r="AO644" t="s">
        <v>1700</v>
      </c>
      <c r="AP644" t="s">
        <v>1706</v>
      </c>
      <c r="AQ644" t="s">
        <v>1707</v>
      </c>
      <c r="AR644" s="11" t="s">
        <v>1706</v>
      </c>
      <c r="AS644" t="s">
        <v>1700</v>
      </c>
      <c r="AT644" t="s">
        <v>1700</v>
      </c>
      <c r="AU644" t="s">
        <v>1706</v>
      </c>
      <c r="AV644" t="s">
        <v>1707</v>
      </c>
      <c r="AW644" t="s">
        <v>1706</v>
      </c>
      <c r="AX644" t="s">
        <v>1706</v>
      </c>
      <c r="AY644" t="s">
        <v>1707</v>
      </c>
      <c r="AZ644" t="s">
        <v>1706</v>
      </c>
      <c r="BA644" t="s">
        <v>1700</v>
      </c>
      <c r="BB644" t="s">
        <v>1706</v>
      </c>
      <c r="BC644" t="s">
        <v>1707</v>
      </c>
      <c r="BD644" t="s">
        <v>1706</v>
      </c>
      <c r="BE644" t="s">
        <v>1706</v>
      </c>
      <c r="BF644" t="s">
        <v>1707</v>
      </c>
      <c r="BG644">
        <v>81</v>
      </c>
      <c r="BH644" t="s">
        <v>1713</v>
      </c>
      <c r="BI644" t="b">
        <v>0</v>
      </c>
      <c r="BJ644">
        <f t="shared" si="10"/>
        <v>0</v>
      </c>
    </row>
    <row r="645" spans="1:62" x14ac:dyDescent="0.2">
      <c r="A645" s="5" t="s">
        <v>147</v>
      </c>
      <c r="B645" s="6">
        <v>38485</v>
      </c>
      <c r="C645" s="7">
        <v>33.419632999999997</v>
      </c>
      <c r="D645" s="7">
        <v>-111.929328</v>
      </c>
      <c r="E645" s="17">
        <v>356</v>
      </c>
      <c r="F645" t="s">
        <v>1700</v>
      </c>
      <c r="G645" t="s">
        <v>1755</v>
      </c>
      <c r="H645" t="s">
        <v>1755</v>
      </c>
      <c r="I645">
        <v>1</v>
      </c>
      <c r="J645" s="8">
        <v>8.5239119862816128</v>
      </c>
      <c r="K645" s="8">
        <v>80.201760587977077</v>
      </c>
      <c r="L645" s="8">
        <v>11.274327425741305</v>
      </c>
      <c r="M645" s="8">
        <v>2.3968296825495057</v>
      </c>
      <c r="N645" s="8">
        <v>1.0211929083319604</v>
      </c>
      <c r="O645" s="8">
        <v>4.6205549991371031</v>
      </c>
      <c r="P645" s="8">
        <v>1.429670071664745</v>
      </c>
      <c r="Q645" s="8">
        <v>6.0719685291254155</v>
      </c>
      <c r="R645" s="8">
        <v>9.3268952294319067</v>
      </c>
      <c r="S645" s="8">
        <v>0.94599999999999995</v>
      </c>
      <c r="T645" s="8">
        <v>0.86499999999999999</v>
      </c>
      <c r="U645" s="8">
        <v>0.187</v>
      </c>
      <c r="V645" s="8">
        <v>0.38600000000000001</v>
      </c>
      <c r="W645" s="8">
        <v>0.7589999999999999</v>
      </c>
      <c r="X645" s="8">
        <v>0.47899999999999998</v>
      </c>
      <c r="Y645" s="8">
        <v>2.9157667386609023</v>
      </c>
      <c r="Z645" s="8">
        <v>2.002107481559531</v>
      </c>
      <c r="AA645" s="8">
        <v>7.74</v>
      </c>
      <c r="AB645">
        <v>0.26100000000000001</v>
      </c>
      <c r="AC645" s="8">
        <v>2.5917926565874754</v>
      </c>
      <c r="AD645" s="8">
        <v>5.0579557428872537</v>
      </c>
      <c r="AE645" s="8">
        <v>4.4999999999999998E-2</v>
      </c>
      <c r="AF645" s="8">
        <v>2.1999999999999999E-2</v>
      </c>
      <c r="AG645" s="8">
        <v>1.3255629317647817</v>
      </c>
      <c r="AH645" s="8">
        <v>21.022222222222222</v>
      </c>
      <c r="AI645" s="8">
        <v>19.222222222222221</v>
      </c>
      <c r="AJ645" t="s">
        <v>1700</v>
      </c>
      <c r="AK645" t="s">
        <v>1700</v>
      </c>
      <c r="AL645" t="s">
        <v>1700</v>
      </c>
      <c r="AM645" t="s">
        <v>1700</v>
      </c>
      <c r="AN645" t="s">
        <v>1700</v>
      </c>
      <c r="AO645" t="s">
        <v>1700</v>
      </c>
      <c r="AP645" t="s">
        <v>1755</v>
      </c>
      <c r="AQ645" t="s">
        <v>1756</v>
      </c>
      <c r="AR645" s="11" t="s">
        <v>1700</v>
      </c>
      <c r="AS645" t="s">
        <v>1700</v>
      </c>
      <c r="AT645" t="s">
        <v>1700</v>
      </c>
      <c r="AU645" t="s">
        <v>1755</v>
      </c>
      <c r="AV645" t="s">
        <v>1756</v>
      </c>
      <c r="AW645" t="s">
        <v>1700</v>
      </c>
      <c r="AX645" t="s">
        <v>1755</v>
      </c>
      <c r="AY645" t="s">
        <v>1756</v>
      </c>
      <c r="AZ645" t="s">
        <v>1700</v>
      </c>
      <c r="BA645" t="s">
        <v>1700</v>
      </c>
      <c r="BB645" t="s">
        <v>1755</v>
      </c>
      <c r="BC645" t="s">
        <v>1756</v>
      </c>
      <c r="BD645" t="s">
        <v>1700</v>
      </c>
      <c r="BE645" t="s">
        <v>1755</v>
      </c>
      <c r="BF645" t="s">
        <v>1756</v>
      </c>
      <c r="BG645" t="s">
        <v>1697</v>
      </c>
      <c r="BH645" t="s">
        <v>1727</v>
      </c>
      <c r="BI645" t="b">
        <v>0</v>
      </c>
      <c r="BJ645">
        <f t="shared" si="10"/>
        <v>0</v>
      </c>
    </row>
    <row r="646" spans="1:62" x14ac:dyDescent="0.2">
      <c r="A646" s="5" t="s">
        <v>147</v>
      </c>
      <c r="B646" s="6">
        <v>40260</v>
      </c>
      <c r="C646" s="7">
        <v>33.419632999999997</v>
      </c>
      <c r="D646" s="7">
        <v>-111.929328</v>
      </c>
      <c r="E646" s="17">
        <v>356</v>
      </c>
      <c r="F646" t="s">
        <v>1700</v>
      </c>
      <c r="G646" t="s">
        <v>1755</v>
      </c>
      <c r="H646" t="s">
        <v>1755</v>
      </c>
      <c r="I646">
        <v>1</v>
      </c>
      <c r="J646" s="8">
        <v>15.922344887806371</v>
      </c>
      <c r="K646" s="8">
        <v>54.855258658233616</v>
      </c>
      <c r="L646" s="8">
        <v>29.222396453960016</v>
      </c>
      <c r="M646" s="8">
        <v>0.34274051542255918</v>
      </c>
      <c r="N646" s="8">
        <v>5.1348909598969671E-2</v>
      </c>
      <c r="O646" s="8">
        <v>10.08060339478115</v>
      </c>
      <c r="P646" s="8">
        <v>5.179542185635202</v>
      </c>
      <c r="Q646" s="8">
        <v>28.461690253760022</v>
      </c>
      <c r="R646" s="8">
        <v>10.767005212121846</v>
      </c>
      <c r="S646" s="8">
        <v>1.3320000000000001</v>
      </c>
      <c r="T646" s="8">
        <v>0.98</v>
      </c>
      <c r="U646" s="8">
        <v>0.70199999999999996</v>
      </c>
      <c r="V646" s="8">
        <v>0.82</v>
      </c>
      <c r="W646" s="8">
        <v>0.63000000000000012</v>
      </c>
      <c r="X646" s="8">
        <v>0.16000000000000003</v>
      </c>
      <c r="Y646" s="8">
        <v>2.9036827195467434</v>
      </c>
      <c r="Z646" s="8">
        <v>3.2934131736526955</v>
      </c>
      <c r="AA646" s="8">
        <v>8.64</v>
      </c>
      <c r="AB646">
        <v>0.20499999999999999</v>
      </c>
      <c r="AC646" s="8">
        <v>10.481586402266291</v>
      </c>
      <c r="AD646" s="8">
        <v>14.570858283433145</v>
      </c>
      <c r="AE646" s="8">
        <v>4.9000000000000002E-2</v>
      </c>
      <c r="AF646" s="8">
        <v>4.1000000000000002E-2</v>
      </c>
      <c r="AG646" s="8">
        <v>1.5380055142403983</v>
      </c>
      <c r="AH646" s="8">
        <v>27.183673469387756</v>
      </c>
      <c r="AI646" s="8">
        <v>20</v>
      </c>
      <c r="AJ646" t="s">
        <v>1700</v>
      </c>
      <c r="AK646" t="s">
        <v>1700</v>
      </c>
      <c r="AL646" t="s">
        <v>1700</v>
      </c>
      <c r="AM646" t="s">
        <v>1700</v>
      </c>
      <c r="AN646" t="s">
        <v>1700</v>
      </c>
      <c r="AO646" t="s">
        <v>1700</v>
      </c>
      <c r="AP646" t="s">
        <v>1755</v>
      </c>
      <c r="AQ646" t="s">
        <v>1756</v>
      </c>
      <c r="AR646" s="11" t="s">
        <v>1700</v>
      </c>
      <c r="AS646" t="s">
        <v>1700</v>
      </c>
      <c r="AT646" t="s">
        <v>1700</v>
      </c>
      <c r="AU646" t="s">
        <v>1755</v>
      </c>
      <c r="AV646" t="s">
        <v>1756</v>
      </c>
      <c r="AW646" t="s">
        <v>1700</v>
      </c>
      <c r="AX646" t="s">
        <v>1755</v>
      </c>
      <c r="AY646" t="s">
        <v>1756</v>
      </c>
      <c r="AZ646" t="s">
        <v>1700</v>
      </c>
      <c r="BA646" t="s">
        <v>1700</v>
      </c>
      <c r="BB646" t="s">
        <v>1755</v>
      </c>
      <c r="BC646" t="s">
        <v>1756</v>
      </c>
      <c r="BD646" t="s">
        <v>1700</v>
      </c>
      <c r="BE646" t="s">
        <v>1755</v>
      </c>
      <c r="BF646" t="s">
        <v>1756</v>
      </c>
      <c r="BG646" t="s">
        <v>1697</v>
      </c>
      <c r="BH646" t="s">
        <v>1727</v>
      </c>
      <c r="BI646" t="b">
        <v>0</v>
      </c>
      <c r="BJ646">
        <f t="shared" si="10"/>
        <v>0</v>
      </c>
    </row>
    <row r="647" spans="1:62" x14ac:dyDescent="0.2">
      <c r="A647" s="5" t="s">
        <v>147</v>
      </c>
      <c r="B647" s="6">
        <v>42072</v>
      </c>
      <c r="C647" s="7">
        <v>33.419632999999997</v>
      </c>
      <c r="D647" s="7">
        <v>-111.929328</v>
      </c>
      <c r="E647" s="17">
        <v>356</v>
      </c>
      <c r="F647" t="s">
        <v>1700</v>
      </c>
      <c r="G647" t="s">
        <v>1755</v>
      </c>
      <c r="H647" t="s">
        <v>1755</v>
      </c>
      <c r="I647">
        <v>1</v>
      </c>
      <c r="J647">
        <v>13.464583199190599</v>
      </c>
      <c r="K647">
        <v>68.733767803997097</v>
      </c>
      <c r="L647">
        <v>17.8016489968123</v>
      </c>
      <c r="M647">
        <v>10.473528694453201</v>
      </c>
      <c r="N647">
        <v>15.0014855318404</v>
      </c>
      <c r="O647">
        <v>15.6760658237241</v>
      </c>
      <c r="P647">
        <v>28.127785372200801</v>
      </c>
      <c r="Q647">
        <v>3.6293181823909699</v>
      </c>
      <c r="R647">
        <v>3.2454479900226998</v>
      </c>
      <c r="S647">
        <v>1.0780000000000001</v>
      </c>
      <c r="T647">
        <v>1.3180000000000001</v>
      </c>
      <c r="U647">
        <v>0.72099999999999997</v>
      </c>
      <c r="V647">
        <v>0.60699999999999998</v>
      </c>
      <c r="W647">
        <v>0.35699999999999998</v>
      </c>
      <c r="X647">
        <v>0.71099999999999997</v>
      </c>
      <c r="Y647">
        <v>2.2222222222222201</v>
      </c>
      <c r="Z647">
        <v>2.0942408376963502</v>
      </c>
      <c r="AA647">
        <v>8.5500000000000007</v>
      </c>
      <c r="AB647">
        <v>0.51400000000000001</v>
      </c>
      <c r="AC647">
        <v>3.6144578313253</v>
      </c>
      <c r="AD647">
        <v>4.3115438108483799</v>
      </c>
      <c r="AE647">
        <v>5.5E-2</v>
      </c>
      <c r="AF647">
        <v>5.6000000000000001E-2</v>
      </c>
      <c r="AG647">
        <v>1.6309714324328024</v>
      </c>
      <c r="AH647">
        <v>19.600000000000001</v>
      </c>
      <c r="AI647">
        <v>23.535714285714299</v>
      </c>
      <c r="AJ647" t="s">
        <v>1700</v>
      </c>
      <c r="AK647" t="s">
        <v>1700</v>
      </c>
      <c r="AL647" t="s">
        <v>1700</v>
      </c>
      <c r="AM647" t="s">
        <v>1700</v>
      </c>
      <c r="AN647" t="s">
        <v>1700</v>
      </c>
      <c r="AO647" t="s">
        <v>1700</v>
      </c>
      <c r="AP647" t="s">
        <v>1755</v>
      </c>
      <c r="AQ647" t="s">
        <v>1756</v>
      </c>
      <c r="AR647" s="11" t="s">
        <v>1700</v>
      </c>
      <c r="AS647" t="s">
        <v>1700</v>
      </c>
      <c r="AT647" t="s">
        <v>1700</v>
      </c>
      <c r="AU647" t="s">
        <v>1755</v>
      </c>
      <c r="AV647" t="s">
        <v>1756</v>
      </c>
      <c r="AW647" t="s">
        <v>1700</v>
      </c>
      <c r="AX647" t="s">
        <v>1755</v>
      </c>
      <c r="AY647" t="s">
        <v>1756</v>
      </c>
      <c r="AZ647" t="s">
        <v>1700</v>
      </c>
      <c r="BA647" t="s">
        <v>1700</v>
      </c>
      <c r="BB647" t="s">
        <v>1755</v>
      </c>
      <c r="BC647" t="s">
        <v>1756</v>
      </c>
      <c r="BD647" t="s">
        <v>1700</v>
      </c>
      <c r="BE647" t="s">
        <v>1755</v>
      </c>
      <c r="BF647" t="s">
        <v>1756</v>
      </c>
      <c r="BG647" t="s">
        <v>1697</v>
      </c>
      <c r="BH647" t="s">
        <v>1727</v>
      </c>
      <c r="BI647" t="b">
        <v>0</v>
      </c>
      <c r="BJ647">
        <f t="shared" si="10"/>
        <v>0</v>
      </c>
    </row>
    <row r="648" spans="1:62" x14ac:dyDescent="0.2">
      <c r="A648" s="5" t="s">
        <v>147</v>
      </c>
      <c r="B648" s="6">
        <v>44992</v>
      </c>
      <c r="C648" s="7">
        <v>33.419632999999997</v>
      </c>
      <c r="D648" s="7">
        <v>-111.929328</v>
      </c>
      <c r="E648" s="17">
        <v>356</v>
      </c>
      <c r="F648" t="s">
        <v>1700</v>
      </c>
      <c r="G648" t="s">
        <v>1755</v>
      </c>
      <c r="H648" t="s">
        <v>1755</v>
      </c>
      <c r="I648">
        <v>1</v>
      </c>
      <c r="J648" t="s">
        <v>1697</v>
      </c>
      <c r="K648" t="s">
        <v>1697</v>
      </c>
      <c r="L648" t="s">
        <v>1697</v>
      </c>
      <c r="M648" t="s">
        <v>1697</v>
      </c>
      <c r="N648" t="s">
        <v>1697</v>
      </c>
      <c r="O648" t="s">
        <v>1697</v>
      </c>
      <c r="P648" t="s">
        <v>1697</v>
      </c>
      <c r="Q648" t="s">
        <v>1697</v>
      </c>
      <c r="R648" t="s">
        <v>1697</v>
      </c>
      <c r="S648" t="s">
        <v>1697</v>
      </c>
      <c r="T648" t="s">
        <v>1697</v>
      </c>
      <c r="U648" t="s">
        <v>1697</v>
      </c>
      <c r="V648" t="s">
        <v>1697</v>
      </c>
      <c r="W648" t="s">
        <v>1697</v>
      </c>
      <c r="X648" t="s">
        <v>1697</v>
      </c>
      <c r="Y648" t="s">
        <v>1697</v>
      </c>
      <c r="Z648" t="s">
        <v>1697</v>
      </c>
      <c r="AA648" t="s">
        <v>1697</v>
      </c>
      <c r="AB648" t="s">
        <v>1697</v>
      </c>
      <c r="AC648" t="s">
        <v>1697</v>
      </c>
      <c r="AD648" t="s">
        <v>1697</v>
      </c>
      <c r="AE648" t="s">
        <v>1697</v>
      </c>
      <c r="AF648" t="s">
        <v>1697</v>
      </c>
      <c r="AG648" t="s">
        <v>1697</v>
      </c>
      <c r="AH648" t="s">
        <v>1697</v>
      </c>
      <c r="AI648" t="s">
        <v>1697</v>
      </c>
      <c r="AJ648" t="s">
        <v>1700</v>
      </c>
      <c r="AK648" t="s">
        <v>1700</v>
      </c>
      <c r="AL648" t="s">
        <v>1700</v>
      </c>
      <c r="AM648" t="s">
        <v>1700</v>
      </c>
      <c r="AN648" t="s">
        <v>1700</v>
      </c>
      <c r="AO648" t="s">
        <v>1700</v>
      </c>
      <c r="AP648" t="s">
        <v>1755</v>
      </c>
      <c r="AQ648" t="s">
        <v>1756</v>
      </c>
      <c r="AR648" s="11" t="s">
        <v>1700</v>
      </c>
      <c r="AS648" t="s">
        <v>1700</v>
      </c>
      <c r="AT648" t="s">
        <v>1700</v>
      </c>
      <c r="AU648" t="s">
        <v>1755</v>
      </c>
      <c r="AV648" t="s">
        <v>1756</v>
      </c>
      <c r="AW648" t="s">
        <v>1700</v>
      </c>
      <c r="AX648" t="s">
        <v>1755</v>
      </c>
      <c r="AY648" t="s">
        <v>1756</v>
      </c>
      <c r="AZ648" t="s">
        <v>1700</v>
      </c>
      <c r="BA648" t="s">
        <v>1700</v>
      </c>
      <c r="BB648" t="s">
        <v>1755</v>
      </c>
      <c r="BC648" t="s">
        <v>1756</v>
      </c>
      <c r="BD648" t="s">
        <v>1700</v>
      </c>
      <c r="BE648" t="s">
        <v>1755</v>
      </c>
      <c r="BF648" t="s">
        <v>1756</v>
      </c>
      <c r="BG648" s="6" t="s">
        <v>1697</v>
      </c>
      <c r="BH648" s="6" t="s">
        <v>1697</v>
      </c>
      <c r="BI648" t="b">
        <v>1</v>
      </c>
      <c r="BJ648">
        <f t="shared" si="10"/>
        <v>1</v>
      </c>
    </row>
    <row r="649" spans="1:62" x14ac:dyDescent="0.2">
      <c r="A649" s="5" t="s">
        <v>148</v>
      </c>
      <c r="B649" s="6">
        <v>38482</v>
      </c>
      <c r="C649" s="7">
        <v>33.377516999999997</v>
      </c>
      <c r="D649" s="7">
        <v>-111.93382200000001</v>
      </c>
      <c r="E649" s="17">
        <v>362</v>
      </c>
      <c r="F649" t="s">
        <v>1700</v>
      </c>
      <c r="G649" t="s">
        <v>1699</v>
      </c>
      <c r="H649" t="s">
        <v>1701</v>
      </c>
      <c r="I649">
        <v>1</v>
      </c>
      <c r="J649" s="8">
        <v>16.088669850539489</v>
      </c>
      <c r="K649" s="8">
        <v>55.534532430182274</v>
      </c>
      <c r="L649" s="8">
        <v>28.376797719278244</v>
      </c>
      <c r="M649" s="8">
        <v>1.55746039330245</v>
      </c>
      <c r="N649" s="8">
        <v>0.74528590027171271</v>
      </c>
      <c r="O649" s="8">
        <v>3.2113350014283846</v>
      </c>
      <c r="P649" s="8">
        <v>1.252080312456477</v>
      </c>
      <c r="Q649" s="8">
        <v>10.162366366604713</v>
      </c>
      <c r="R649" s="8">
        <v>11.092114778868551</v>
      </c>
      <c r="S649" s="8">
        <v>2.37</v>
      </c>
      <c r="T649" s="8">
        <v>2.657</v>
      </c>
      <c r="U649" s="8">
        <v>1.8240000000000001</v>
      </c>
      <c r="V649" s="8">
        <v>1.8660000000000001</v>
      </c>
      <c r="W649" s="8">
        <v>0.54600000000000004</v>
      </c>
      <c r="X649" s="8">
        <v>0.79099999999999993</v>
      </c>
      <c r="Y649" s="8">
        <v>2.7568922305764487</v>
      </c>
      <c r="Z649" s="8">
        <v>2.7925531914893496</v>
      </c>
      <c r="AA649" s="8">
        <v>8.23</v>
      </c>
      <c r="AB649">
        <v>0.27400000000000002</v>
      </c>
      <c r="AC649" s="8">
        <v>9.5238095238095202</v>
      </c>
      <c r="AD649" s="8">
        <v>12.23404255319149</v>
      </c>
      <c r="AE649" s="8">
        <v>5.0999999999999997E-2</v>
      </c>
      <c r="AF649" s="8">
        <v>0.04</v>
      </c>
      <c r="AG649" s="8">
        <v>1.3712239547929066</v>
      </c>
      <c r="AH649" s="8">
        <v>46.470588235294123</v>
      </c>
      <c r="AI649" s="8">
        <v>52.098039215686278</v>
      </c>
      <c r="AJ649" t="s">
        <v>1702</v>
      </c>
      <c r="AK649" t="s">
        <v>1703</v>
      </c>
      <c r="AL649" t="s">
        <v>1702</v>
      </c>
      <c r="AM649" t="s">
        <v>1703</v>
      </c>
      <c r="AN649" t="s">
        <v>1702</v>
      </c>
      <c r="AO649" t="s">
        <v>1703</v>
      </c>
      <c r="AP649" t="s">
        <v>1702</v>
      </c>
      <c r="AQ649" t="s">
        <v>1725</v>
      </c>
      <c r="AR649" s="11" t="s">
        <v>1703</v>
      </c>
      <c r="AS649" t="s">
        <v>1694</v>
      </c>
      <c r="AT649" t="s">
        <v>1694</v>
      </c>
      <c r="AU649" t="s">
        <v>1701</v>
      </c>
      <c r="AV649" t="s">
        <v>1739</v>
      </c>
      <c r="AW649" t="s">
        <v>1700</v>
      </c>
      <c r="AX649" t="s">
        <v>1701</v>
      </c>
      <c r="AY649" t="s">
        <v>1739</v>
      </c>
      <c r="AZ649" t="s">
        <v>1700</v>
      </c>
      <c r="BA649" t="s">
        <v>1700</v>
      </c>
      <c r="BB649" t="s">
        <v>1701</v>
      </c>
      <c r="BC649" t="s">
        <v>1739</v>
      </c>
      <c r="BD649" t="s">
        <v>1700</v>
      </c>
      <c r="BE649" t="s">
        <v>1701</v>
      </c>
      <c r="BF649" t="s">
        <v>1739</v>
      </c>
      <c r="BG649">
        <v>30</v>
      </c>
      <c r="BH649" s="12" t="s">
        <v>1709</v>
      </c>
      <c r="BI649" t="b">
        <v>0</v>
      </c>
      <c r="BJ649">
        <f t="shared" si="10"/>
        <v>0</v>
      </c>
    </row>
    <row r="650" spans="1:62" x14ac:dyDescent="0.2">
      <c r="A650" s="5" t="s">
        <v>148</v>
      </c>
      <c r="B650" s="6">
        <v>40323</v>
      </c>
      <c r="C650" s="7">
        <v>33.377516999999997</v>
      </c>
      <c r="D650" s="7">
        <v>-111.93382200000001</v>
      </c>
      <c r="E650" s="17">
        <v>362</v>
      </c>
      <c r="F650" t="s">
        <v>1711</v>
      </c>
      <c r="G650" t="s">
        <v>1711</v>
      </c>
      <c r="H650" t="s">
        <v>1711</v>
      </c>
      <c r="I650">
        <v>1</v>
      </c>
      <c r="J650" s="8">
        <v>19.603969502954872</v>
      </c>
      <c r="K650" s="8">
        <v>47.497869525071323</v>
      </c>
      <c r="L650" s="8">
        <v>32.898160971973809</v>
      </c>
      <c r="M650" s="8">
        <v>5.0282788113269667</v>
      </c>
      <c r="N650" s="8">
        <v>0.29760692037711178</v>
      </c>
      <c r="O650" s="8">
        <v>183.12867275820432</v>
      </c>
      <c r="P650" s="8">
        <v>30.288363882351451</v>
      </c>
      <c r="Q650" s="8">
        <v>36.024122892283259</v>
      </c>
      <c r="R650" s="8">
        <v>27.045068285584225</v>
      </c>
      <c r="S650" s="8">
        <v>2.39</v>
      </c>
      <c r="T650" s="8">
        <v>1.7769999999999999</v>
      </c>
      <c r="U650" s="8">
        <v>1.6890000000000001</v>
      </c>
      <c r="V650" s="8">
        <v>1.4279999999999999</v>
      </c>
      <c r="W650" s="8">
        <v>0.70100000000000007</v>
      </c>
      <c r="X650" s="8">
        <v>0.34899999999999998</v>
      </c>
      <c r="Y650" s="8">
        <v>3.9723661485319584</v>
      </c>
      <c r="Z650" s="8">
        <v>3.1055900621117907</v>
      </c>
      <c r="AA650" s="8">
        <v>8.1300000000000008</v>
      </c>
      <c r="AB650">
        <v>1.196</v>
      </c>
      <c r="AC650" s="8">
        <v>2.9360967184801363</v>
      </c>
      <c r="AD650" s="8">
        <v>7.2981366459627441</v>
      </c>
      <c r="AE650" s="8">
        <v>4.2000000000000003E-2</v>
      </c>
      <c r="AF650" s="8">
        <v>2.4E-2</v>
      </c>
      <c r="AG650" s="8">
        <v>2.0031541223222309</v>
      </c>
      <c r="AH650" s="8">
        <v>56.904761904761905</v>
      </c>
      <c r="AI650" s="8">
        <v>42.309523809523803</v>
      </c>
      <c r="AJ650" t="s">
        <v>1702</v>
      </c>
      <c r="AK650" t="s">
        <v>1703</v>
      </c>
      <c r="AL650" t="s">
        <v>1702</v>
      </c>
      <c r="AM650" t="s">
        <v>1703</v>
      </c>
      <c r="AN650" t="s">
        <v>1702</v>
      </c>
      <c r="AO650" t="s">
        <v>1703</v>
      </c>
      <c r="AP650" t="s">
        <v>1702</v>
      </c>
      <c r="AQ650" t="s">
        <v>1725</v>
      </c>
      <c r="AR650" s="11" t="s">
        <v>1703</v>
      </c>
      <c r="AS650" t="s">
        <v>1694</v>
      </c>
      <c r="AT650" t="s">
        <v>1694</v>
      </c>
      <c r="AU650" t="s">
        <v>1701</v>
      </c>
      <c r="AV650" t="s">
        <v>1739</v>
      </c>
      <c r="AW650" t="s">
        <v>1700</v>
      </c>
      <c r="AX650" t="s">
        <v>1701</v>
      </c>
      <c r="AY650" t="s">
        <v>1739</v>
      </c>
      <c r="AZ650" t="s">
        <v>1700</v>
      </c>
      <c r="BA650" t="s">
        <v>1700</v>
      </c>
      <c r="BB650" t="s">
        <v>1701</v>
      </c>
      <c r="BC650" t="s">
        <v>1739</v>
      </c>
      <c r="BD650" t="s">
        <v>1700</v>
      </c>
      <c r="BE650" t="s">
        <v>1701</v>
      </c>
      <c r="BF650" t="s">
        <v>1739</v>
      </c>
      <c r="BG650">
        <v>35</v>
      </c>
      <c r="BH650" s="12" t="s">
        <v>1709</v>
      </c>
      <c r="BI650" t="b">
        <v>1</v>
      </c>
      <c r="BJ650">
        <f t="shared" si="10"/>
        <v>1</v>
      </c>
    </row>
    <row r="651" spans="1:62" x14ac:dyDescent="0.2">
      <c r="A651" s="5" t="s">
        <v>149</v>
      </c>
      <c r="B651" s="6">
        <v>38398</v>
      </c>
      <c r="C651" s="7">
        <v>33.330558000000003</v>
      </c>
      <c r="D651" s="7">
        <v>-111.936728</v>
      </c>
      <c r="E651" s="17">
        <v>358</v>
      </c>
      <c r="F651" t="s">
        <v>1706</v>
      </c>
      <c r="G651" t="s">
        <v>1710</v>
      </c>
      <c r="H651" t="s">
        <v>1710</v>
      </c>
      <c r="I651">
        <v>1</v>
      </c>
      <c r="J651" s="8">
        <v>34.937922028989874</v>
      </c>
      <c r="K651" s="8">
        <v>30.780843165660883</v>
      </c>
      <c r="L651" s="8">
        <v>34.281234805349243</v>
      </c>
      <c r="M651" s="8">
        <v>1.5905207393161305</v>
      </c>
      <c r="N651" s="8">
        <v>1.4659352651960744</v>
      </c>
      <c r="O651" s="8">
        <v>14.791842875640015</v>
      </c>
      <c r="P651" s="8">
        <v>3.0861795056759469</v>
      </c>
      <c r="Q651" s="8">
        <v>46.579337494103477</v>
      </c>
      <c r="R651" s="8">
        <v>3.6383798191793302</v>
      </c>
      <c r="S651" s="8">
        <v>1.704</v>
      </c>
      <c r="T651" s="8">
        <v>1.0740000000000001</v>
      </c>
      <c r="U651" s="8">
        <v>0.253</v>
      </c>
      <c r="V651" s="8">
        <v>0.66100000000000003</v>
      </c>
      <c r="W651" s="8">
        <v>1.4510000000000001</v>
      </c>
      <c r="X651" s="8">
        <v>0.41300000000000003</v>
      </c>
      <c r="Y651" s="8">
        <v>5.0343249427917565</v>
      </c>
      <c r="Z651" s="8">
        <v>4.0322580645161388</v>
      </c>
      <c r="AA651" s="8">
        <v>7.75</v>
      </c>
      <c r="AB651">
        <v>0.63100000000000001</v>
      </c>
      <c r="AC651" s="8">
        <v>23.112128146453085</v>
      </c>
      <c r="AD651" s="8">
        <v>19.08602150537634</v>
      </c>
      <c r="AE651" s="8">
        <v>0.16700000000000001</v>
      </c>
      <c r="AF651" s="8">
        <v>4.4999999999999998E-2</v>
      </c>
      <c r="AG651" s="8">
        <v>1.2909797055693493</v>
      </c>
      <c r="AH651" s="8">
        <v>10.203592814371257</v>
      </c>
      <c r="AI651" s="8">
        <v>6.431137724550898</v>
      </c>
      <c r="AJ651" t="s">
        <v>1702</v>
      </c>
      <c r="AK651" t="s">
        <v>1703</v>
      </c>
      <c r="AL651" t="s">
        <v>1702</v>
      </c>
      <c r="AM651" t="s">
        <v>1703</v>
      </c>
      <c r="AN651" t="s">
        <v>1702</v>
      </c>
      <c r="AO651" t="s">
        <v>1703</v>
      </c>
      <c r="AP651" t="s">
        <v>1702</v>
      </c>
      <c r="AQ651" t="s">
        <v>1725</v>
      </c>
      <c r="AR651" s="11" t="s">
        <v>1703</v>
      </c>
      <c r="AS651" t="s">
        <v>1702</v>
      </c>
      <c r="AT651" t="s">
        <v>1703</v>
      </c>
      <c r="AU651" t="s">
        <v>1706</v>
      </c>
      <c r="AV651" t="s">
        <v>1723</v>
      </c>
      <c r="AW651" t="s">
        <v>1706</v>
      </c>
      <c r="AX651" t="s">
        <v>1706</v>
      </c>
      <c r="AY651" t="s">
        <v>1723</v>
      </c>
      <c r="AZ651" t="s">
        <v>1706</v>
      </c>
      <c r="BA651" t="s">
        <v>1700</v>
      </c>
      <c r="BB651" t="s">
        <v>1706</v>
      </c>
      <c r="BC651" t="s">
        <v>1723</v>
      </c>
      <c r="BD651" t="s">
        <v>1706</v>
      </c>
      <c r="BE651" t="s">
        <v>1706</v>
      </c>
      <c r="BF651" t="s">
        <v>1723</v>
      </c>
      <c r="BG651">
        <v>30</v>
      </c>
      <c r="BH651" s="12" t="s">
        <v>1709</v>
      </c>
      <c r="BI651" t="b">
        <v>0</v>
      </c>
      <c r="BJ651">
        <f t="shared" si="10"/>
        <v>0</v>
      </c>
    </row>
    <row r="652" spans="1:62" x14ac:dyDescent="0.2">
      <c r="A652" s="5" t="s">
        <v>149</v>
      </c>
      <c r="B652" s="6">
        <v>40304</v>
      </c>
      <c r="C652" s="7">
        <v>33.330558000000003</v>
      </c>
      <c r="D652" s="7">
        <v>-111.936728</v>
      </c>
      <c r="E652" s="17">
        <v>358</v>
      </c>
      <c r="F652" t="s">
        <v>1706</v>
      </c>
      <c r="G652" t="s">
        <v>1710</v>
      </c>
      <c r="H652" t="s">
        <v>1710</v>
      </c>
      <c r="I652">
        <v>1</v>
      </c>
      <c r="J652" s="8">
        <v>30.302270184445231</v>
      </c>
      <c r="K652" s="8">
        <v>42.137470141938671</v>
      </c>
      <c r="L652" s="8">
        <v>27.560259673616102</v>
      </c>
      <c r="M652" s="8">
        <v>0.68581461254929232</v>
      </c>
      <c r="N652" s="8">
        <v>8.9300518078981792</v>
      </c>
      <c r="O652" s="8">
        <v>27.592076272331997</v>
      </c>
      <c r="P652" s="8">
        <v>16.967098435006537</v>
      </c>
      <c r="Q652" s="8">
        <v>35.885648331067635</v>
      </c>
      <c r="R652" s="8">
        <v>14.824102487215409</v>
      </c>
      <c r="S652" s="8">
        <v>1.7010000000000001</v>
      </c>
      <c r="T652" s="8">
        <v>1.94</v>
      </c>
      <c r="U652" s="8">
        <v>0.85</v>
      </c>
      <c r="V652" s="8">
        <v>1.4359999999999999</v>
      </c>
      <c r="W652" s="8">
        <v>0.85100000000000009</v>
      </c>
      <c r="X652" s="8">
        <v>0.504</v>
      </c>
      <c r="Y652" s="8">
        <v>4.5454545454545494</v>
      </c>
      <c r="Z652" s="8">
        <v>3.9244186046511822</v>
      </c>
      <c r="AA652" s="8">
        <v>7.92</v>
      </c>
      <c r="AB652">
        <v>0.747</v>
      </c>
      <c r="AC652" s="8">
        <v>14.346590909090903</v>
      </c>
      <c r="AD652" s="8">
        <v>15.261627906976727</v>
      </c>
      <c r="AE652" s="8">
        <v>0.11899999999999999</v>
      </c>
      <c r="AF652" s="8">
        <v>5.2999999999999999E-2</v>
      </c>
      <c r="AG652" s="8">
        <v>1.3767486307141654</v>
      </c>
      <c r="AH652" s="8">
        <v>14.294117647058824</v>
      </c>
      <c r="AI652" s="8">
        <v>16.30252100840336</v>
      </c>
      <c r="AJ652" t="s">
        <v>1702</v>
      </c>
      <c r="AK652" t="s">
        <v>1703</v>
      </c>
      <c r="AL652" t="s">
        <v>1702</v>
      </c>
      <c r="AM652" t="s">
        <v>1703</v>
      </c>
      <c r="AN652" t="s">
        <v>1702</v>
      </c>
      <c r="AO652" t="s">
        <v>1703</v>
      </c>
      <c r="AP652" t="s">
        <v>1702</v>
      </c>
      <c r="AQ652" t="s">
        <v>1725</v>
      </c>
      <c r="AR652" s="11" t="s">
        <v>1703</v>
      </c>
      <c r="AS652" t="s">
        <v>1702</v>
      </c>
      <c r="AT652" t="s">
        <v>1703</v>
      </c>
      <c r="AU652" t="s">
        <v>1706</v>
      </c>
      <c r="AV652" t="s">
        <v>1723</v>
      </c>
      <c r="AW652" t="s">
        <v>1706</v>
      </c>
      <c r="AX652" t="s">
        <v>1706</v>
      </c>
      <c r="AY652" t="s">
        <v>1723</v>
      </c>
      <c r="AZ652" t="s">
        <v>1706</v>
      </c>
      <c r="BA652" t="s">
        <v>1700</v>
      </c>
      <c r="BB652" t="s">
        <v>1706</v>
      </c>
      <c r="BC652" t="s">
        <v>1723</v>
      </c>
      <c r="BD652" t="s">
        <v>1706</v>
      </c>
      <c r="BE652" t="s">
        <v>1706</v>
      </c>
      <c r="BF652" t="s">
        <v>1723</v>
      </c>
      <c r="BG652">
        <v>35</v>
      </c>
      <c r="BH652" s="12" t="s">
        <v>1709</v>
      </c>
      <c r="BI652" t="b">
        <v>0</v>
      </c>
      <c r="BJ652">
        <f t="shared" si="10"/>
        <v>0</v>
      </c>
    </row>
    <row r="653" spans="1:62" x14ac:dyDescent="0.2">
      <c r="A653" s="5" t="s">
        <v>886</v>
      </c>
      <c r="B653" s="6">
        <v>36650</v>
      </c>
      <c r="C653" s="7">
        <v>33.826732999999997</v>
      </c>
      <c r="D653" s="7">
        <v>-111.92765799999999</v>
      </c>
      <c r="E653" s="17">
        <v>722</v>
      </c>
      <c r="F653" t="s">
        <v>1706</v>
      </c>
      <c r="G653" t="s">
        <v>1724</v>
      </c>
      <c r="H653" t="s">
        <v>1724</v>
      </c>
      <c r="I653">
        <v>1</v>
      </c>
      <c r="J653" s="8">
        <v>16.978935034868361</v>
      </c>
      <c r="K653" s="8">
        <v>45.100839538661091</v>
      </c>
      <c r="L653" s="8">
        <v>37.920225426470552</v>
      </c>
      <c r="M653" s="8">
        <v>1.4250449925498816</v>
      </c>
      <c r="N653" s="8">
        <v>0.5471794100519537</v>
      </c>
      <c r="O653" s="8">
        <v>4.1712075734804994</v>
      </c>
      <c r="P653" s="8">
        <v>1.7990564378127398</v>
      </c>
      <c r="Q653" s="8">
        <v>6.1030502776220779</v>
      </c>
      <c r="R653" s="8" t="s">
        <v>1697</v>
      </c>
      <c r="S653" s="8">
        <v>1.1120000000000001</v>
      </c>
      <c r="T653" s="8" t="s">
        <v>1697</v>
      </c>
      <c r="U653" s="8">
        <v>0.74299999999999999</v>
      </c>
      <c r="V653" s="8" t="s">
        <v>1697</v>
      </c>
      <c r="W653" s="8">
        <v>0.36899999999999999</v>
      </c>
      <c r="X653" s="8" t="s">
        <v>1697</v>
      </c>
      <c r="Y653" s="8">
        <v>2.0175900000000002</v>
      </c>
      <c r="Z653" s="8">
        <v>1.66415</v>
      </c>
      <c r="AA653" s="9">
        <v>8.4499999999999993</v>
      </c>
      <c r="AB653" s="10">
        <v>0.50149999999999995</v>
      </c>
      <c r="AC653" s="8">
        <v>3.1638000000000002</v>
      </c>
      <c r="AD653" s="8">
        <v>5.7073499999999999</v>
      </c>
      <c r="AE653" s="8">
        <v>3.2000000000000001E-2</v>
      </c>
      <c r="AF653" s="8" t="s">
        <v>1697</v>
      </c>
      <c r="AG653" s="8">
        <v>1.4642958936952502</v>
      </c>
      <c r="AH653" s="8">
        <v>34.75</v>
      </c>
      <c r="AI653" s="8" t="s">
        <v>1697</v>
      </c>
      <c r="AJ653" t="s">
        <v>1694</v>
      </c>
      <c r="AK653" t="s">
        <v>1694</v>
      </c>
      <c r="AL653" t="s">
        <v>1694</v>
      </c>
      <c r="AM653" t="s">
        <v>1694</v>
      </c>
      <c r="AN653" t="s">
        <v>1694</v>
      </c>
      <c r="AO653" t="s">
        <v>1694</v>
      </c>
      <c r="AP653" s="11" t="s">
        <v>1695</v>
      </c>
      <c r="AQ653" s="11" t="s">
        <v>1694</v>
      </c>
      <c r="AR653" s="11" t="s">
        <v>1694</v>
      </c>
      <c r="AS653" t="s">
        <v>1694</v>
      </c>
      <c r="AT653" t="s">
        <v>1694</v>
      </c>
      <c r="AU653" t="s">
        <v>1695</v>
      </c>
      <c r="AV653" t="s">
        <v>1694</v>
      </c>
      <c r="AW653" t="s">
        <v>1694</v>
      </c>
      <c r="AX653" t="s">
        <v>1695</v>
      </c>
      <c r="AY653" t="s">
        <v>1694</v>
      </c>
      <c r="AZ653" t="s">
        <v>1694</v>
      </c>
      <c r="BA653" t="s">
        <v>1700</v>
      </c>
      <c r="BB653" t="s">
        <v>1695</v>
      </c>
      <c r="BC653" t="s">
        <v>1694</v>
      </c>
      <c r="BD653" t="s">
        <v>1694</v>
      </c>
      <c r="BE653" t="s">
        <v>1695</v>
      </c>
      <c r="BF653" t="s">
        <v>1694</v>
      </c>
      <c r="BG653">
        <v>5</v>
      </c>
      <c r="BH653" s="12" t="s">
        <v>1708</v>
      </c>
      <c r="BI653" t="b">
        <v>0</v>
      </c>
      <c r="BJ653">
        <f t="shared" si="10"/>
        <v>0</v>
      </c>
    </row>
    <row r="654" spans="1:62" x14ac:dyDescent="0.2">
      <c r="A654" s="5" t="s">
        <v>886</v>
      </c>
      <c r="B654" s="6">
        <v>38460</v>
      </c>
      <c r="C654" s="7">
        <v>33.826732999999997</v>
      </c>
      <c r="D654" s="7">
        <v>-111.92765799999999</v>
      </c>
      <c r="E654" s="17">
        <v>722</v>
      </c>
      <c r="F654" t="s">
        <v>1706</v>
      </c>
      <c r="G654" t="s">
        <v>1724</v>
      </c>
      <c r="H654" t="s">
        <v>1724</v>
      </c>
      <c r="I654">
        <v>1</v>
      </c>
      <c r="J654" s="8">
        <v>9.5701416786609084</v>
      </c>
      <c r="K654" s="8">
        <v>79.804690391898589</v>
      </c>
      <c r="L654" s="8">
        <v>10.625167929440508</v>
      </c>
      <c r="M654" s="8">
        <v>0.9191680149090663</v>
      </c>
      <c r="N654" s="8">
        <v>1.4460158400822158</v>
      </c>
      <c r="O654" s="8">
        <v>0.89947155744672913</v>
      </c>
      <c r="P654" s="8">
        <v>0.42691896230998755</v>
      </c>
      <c r="Q654" s="8">
        <v>0.9440167594504898</v>
      </c>
      <c r="R654" s="8">
        <v>2.3473037089919573</v>
      </c>
      <c r="S654" s="8">
        <v>1.0529999999999999</v>
      </c>
      <c r="T654" s="8">
        <v>1.333</v>
      </c>
      <c r="U654" s="8">
        <v>0.68500000000000005</v>
      </c>
      <c r="V654" s="8">
        <v>0.67500000000000004</v>
      </c>
      <c r="W654" s="8">
        <v>0.36799999999999988</v>
      </c>
      <c r="X654" s="8">
        <v>0.65799999999999992</v>
      </c>
      <c r="Y654" s="8">
        <v>2.1079258010118047</v>
      </c>
      <c r="Z654" s="8">
        <v>3.2223415682062369</v>
      </c>
      <c r="AA654" s="8">
        <v>8.57</v>
      </c>
      <c r="AB654">
        <v>0.10199999999999999</v>
      </c>
      <c r="AC654" s="8">
        <v>4.4688026981450353</v>
      </c>
      <c r="AD654" s="8">
        <v>9.2373791621911856</v>
      </c>
      <c r="AE654" s="8">
        <v>1.2E-2</v>
      </c>
      <c r="AF654" s="8">
        <v>3.4000000000000002E-2</v>
      </c>
      <c r="AG654" s="8">
        <v>1.2573478491746339</v>
      </c>
      <c r="AH654" s="8">
        <v>87.749999999999986</v>
      </c>
      <c r="AI654" s="8">
        <v>111.08333333333333</v>
      </c>
      <c r="AJ654" t="s">
        <v>1694</v>
      </c>
      <c r="AK654" t="s">
        <v>1694</v>
      </c>
      <c r="AL654" t="s">
        <v>1694</v>
      </c>
      <c r="AM654" t="s">
        <v>1694</v>
      </c>
      <c r="AN654" t="s">
        <v>1694</v>
      </c>
      <c r="AO654" t="s">
        <v>1694</v>
      </c>
      <c r="AP654" s="11" t="s">
        <v>1695</v>
      </c>
      <c r="AQ654" s="11" t="s">
        <v>1694</v>
      </c>
      <c r="AR654" s="11" t="s">
        <v>1694</v>
      </c>
      <c r="AS654" t="s">
        <v>1694</v>
      </c>
      <c r="AT654" t="s">
        <v>1694</v>
      </c>
      <c r="AU654" t="s">
        <v>1695</v>
      </c>
      <c r="AV654" t="s">
        <v>1694</v>
      </c>
      <c r="AW654" t="s">
        <v>1694</v>
      </c>
      <c r="AX654" t="s">
        <v>1695</v>
      </c>
      <c r="AY654" t="s">
        <v>1694</v>
      </c>
      <c r="AZ654" t="s">
        <v>1694</v>
      </c>
      <c r="BA654" t="s">
        <v>1700</v>
      </c>
      <c r="BB654" t="s">
        <v>1695</v>
      </c>
      <c r="BC654" t="s">
        <v>1694</v>
      </c>
      <c r="BD654" t="s">
        <v>1694</v>
      </c>
      <c r="BE654" t="s">
        <v>1695</v>
      </c>
      <c r="BF654" t="s">
        <v>1694</v>
      </c>
      <c r="BG654">
        <v>10</v>
      </c>
      <c r="BH654" s="12" t="s">
        <v>1708</v>
      </c>
      <c r="BI654" t="b">
        <v>1</v>
      </c>
      <c r="BJ654">
        <f t="shared" si="10"/>
        <v>1</v>
      </c>
    </row>
    <row r="655" spans="1:62" x14ac:dyDescent="0.2">
      <c r="A655" s="5" t="s">
        <v>886</v>
      </c>
      <c r="B655" s="6">
        <v>40282</v>
      </c>
      <c r="C655" s="7">
        <v>33.826732999999997</v>
      </c>
      <c r="D655" s="7">
        <v>-111.92765799999999</v>
      </c>
      <c r="E655" s="17">
        <v>722</v>
      </c>
      <c r="F655" t="s">
        <v>1706</v>
      </c>
      <c r="G655" t="s">
        <v>1724</v>
      </c>
      <c r="H655" t="s">
        <v>1724</v>
      </c>
      <c r="I655">
        <v>1</v>
      </c>
      <c r="J655" s="8">
        <v>12.278159956692678</v>
      </c>
      <c r="K655" s="8">
        <v>70.869116194473804</v>
      </c>
      <c r="L655" s="8">
        <v>16.85272384883352</v>
      </c>
      <c r="M655" s="8">
        <v>0.38222988920999235</v>
      </c>
      <c r="N655" s="8">
        <v>0.57389531595923537</v>
      </c>
      <c r="O655" s="8">
        <v>2.712844342901934</v>
      </c>
      <c r="P655" s="8">
        <v>1.6290688363684342</v>
      </c>
      <c r="Q655" s="8">
        <v>14.279959764463785</v>
      </c>
      <c r="R655" s="8">
        <v>2.5000000000000001E-3</v>
      </c>
      <c r="S655" s="8">
        <v>1.7649999999999999</v>
      </c>
      <c r="T655" s="8">
        <v>1.327</v>
      </c>
      <c r="U655" s="8">
        <v>1.502</v>
      </c>
      <c r="V655" s="8">
        <v>1</v>
      </c>
      <c r="W655" s="8">
        <v>0.2629999999999999</v>
      </c>
      <c r="X655" s="8">
        <v>0.32699999999999996</v>
      </c>
      <c r="Y655" s="8">
        <v>3.3381712626995705</v>
      </c>
      <c r="Z655" s="8">
        <v>3.2573289902280012</v>
      </c>
      <c r="AA655" s="8">
        <v>8.51</v>
      </c>
      <c r="AB655">
        <v>0.20599999999999999</v>
      </c>
      <c r="AC655" s="8">
        <v>4.3541364296081113</v>
      </c>
      <c r="AD655" s="8">
        <v>12.214983713355048</v>
      </c>
      <c r="AE655" s="8">
        <v>5.6000000000000001E-2</v>
      </c>
      <c r="AF655" s="8">
        <v>2.3E-2</v>
      </c>
      <c r="AG655" s="8">
        <v>1.5639974368301275</v>
      </c>
      <c r="AH655" s="8">
        <v>31.517857142857139</v>
      </c>
      <c r="AI655" s="8">
        <v>23.696428571428569</v>
      </c>
      <c r="AJ655" t="s">
        <v>1694</v>
      </c>
      <c r="AK655" t="s">
        <v>1694</v>
      </c>
      <c r="AL655" t="s">
        <v>1694</v>
      </c>
      <c r="AM655" t="s">
        <v>1694</v>
      </c>
      <c r="AN655" t="s">
        <v>1694</v>
      </c>
      <c r="AO655" t="s">
        <v>1694</v>
      </c>
      <c r="AP655" s="11" t="s">
        <v>1695</v>
      </c>
      <c r="AQ655" s="11" t="s">
        <v>1694</v>
      </c>
      <c r="AR655" s="11" t="s">
        <v>1694</v>
      </c>
      <c r="AS655" t="s">
        <v>1694</v>
      </c>
      <c r="AT655" t="s">
        <v>1694</v>
      </c>
      <c r="AU655" t="s">
        <v>1695</v>
      </c>
      <c r="AV655" t="s">
        <v>1694</v>
      </c>
      <c r="AW655" t="s">
        <v>1694</v>
      </c>
      <c r="AX655" t="s">
        <v>1695</v>
      </c>
      <c r="AY655" t="s">
        <v>1694</v>
      </c>
      <c r="AZ655" t="s">
        <v>1694</v>
      </c>
      <c r="BA655" t="s">
        <v>1700</v>
      </c>
      <c r="BB655" t="s">
        <v>1695</v>
      </c>
      <c r="BC655" t="s">
        <v>1694</v>
      </c>
      <c r="BD655" t="s">
        <v>1694</v>
      </c>
      <c r="BE655" t="s">
        <v>1695</v>
      </c>
      <c r="BF655" t="s">
        <v>1694</v>
      </c>
      <c r="BG655">
        <v>15</v>
      </c>
      <c r="BH655" s="12" t="s">
        <v>1708</v>
      </c>
      <c r="BI655" t="b">
        <v>1</v>
      </c>
      <c r="BJ655">
        <f t="shared" si="10"/>
        <v>1</v>
      </c>
    </row>
    <row r="656" spans="1:62" x14ac:dyDescent="0.2">
      <c r="A656" s="5" t="s">
        <v>886</v>
      </c>
      <c r="B656" s="6">
        <v>42128</v>
      </c>
      <c r="C656" s="7">
        <v>33.826732999999997</v>
      </c>
      <c r="D656" s="7">
        <v>-111.92765799999999</v>
      </c>
      <c r="E656" s="17">
        <v>722</v>
      </c>
      <c r="F656" t="s">
        <v>1706</v>
      </c>
      <c r="G656" t="s">
        <v>1724</v>
      </c>
      <c r="H656" t="s">
        <v>1724</v>
      </c>
      <c r="I656">
        <v>1</v>
      </c>
      <c r="J656" t="s">
        <v>1697</v>
      </c>
      <c r="K656" t="s">
        <v>1697</v>
      </c>
      <c r="L656" t="s">
        <v>1697</v>
      </c>
      <c r="M656" t="s">
        <v>1697</v>
      </c>
      <c r="N656" t="s">
        <v>1697</v>
      </c>
      <c r="O656" t="s">
        <v>1697</v>
      </c>
      <c r="P656" t="s">
        <v>1697</v>
      </c>
      <c r="Q656" t="s">
        <v>1697</v>
      </c>
      <c r="R656" t="s">
        <v>1697</v>
      </c>
      <c r="S656">
        <v>0.49399999999999999</v>
      </c>
      <c r="T656">
        <v>0.29099999999999998</v>
      </c>
      <c r="U656">
        <v>3.0000000000000001E-3</v>
      </c>
      <c r="V656">
        <v>0</v>
      </c>
      <c r="W656">
        <v>0.49099999999999999</v>
      </c>
      <c r="X656">
        <v>0.29099999999999998</v>
      </c>
      <c r="Y656">
        <v>2.2336769759450199</v>
      </c>
      <c r="Z656">
        <v>2.2617124394184298</v>
      </c>
      <c r="AA656" t="s">
        <v>1697</v>
      </c>
      <c r="AB656" t="s">
        <v>1697</v>
      </c>
      <c r="AC656">
        <v>8.0555555555555607</v>
      </c>
      <c r="AD656">
        <v>8.0808080808080494</v>
      </c>
      <c r="AE656">
        <v>3.5000000000000003E-2</v>
      </c>
      <c r="AF656">
        <v>2.9000000000000001E-2</v>
      </c>
      <c r="AG656" t="s">
        <v>1697</v>
      </c>
      <c r="AH656">
        <v>14.1142857142857</v>
      </c>
      <c r="AI656">
        <v>10.034482758620699</v>
      </c>
      <c r="AJ656" t="s">
        <v>1694</v>
      </c>
      <c r="AK656" t="s">
        <v>1694</v>
      </c>
      <c r="AL656" t="s">
        <v>1694</v>
      </c>
      <c r="AM656" t="s">
        <v>1694</v>
      </c>
      <c r="AN656" t="s">
        <v>1694</v>
      </c>
      <c r="AO656" t="s">
        <v>1694</v>
      </c>
      <c r="AP656" t="s">
        <v>1697</v>
      </c>
      <c r="AQ656" t="s">
        <v>1697</v>
      </c>
      <c r="AR656" s="11" t="s">
        <v>1694</v>
      </c>
      <c r="AS656" t="s">
        <v>1694</v>
      </c>
      <c r="AT656" t="s">
        <v>1694</v>
      </c>
      <c r="AU656" t="s">
        <v>1695</v>
      </c>
      <c r="AV656" t="s">
        <v>1694</v>
      </c>
      <c r="AW656" t="s">
        <v>1694</v>
      </c>
      <c r="AX656" t="s">
        <v>1695</v>
      </c>
      <c r="AY656" t="s">
        <v>1694</v>
      </c>
      <c r="AZ656" t="s">
        <v>1694</v>
      </c>
      <c r="BA656" t="s">
        <v>1700</v>
      </c>
      <c r="BB656" t="s">
        <v>1695</v>
      </c>
      <c r="BC656" t="s">
        <v>1694</v>
      </c>
      <c r="BD656" t="s">
        <v>1694</v>
      </c>
      <c r="BE656" t="s">
        <v>1695</v>
      </c>
      <c r="BF656" t="s">
        <v>1694</v>
      </c>
      <c r="BG656">
        <v>20</v>
      </c>
      <c r="BH656" s="12" t="s">
        <v>1708</v>
      </c>
      <c r="BI656" t="b">
        <v>0</v>
      </c>
      <c r="BJ656">
        <f t="shared" si="10"/>
        <v>0</v>
      </c>
    </row>
    <row r="657" spans="1:62" x14ac:dyDescent="0.2">
      <c r="A657" s="5" t="s">
        <v>150</v>
      </c>
      <c r="B657" s="6">
        <v>36623</v>
      </c>
      <c r="C657" s="7">
        <v>33.674146999999998</v>
      </c>
      <c r="D657" s="7">
        <v>-111.91970600000001</v>
      </c>
      <c r="E657" s="17">
        <v>517</v>
      </c>
      <c r="F657" s="11" t="s">
        <v>1741</v>
      </c>
      <c r="G657" s="11" t="s">
        <v>1741</v>
      </c>
      <c r="H657" t="s">
        <v>1757</v>
      </c>
      <c r="I657">
        <v>1</v>
      </c>
      <c r="J657" s="8">
        <v>12.197824785693172</v>
      </c>
      <c r="K657" s="8">
        <v>63.011364132142539</v>
      </c>
      <c r="L657" s="8">
        <v>24.790811082164282</v>
      </c>
      <c r="M657" s="8">
        <v>11.047286299116042</v>
      </c>
      <c r="N657" s="8">
        <v>6.81707442771744</v>
      </c>
      <c r="O657" s="8">
        <v>6.3115023819611169</v>
      </c>
      <c r="P657" s="8">
        <v>2.4914248068625411</v>
      </c>
      <c r="Q657" s="8">
        <v>18.677747461218711</v>
      </c>
      <c r="R657" s="8">
        <v>6.0702006783120028</v>
      </c>
      <c r="S657" s="8">
        <v>0.35399999999999998</v>
      </c>
      <c r="T657" s="8">
        <v>0.23899999999999999</v>
      </c>
      <c r="U657" s="8">
        <v>4.7E-2</v>
      </c>
      <c r="V657" s="8">
        <v>4.2999999999999997E-2</v>
      </c>
      <c r="W657" s="8">
        <v>0.307</v>
      </c>
      <c r="X657" s="8">
        <v>0.19600000000000001</v>
      </c>
      <c r="Y657" s="8">
        <v>2.62948</v>
      </c>
      <c r="Z657" s="8">
        <v>1.82395</v>
      </c>
      <c r="AA657" s="9">
        <v>8.5500000000000007</v>
      </c>
      <c r="AB657" s="10">
        <v>0.3165</v>
      </c>
      <c r="AC657" s="8">
        <v>5.7911099999999998</v>
      </c>
      <c r="AD657" s="8">
        <v>6.8106299999999997</v>
      </c>
      <c r="AE657" s="8">
        <v>3.6999999999999998E-2</v>
      </c>
      <c r="AF657" s="8">
        <v>2.9000000000000001E-2</v>
      </c>
      <c r="AG657" s="8">
        <v>1.7372923624825289</v>
      </c>
      <c r="AH657" s="8">
        <v>9.5675675675675667</v>
      </c>
      <c r="AI657" s="8">
        <v>6.4594594594594597</v>
      </c>
      <c r="AJ657" t="s">
        <v>1694</v>
      </c>
      <c r="AK657" t="s">
        <v>1694</v>
      </c>
      <c r="AL657" t="s">
        <v>1694</v>
      </c>
      <c r="AM657" t="s">
        <v>1694</v>
      </c>
      <c r="AN657" t="s">
        <v>1694</v>
      </c>
      <c r="AO657" t="s">
        <v>1694</v>
      </c>
      <c r="AP657" s="11" t="s">
        <v>1695</v>
      </c>
      <c r="AQ657" s="11" t="s">
        <v>1694</v>
      </c>
      <c r="AR657" s="11" t="s">
        <v>1694</v>
      </c>
      <c r="AS657" t="s">
        <v>1694</v>
      </c>
      <c r="AT657" t="s">
        <v>1694</v>
      </c>
      <c r="AU657" t="s">
        <v>1695</v>
      </c>
      <c r="AV657" t="s">
        <v>1694</v>
      </c>
      <c r="AW657" t="s">
        <v>1694</v>
      </c>
      <c r="AX657" t="s">
        <v>1695</v>
      </c>
      <c r="AY657" t="s">
        <v>1694</v>
      </c>
      <c r="AZ657" t="s">
        <v>1694</v>
      </c>
      <c r="BA657" t="s">
        <v>1694</v>
      </c>
      <c r="BB657" t="s">
        <v>1695</v>
      </c>
      <c r="BC657" t="s">
        <v>1694</v>
      </c>
      <c r="BD657" t="s">
        <v>1694</v>
      </c>
      <c r="BE657" t="s">
        <v>1755</v>
      </c>
      <c r="BF657" t="s">
        <v>1756</v>
      </c>
      <c r="BG657">
        <v>5</v>
      </c>
      <c r="BH657" s="12" t="s">
        <v>1708</v>
      </c>
      <c r="BI657" t="b">
        <v>0</v>
      </c>
      <c r="BJ657">
        <f t="shared" si="10"/>
        <v>0</v>
      </c>
    </row>
    <row r="658" spans="1:62" x14ac:dyDescent="0.2">
      <c r="A658" s="5" t="s">
        <v>150</v>
      </c>
      <c r="B658" s="6">
        <v>38460</v>
      </c>
      <c r="C658" s="7">
        <v>33.674146999999998</v>
      </c>
      <c r="D658" s="7">
        <v>-111.91970600000001</v>
      </c>
      <c r="E658" s="17">
        <v>517</v>
      </c>
      <c r="F658" s="11" t="s">
        <v>1741</v>
      </c>
      <c r="G658" s="11" t="s">
        <v>1741</v>
      </c>
      <c r="H658" t="s">
        <v>1757</v>
      </c>
      <c r="I658">
        <v>1</v>
      </c>
      <c r="J658" s="8">
        <v>12.144163429362571</v>
      </c>
      <c r="K658" s="8">
        <v>67.461634199112979</v>
      </c>
      <c r="L658" s="8">
        <v>20.394202371524443</v>
      </c>
      <c r="M658" s="8">
        <v>3.6449728123074214</v>
      </c>
      <c r="N658" s="8">
        <v>1.1835837368989861</v>
      </c>
      <c r="O658" s="8">
        <v>2.7531177624875207</v>
      </c>
      <c r="P658" s="8">
        <v>2.5000000000000001E-3</v>
      </c>
      <c r="Q658" s="8">
        <v>5.6090541476770799</v>
      </c>
      <c r="R658" s="8">
        <v>1.5440739469610305</v>
      </c>
      <c r="S658" s="8">
        <v>0.65</v>
      </c>
      <c r="T658" s="8">
        <v>0.501</v>
      </c>
      <c r="U658" s="8">
        <v>5.0999999999999997E-2</v>
      </c>
      <c r="V658" s="8">
        <v>0.249</v>
      </c>
      <c r="W658" s="8">
        <v>0.59899999999999998</v>
      </c>
      <c r="X658" s="8">
        <v>0.252</v>
      </c>
      <c r="Y658" s="8">
        <v>3.1830238726790401</v>
      </c>
      <c r="Z658" s="8">
        <v>2.952503209242602</v>
      </c>
      <c r="AA658" s="8">
        <v>8.44</v>
      </c>
      <c r="AB658">
        <v>0.22900000000000001</v>
      </c>
      <c r="AC658" s="8">
        <v>3.1830238726790561</v>
      </c>
      <c r="AD658" s="8">
        <v>4.8780487804878154</v>
      </c>
      <c r="AE658" s="8">
        <v>0.05</v>
      </c>
      <c r="AF658" s="8">
        <v>2.7E-2</v>
      </c>
      <c r="AG658" s="8">
        <v>1.4981480413483044</v>
      </c>
      <c r="AH658" s="8">
        <v>13</v>
      </c>
      <c r="AI658" s="8">
        <v>10.02</v>
      </c>
      <c r="AJ658" t="s">
        <v>1694</v>
      </c>
      <c r="AK658" t="s">
        <v>1694</v>
      </c>
      <c r="AL658" t="s">
        <v>1694</v>
      </c>
      <c r="AM658" t="s">
        <v>1694</v>
      </c>
      <c r="AN658" t="s">
        <v>1694</v>
      </c>
      <c r="AO658" t="s">
        <v>1694</v>
      </c>
      <c r="AP658" s="11" t="s">
        <v>1695</v>
      </c>
      <c r="AQ658" s="11" t="s">
        <v>1694</v>
      </c>
      <c r="AR658" s="11" t="s">
        <v>1694</v>
      </c>
      <c r="AS658" t="s">
        <v>1694</v>
      </c>
      <c r="AT658" t="s">
        <v>1694</v>
      </c>
      <c r="AU658" t="s">
        <v>1695</v>
      </c>
      <c r="AV658" t="s">
        <v>1694</v>
      </c>
      <c r="AW658" t="s">
        <v>1694</v>
      </c>
      <c r="AX658" t="s">
        <v>1695</v>
      </c>
      <c r="AY658" t="s">
        <v>1694</v>
      </c>
      <c r="AZ658" t="s">
        <v>1694</v>
      </c>
      <c r="BA658" t="s">
        <v>1694</v>
      </c>
      <c r="BB658" t="s">
        <v>1695</v>
      </c>
      <c r="BC658" t="s">
        <v>1694</v>
      </c>
      <c r="BD658" t="s">
        <v>1694</v>
      </c>
      <c r="BE658" t="s">
        <v>1755</v>
      </c>
      <c r="BF658" t="s">
        <v>1756</v>
      </c>
      <c r="BG658">
        <v>10</v>
      </c>
      <c r="BH658" s="12" t="s">
        <v>1708</v>
      </c>
      <c r="BI658" t="b">
        <v>0</v>
      </c>
      <c r="BJ658">
        <f t="shared" si="10"/>
        <v>0</v>
      </c>
    </row>
    <row r="659" spans="1:62" x14ac:dyDescent="0.2">
      <c r="A659" s="5" t="s">
        <v>150</v>
      </c>
      <c r="B659" s="6">
        <v>40261</v>
      </c>
      <c r="C659" s="7">
        <v>33.674146999999998</v>
      </c>
      <c r="D659" s="7">
        <v>-111.91970600000001</v>
      </c>
      <c r="E659" s="17">
        <v>517</v>
      </c>
      <c r="F659" s="11" t="s">
        <v>1741</v>
      </c>
      <c r="G659" s="11" t="s">
        <v>1741</v>
      </c>
      <c r="H659" t="s">
        <v>1757</v>
      </c>
      <c r="I659">
        <v>1</v>
      </c>
      <c r="J659" s="8">
        <v>8.9798338363644934</v>
      </c>
      <c r="K659" s="8">
        <v>63.4477330495058</v>
      </c>
      <c r="L659" s="8">
        <v>27.572433114129709</v>
      </c>
      <c r="M659" s="8">
        <v>2.6680421720743901</v>
      </c>
      <c r="N659" s="8">
        <v>5.0000000000000001E-3</v>
      </c>
      <c r="O659" s="8">
        <v>15.245955268996514</v>
      </c>
      <c r="P659" s="8">
        <v>7.8853542424650991</v>
      </c>
      <c r="Q659" s="8">
        <v>59.4213182485123</v>
      </c>
      <c r="R659" s="8">
        <v>8.1247761693566716</v>
      </c>
      <c r="S659" s="8">
        <v>1.1240000000000001</v>
      </c>
      <c r="T659" s="8">
        <v>0.216</v>
      </c>
      <c r="U659" s="8">
        <v>5.1999999999999998E-2</v>
      </c>
      <c r="V659" s="8">
        <v>2.7E-2</v>
      </c>
      <c r="W659" s="8">
        <v>1.0720000000000001</v>
      </c>
      <c r="X659" s="8">
        <v>0.189</v>
      </c>
      <c r="Y659" s="8">
        <v>3.5433070866141678</v>
      </c>
      <c r="Z659" s="8">
        <v>1.8903591682419594</v>
      </c>
      <c r="AA659" s="8">
        <v>8.33</v>
      </c>
      <c r="AB659">
        <v>0.20599999999999999</v>
      </c>
      <c r="AC659" s="8">
        <v>3.5433070866141851</v>
      </c>
      <c r="AD659" s="8">
        <v>3.5916824196597434</v>
      </c>
      <c r="AE659" s="8">
        <v>9.9000000000000005E-2</v>
      </c>
      <c r="AF659" s="8">
        <v>0.02</v>
      </c>
      <c r="AG659" s="8">
        <v>1.8165734565406004</v>
      </c>
      <c r="AH659" s="8">
        <v>11.353535353535355</v>
      </c>
      <c r="AI659" s="8">
        <v>2.1818181818181817</v>
      </c>
      <c r="AJ659" t="s">
        <v>1694</v>
      </c>
      <c r="AK659" t="s">
        <v>1694</v>
      </c>
      <c r="AL659" t="s">
        <v>1694</v>
      </c>
      <c r="AM659" t="s">
        <v>1694</v>
      </c>
      <c r="AN659" t="s">
        <v>1694</v>
      </c>
      <c r="AO659" t="s">
        <v>1694</v>
      </c>
      <c r="AP659" s="11" t="s">
        <v>1695</v>
      </c>
      <c r="AQ659" s="11" t="s">
        <v>1694</v>
      </c>
      <c r="AR659" s="11" t="s">
        <v>1694</v>
      </c>
      <c r="AS659" t="s">
        <v>1694</v>
      </c>
      <c r="AT659" t="s">
        <v>1694</v>
      </c>
      <c r="AU659" t="s">
        <v>1695</v>
      </c>
      <c r="AV659" t="s">
        <v>1694</v>
      </c>
      <c r="AW659" t="s">
        <v>1694</v>
      </c>
      <c r="AX659" t="s">
        <v>1695</v>
      </c>
      <c r="AY659" t="s">
        <v>1694</v>
      </c>
      <c r="AZ659" t="s">
        <v>1694</v>
      </c>
      <c r="BA659" t="s">
        <v>1694</v>
      </c>
      <c r="BB659" t="s">
        <v>1695</v>
      </c>
      <c r="BC659" t="s">
        <v>1694</v>
      </c>
      <c r="BD659" t="s">
        <v>1694</v>
      </c>
      <c r="BE659" t="s">
        <v>1755</v>
      </c>
      <c r="BF659" t="s">
        <v>1756</v>
      </c>
      <c r="BG659">
        <v>15</v>
      </c>
      <c r="BH659" s="12" t="s">
        <v>1708</v>
      </c>
      <c r="BI659" t="b">
        <v>0</v>
      </c>
      <c r="BJ659">
        <f t="shared" si="10"/>
        <v>0</v>
      </c>
    </row>
    <row r="660" spans="1:62" x14ac:dyDescent="0.2">
      <c r="A660" s="5" t="s">
        <v>150</v>
      </c>
      <c r="B660" s="6">
        <v>42185</v>
      </c>
      <c r="C660" s="7">
        <v>33.674146999999998</v>
      </c>
      <c r="D660" s="7">
        <v>-111.91970600000001</v>
      </c>
      <c r="E660" s="17">
        <v>517</v>
      </c>
      <c r="F660" t="s">
        <v>1741</v>
      </c>
      <c r="G660" t="s">
        <v>1743</v>
      </c>
      <c r="H660" t="s">
        <v>1757</v>
      </c>
      <c r="I660">
        <v>1</v>
      </c>
      <c r="J660">
        <v>7.76631756408828</v>
      </c>
      <c r="K660">
        <v>73.9473179299371</v>
      </c>
      <c r="L660">
        <v>18.286364505974699</v>
      </c>
      <c r="M660">
        <v>18.7165283670235</v>
      </c>
      <c r="N660">
        <v>2.9436282790168802</v>
      </c>
      <c r="O660">
        <v>32.256144632529796</v>
      </c>
      <c r="P660">
        <v>4.7345070221949799</v>
      </c>
      <c r="Q660">
        <v>12.967621574929</v>
      </c>
      <c r="R660">
        <v>1.8466305202033999</v>
      </c>
      <c r="S660">
        <v>0.96</v>
      </c>
      <c r="T660">
        <v>0.222</v>
      </c>
      <c r="U660">
        <v>0.115</v>
      </c>
      <c r="V660">
        <v>5.3999999999999999E-2</v>
      </c>
      <c r="W660">
        <v>0.84499999999999997</v>
      </c>
      <c r="X660">
        <v>0.16800000000000001</v>
      </c>
      <c r="Y660">
        <v>1.57273918741809</v>
      </c>
      <c r="Z660">
        <v>1.3365735115431501</v>
      </c>
      <c r="AA660">
        <v>8.06</v>
      </c>
      <c r="AB660">
        <v>0.221</v>
      </c>
      <c r="AC660">
        <v>2.0295202952029601</v>
      </c>
      <c r="AD660">
        <v>2.6800670016750399</v>
      </c>
      <c r="AE660">
        <v>9.1999999999999998E-2</v>
      </c>
      <c r="AF660">
        <v>5.5E-2</v>
      </c>
      <c r="AG660">
        <v>1.7007215106109517</v>
      </c>
      <c r="AH660">
        <v>10.4347826086957</v>
      </c>
      <c r="AI660">
        <v>4.0363636363636397</v>
      </c>
      <c r="AJ660" t="s">
        <v>1694</v>
      </c>
      <c r="AK660" t="s">
        <v>1694</v>
      </c>
      <c r="AL660" t="s">
        <v>1694</v>
      </c>
      <c r="AM660" t="s">
        <v>1694</v>
      </c>
      <c r="AN660" t="s">
        <v>1694</v>
      </c>
      <c r="AO660" t="s">
        <v>1694</v>
      </c>
      <c r="AP660" t="s">
        <v>1697</v>
      </c>
      <c r="AQ660" t="s">
        <v>1697</v>
      </c>
      <c r="AR660" s="11" t="s">
        <v>1694</v>
      </c>
      <c r="AS660" t="s">
        <v>1694</v>
      </c>
      <c r="AT660" t="s">
        <v>1694</v>
      </c>
      <c r="AU660" t="s">
        <v>1695</v>
      </c>
      <c r="AV660" t="s">
        <v>1694</v>
      </c>
      <c r="AW660" t="s">
        <v>1694</v>
      </c>
      <c r="AX660" t="s">
        <v>1695</v>
      </c>
      <c r="AY660" t="s">
        <v>1694</v>
      </c>
      <c r="AZ660" t="s">
        <v>1694</v>
      </c>
      <c r="BA660" t="s">
        <v>1694</v>
      </c>
      <c r="BB660" t="s">
        <v>1695</v>
      </c>
      <c r="BC660" t="s">
        <v>1694</v>
      </c>
      <c r="BD660" t="s">
        <v>1694</v>
      </c>
      <c r="BE660" t="s">
        <v>1755</v>
      </c>
      <c r="BF660" t="s">
        <v>1756</v>
      </c>
      <c r="BG660">
        <v>20</v>
      </c>
      <c r="BH660" s="12" t="s">
        <v>1708</v>
      </c>
      <c r="BI660" t="b">
        <v>0</v>
      </c>
      <c r="BJ660">
        <f t="shared" si="10"/>
        <v>0</v>
      </c>
    </row>
    <row r="661" spans="1:62" x14ac:dyDescent="0.2">
      <c r="A661" s="5" t="s">
        <v>151</v>
      </c>
      <c r="B661" s="6">
        <v>38418</v>
      </c>
      <c r="C661" s="7">
        <v>33.592300000000002</v>
      </c>
      <c r="D661" s="7">
        <v>-111.91219700000001</v>
      </c>
      <c r="E661" s="17">
        <v>419</v>
      </c>
      <c r="F661" t="s">
        <v>1706</v>
      </c>
      <c r="G661" t="s">
        <v>1724</v>
      </c>
      <c r="H661" t="s">
        <v>1724</v>
      </c>
      <c r="I661">
        <v>1</v>
      </c>
      <c r="J661" s="8">
        <v>9.0984626324935007</v>
      </c>
      <c r="K661" s="8">
        <v>68.711397376776731</v>
      </c>
      <c r="L661" s="8">
        <v>22.190139990729762</v>
      </c>
      <c r="M661" s="8">
        <v>1.0697907996069751</v>
      </c>
      <c r="N661" s="8">
        <v>2.9441565576006332</v>
      </c>
      <c r="O661" s="8">
        <v>1.203514649557847</v>
      </c>
      <c r="P661" s="8">
        <v>0.27434186104914987</v>
      </c>
      <c r="Q661" s="8">
        <v>4.470834050024151</v>
      </c>
      <c r="R661" s="8">
        <v>4.2979910753807973</v>
      </c>
      <c r="S661" s="8">
        <v>0.51</v>
      </c>
      <c r="T661" s="8">
        <v>0.21199999999999999</v>
      </c>
      <c r="U661" s="8">
        <v>0.13900000000000001</v>
      </c>
      <c r="V661" s="8">
        <v>0.11600000000000001</v>
      </c>
      <c r="W661" s="8">
        <v>0.371</v>
      </c>
      <c r="X661" s="8">
        <v>9.5999999999999988E-2</v>
      </c>
      <c r="Y661" s="8">
        <v>3.4369885433715073</v>
      </c>
      <c r="Z661" s="8">
        <v>3.157894736842108</v>
      </c>
      <c r="AA661" s="8">
        <v>8.3000000000000007</v>
      </c>
      <c r="AB661">
        <v>0.13200000000000001</v>
      </c>
      <c r="AC661" s="8">
        <v>11.292962356792167</v>
      </c>
      <c r="AD661" s="8">
        <v>11.710526315789483</v>
      </c>
      <c r="AE661" s="8">
        <v>2.9000000000000001E-2</v>
      </c>
      <c r="AF661" s="8">
        <v>1.9E-2</v>
      </c>
      <c r="AG661" s="8">
        <v>1.2030983917050251</v>
      </c>
      <c r="AH661" s="8">
        <v>17.586206896551722</v>
      </c>
      <c r="AI661" s="8">
        <v>7.3103448275862064</v>
      </c>
      <c r="AJ661" t="s">
        <v>1694</v>
      </c>
      <c r="AK661" t="s">
        <v>1694</v>
      </c>
      <c r="AL661" t="s">
        <v>1694</v>
      </c>
      <c r="AM661" t="s">
        <v>1694</v>
      </c>
      <c r="AN661" t="s">
        <v>1694</v>
      </c>
      <c r="AO661" t="s">
        <v>1694</v>
      </c>
      <c r="AP661" s="11" t="s">
        <v>1697</v>
      </c>
      <c r="AQ661" s="11" t="s">
        <v>1697</v>
      </c>
      <c r="AR661" s="11" t="s">
        <v>1697</v>
      </c>
      <c r="AS661" t="s">
        <v>1700</v>
      </c>
      <c r="AT661" t="s">
        <v>1700</v>
      </c>
      <c r="AU661" t="s">
        <v>1706</v>
      </c>
      <c r="AV661" t="s">
        <v>1735</v>
      </c>
      <c r="AW661" t="s">
        <v>1706</v>
      </c>
      <c r="AX661" t="s">
        <v>1706</v>
      </c>
      <c r="AY661" t="s">
        <v>1735</v>
      </c>
      <c r="AZ661" t="s">
        <v>1706</v>
      </c>
      <c r="BA661" t="s">
        <v>1700</v>
      </c>
      <c r="BB661" t="s">
        <v>1706</v>
      </c>
      <c r="BC661" t="s">
        <v>1735</v>
      </c>
      <c r="BD661" t="s">
        <v>1706</v>
      </c>
      <c r="BE661" t="s">
        <v>1706</v>
      </c>
      <c r="BF661" t="s">
        <v>1735</v>
      </c>
      <c r="BG661">
        <v>50</v>
      </c>
      <c r="BH661" s="12" t="s">
        <v>1729</v>
      </c>
      <c r="BI661" t="b">
        <v>0</v>
      </c>
      <c r="BJ661">
        <f t="shared" si="10"/>
        <v>0</v>
      </c>
    </row>
    <row r="662" spans="1:62" x14ac:dyDescent="0.2">
      <c r="A662" s="5" t="s">
        <v>151</v>
      </c>
      <c r="B662" s="6">
        <v>40330</v>
      </c>
      <c r="C662" s="7">
        <v>33.592300000000002</v>
      </c>
      <c r="D662" s="7">
        <v>-111.91219700000001</v>
      </c>
      <c r="E662" s="17">
        <v>419</v>
      </c>
      <c r="F662" t="s">
        <v>1706</v>
      </c>
      <c r="G662" t="s">
        <v>1724</v>
      </c>
      <c r="H662" t="s">
        <v>1724</v>
      </c>
      <c r="I662">
        <v>1</v>
      </c>
      <c r="J662" s="8">
        <v>9.7602930903967824</v>
      </c>
      <c r="K662" s="8">
        <v>56.911330664423311</v>
      </c>
      <c r="L662" s="8">
        <v>33.328376245179911</v>
      </c>
      <c r="M662" s="8">
        <v>2.7494055634496082</v>
      </c>
      <c r="N662" s="8">
        <v>0.14533129972891229</v>
      </c>
      <c r="O662" s="8">
        <v>14.533894729346418</v>
      </c>
      <c r="P662" s="8">
        <v>1.3601519077193074</v>
      </c>
      <c r="Q662" s="8">
        <v>98.816555808386241</v>
      </c>
      <c r="R662" s="8">
        <v>17.778184798306729</v>
      </c>
      <c r="S662" s="8">
        <v>0.80300000000000005</v>
      </c>
      <c r="T662" s="8">
        <v>0.159</v>
      </c>
      <c r="U662" s="8">
        <v>5.5E-2</v>
      </c>
      <c r="V662" s="8">
        <v>5.0999999999999997E-2</v>
      </c>
      <c r="W662" s="8">
        <v>0.748</v>
      </c>
      <c r="X662" s="8">
        <v>0.10800000000000001</v>
      </c>
      <c r="Y662" s="8">
        <v>3.3962264150943562</v>
      </c>
      <c r="Z662" s="8">
        <v>2.4896265560165993</v>
      </c>
      <c r="AA662" s="8">
        <v>8.23</v>
      </c>
      <c r="AB662">
        <v>0.221</v>
      </c>
      <c r="AC662" s="8">
        <v>2.3899371069182327</v>
      </c>
      <c r="AD662" s="8">
        <v>4.9792531120331986</v>
      </c>
      <c r="AE662" s="8">
        <v>7.0999999999999994E-2</v>
      </c>
      <c r="AF662" s="8">
        <v>2.1999999999999999E-2</v>
      </c>
      <c r="AG662" s="8">
        <v>1.8123854546983269</v>
      </c>
      <c r="AH662" s="8">
        <v>11.30985915492958</v>
      </c>
      <c r="AI662" s="8">
        <v>2.23943661971831</v>
      </c>
      <c r="AJ662" t="s">
        <v>1694</v>
      </c>
      <c r="AK662" t="s">
        <v>1694</v>
      </c>
      <c r="AL662" t="s">
        <v>1694</v>
      </c>
      <c r="AM662" t="s">
        <v>1694</v>
      </c>
      <c r="AN662" t="s">
        <v>1694</v>
      </c>
      <c r="AO662" t="s">
        <v>1694</v>
      </c>
      <c r="AP662" s="11" t="s">
        <v>1697</v>
      </c>
      <c r="AQ662" s="11" t="s">
        <v>1697</v>
      </c>
      <c r="AR662" s="11" t="s">
        <v>1697</v>
      </c>
      <c r="AS662" t="s">
        <v>1700</v>
      </c>
      <c r="AT662" t="s">
        <v>1700</v>
      </c>
      <c r="AU662" t="s">
        <v>1706</v>
      </c>
      <c r="AV662" t="s">
        <v>1735</v>
      </c>
      <c r="AW662" t="s">
        <v>1706</v>
      </c>
      <c r="AX662" t="s">
        <v>1706</v>
      </c>
      <c r="AY662" t="s">
        <v>1735</v>
      </c>
      <c r="AZ662" t="s">
        <v>1706</v>
      </c>
      <c r="BA662" t="s">
        <v>1700</v>
      </c>
      <c r="BB662" t="s">
        <v>1706</v>
      </c>
      <c r="BC662" t="s">
        <v>1735</v>
      </c>
      <c r="BD662" t="s">
        <v>1706</v>
      </c>
      <c r="BE662" t="s">
        <v>1706</v>
      </c>
      <c r="BF662" t="s">
        <v>1735</v>
      </c>
      <c r="BG662">
        <v>55</v>
      </c>
      <c r="BH662" s="12" t="s">
        <v>1729</v>
      </c>
      <c r="BI662" t="b">
        <v>0</v>
      </c>
      <c r="BJ662">
        <f t="shared" si="10"/>
        <v>0</v>
      </c>
    </row>
    <row r="663" spans="1:62" x14ac:dyDescent="0.2">
      <c r="A663" s="5" t="s">
        <v>151</v>
      </c>
      <c r="B663" s="6">
        <v>42180</v>
      </c>
      <c r="C663" s="7">
        <v>33.592300000000002</v>
      </c>
      <c r="D663" s="7">
        <v>-111.91219700000001</v>
      </c>
      <c r="E663" s="17">
        <v>419</v>
      </c>
      <c r="F663" t="s">
        <v>1706</v>
      </c>
      <c r="G663" t="s">
        <v>1724</v>
      </c>
      <c r="H663" t="s">
        <v>1724</v>
      </c>
      <c r="I663">
        <v>1</v>
      </c>
      <c r="J663">
        <v>9.7932745221585407</v>
      </c>
      <c r="K663">
        <v>69.040468061157299</v>
      </c>
      <c r="L663">
        <v>21.1662574166842</v>
      </c>
      <c r="M663">
        <v>4.9869597058155604</v>
      </c>
      <c r="N663" t="s">
        <v>1697</v>
      </c>
      <c r="O663">
        <v>20.843330039786402</v>
      </c>
      <c r="P663" t="s">
        <v>1697</v>
      </c>
      <c r="Q663">
        <v>12.131499414375</v>
      </c>
      <c r="R663" t="s">
        <v>1697</v>
      </c>
      <c r="S663">
        <v>1.169</v>
      </c>
      <c r="T663" t="s">
        <v>1697</v>
      </c>
      <c r="U663">
        <v>9.8000000000000004E-2</v>
      </c>
      <c r="V663" t="s">
        <v>1697</v>
      </c>
      <c r="W663">
        <v>1.071</v>
      </c>
      <c r="X663" t="s">
        <v>1697</v>
      </c>
      <c r="Y663">
        <v>2.0804438280166502</v>
      </c>
      <c r="Z663" t="s">
        <v>1697</v>
      </c>
      <c r="AA663">
        <v>7.94</v>
      </c>
      <c r="AB663">
        <v>0.20100000000000001</v>
      </c>
      <c r="AC663">
        <v>2.01207243460764</v>
      </c>
      <c r="AD663" t="s">
        <v>1697</v>
      </c>
      <c r="AE663">
        <v>8.8999999999999996E-2</v>
      </c>
      <c r="AF663" t="s">
        <v>1697</v>
      </c>
      <c r="AG663">
        <v>1.3445638538028066</v>
      </c>
      <c r="AH663">
        <v>13.134831460674199</v>
      </c>
      <c r="AI663" t="s">
        <v>1697</v>
      </c>
      <c r="AJ663" t="s">
        <v>1694</v>
      </c>
      <c r="AK663" t="s">
        <v>1694</v>
      </c>
      <c r="AL663" t="s">
        <v>1694</v>
      </c>
      <c r="AM663" t="s">
        <v>1694</v>
      </c>
      <c r="AN663" t="s">
        <v>1694</v>
      </c>
      <c r="AO663" t="s">
        <v>1694</v>
      </c>
      <c r="AP663" t="s">
        <v>1697</v>
      </c>
      <c r="AQ663" t="s">
        <v>1697</v>
      </c>
      <c r="AR663" s="11" t="s">
        <v>1697</v>
      </c>
      <c r="AS663" t="s">
        <v>1700</v>
      </c>
      <c r="AT663" t="s">
        <v>1700</v>
      </c>
      <c r="AU663" t="s">
        <v>1706</v>
      </c>
      <c r="AV663" t="s">
        <v>1735</v>
      </c>
      <c r="AW663" t="s">
        <v>1706</v>
      </c>
      <c r="AX663" t="s">
        <v>1706</v>
      </c>
      <c r="AY663" t="s">
        <v>1735</v>
      </c>
      <c r="AZ663" t="s">
        <v>1706</v>
      </c>
      <c r="BA663" t="s">
        <v>1700</v>
      </c>
      <c r="BB663" t="s">
        <v>1706</v>
      </c>
      <c r="BC663" t="s">
        <v>1735</v>
      </c>
      <c r="BD663" t="s">
        <v>1706</v>
      </c>
      <c r="BE663" t="s">
        <v>1706</v>
      </c>
      <c r="BF663" t="s">
        <v>1735</v>
      </c>
      <c r="BG663">
        <v>60</v>
      </c>
      <c r="BH663" s="12" t="s">
        <v>1729</v>
      </c>
      <c r="BI663" t="b">
        <v>1</v>
      </c>
      <c r="BJ663">
        <f t="shared" si="10"/>
        <v>1</v>
      </c>
    </row>
    <row r="664" spans="1:62" x14ac:dyDescent="0.2">
      <c r="A664" s="5" t="s">
        <v>152</v>
      </c>
      <c r="B664" s="6">
        <v>38488</v>
      </c>
      <c r="C664" s="7">
        <v>33.531306000000001</v>
      </c>
      <c r="D664" s="7">
        <v>-111.907172</v>
      </c>
      <c r="E664" s="17">
        <v>388</v>
      </c>
      <c r="F664" s="11" t="s">
        <v>1741</v>
      </c>
      <c r="G664" s="11" t="s">
        <v>1741</v>
      </c>
      <c r="H664" t="s">
        <v>1757</v>
      </c>
      <c r="I664">
        <v>1</v>
      </c>
      <c r="J664" s="8">
        <v>23.967078303800818</v>
      </c>
      <c r="K664" s="8">
        <v>38.086074013491221</v>
      </c>
      <c r="L664" s="8">
        <v>37.946847682707961</v>
      </c>
      <c r="M664" s="8">
        <v>12.706523865648922</v>
      </c>
      <c r="N664" s="8">
        <v>1.5095728516119156</v>
      </c>
      <c r="O664" s="8">
        <v>28.019181707823797</v>
      </c>
      <c r="P664" s="8">
        <v>5.5602600034372234</v>
      </c>
      <c r="Q664" s="8">
        <v>9.1220756936361678</v>
      </c>
      <c r="R664" s="8">
        <v>2.032891440170713</v>
      </c>
      <c r="S664" s="8">
        <v>3.6040000000000001</v>
      </c>
      <c r="T664" s="8">
        <v>1.071</v>
      </c>
      <c r="U664" s="8">
        <v>0.186</v>
      </c>
      <c r="V664" s="8">
        <v>0.74</v>
      </c>
      <c r="W664" s="8">
        <v>3.4180000000000001</v>
      </c>
      <c r="X664" s="8">
        <v>0.33099999999999996</v>
      </c>
      <c r="Y664" s="8">
        <v>11.297071129707129</v>
      </c>
      <c r="Z664" s="8">
        <v>4.2117930204572973</v>
      </c>
      <c r="AA664" s="8">
        <v>6.96</v>
      </c>
      <c r="AB664">
        <v>0.58699999999999997</v>
      </c>
      <c r="AC664" s="8">
        <v>8.7866108786610848</v>
      </c>
      <c r="AD664" s="8">
        <v>10.469314079422373</v>
      </c>
      <c r="AE664" s="8">
        <v>0.30399999999999999</v>
      </c>
      <c r="AF664" s="8">
        <v>3.2000000000000001E-2</v>
      </c>
      <c r="AG664" s="8">
        <v>1.149561796741172</v>
      </c>
      <c r="AH664" s="8">
        <v>11.855263157894738</v>
      </c>
      <c r="AI664" s="8">
        <v>3.5230263157894735</v>
      </c>
      <c r="AJ664" t="s">
        <v>1694</v>
      </c>
      <c r="AK664" t="s">
        <v>1694</v>
      </c>
      <c r="AL664" t="s">
        <v>1702</v>
      </c>
      <c r="AM664" t="s">
        <v>1703</v>
      </c>
      <c r="AN664" t="s">
        <v>1702</v>
      </c>
      <c r="AO664" t="s">
        <v>1703</v>
      </c>
      <c r="AP664" s="11" t="s">
        <v>1697</v>
      </c>
      <c r="AQ664" s="11" t="s">
        <v>1697</v>
      </c>
      <c r="AR664" s="11" t="s">
        <v>1697</v>
      </c>
      <c r="AS664" t="s">
        <v>1700</v>
      </c>
      <c r="AT664" t="s">
        <v>1700</v>
      </c>
      <c r="AU664" t="s">
        <v>1755</v>
      </c>
      <c r="AV664" t="s">
        <v>1756</v>
      </c>
      <c r="AW664" t="s">
        <v>1700</v>
      </c>
      <c r="AX664" t="s">
        <v>1755</v>
      </c>
      <c r="AY664" t="s">
        <v>1756</v>
      </c>
      <c r="AZ664" t="s">
        <v>1700</v>
      </c>
      <c r="BA664" t="s">
        <v>1700</v>
      </c>
      <c r="BB664" t="s">
        <v>1755</v>
      </c>
      <c r="BC664" t="s">
        <v>1756</v>
      </c>
      <c r="BD664" t="s">
        <v>1700</v>
      </c>
      <c r="BE664" t="s">
        <v>1755</v>
      </c>
      <c r="BF664" t="s">
        <v>1756</v>
      </c>
      <c r="BG664">
        <v>50</v>
      </c>
      <c r="BH664" s="12" t="s">
        <v>1729</v>
      </c>
      <c r="BI664" t="b">
        <v>0</v>
      </c>
      <c r="BJ664">
        <f t="shared" si="10"/>
        <v>0</v>
      </c>
    </row>
    <row r="665" spans="1:62" x14ac:dyDescent="0.2">
      <c r="A665" s="5" t="s">
        <v>152</v>
      </c>
      <c r="B665" s="6">
        <v>40238</v>
      </c>
      <c r="C665" s="7">
        <v>33.531306000000001</v>
      </c>
      <c r="D665" s="7">
        <v>-111.907172</v>
      </c>
      <c r="E665" s="17">
        <v>388</v>
      </c>
      <c r="F665" s="11" t="s">
        <v>1741</v>
      </c>
      <c r="G665" s="11" t="s">
        <v>1741</v>
      </c>
      <c r="H665" t="s">
        <v>1757</v>
      </c>
      <c r="I665">
        <v>1</v>
      </c>
      <c r="J665" s="8">
        <v>22.108880114879312</v>
      </c>
      <c r="K665" s="8">
        <v>43.372979083876402</v>
      </c>
      <c r="L665" s="8">
        <v>34.518140801244286</v>
      </c>
      <c r="M665" s="8">
        <v>5.0000000000000001E-3</v>
      </c>
      <c r="N665" s="8">
        <v>5.0000000000000001E-3</v>
      </c>
      <c r="O665" s="8">
        <v>84.185429791935718</v>
      </c>
      <c r="P665" s="8">
        <v>46.68850105543634</v>
      </c>
      <c r="Q665" s="8">
        <v>204.12813774567857</v>
      </c>
      <c r="R665" s="8">
        <v>16.734732027888452</v>
      </c>
      <c r="S665" s="8">
        <v>3.29</v>
      </c>
      <c r="T665" s="8">
        <v>1.0149999999999999</v>
      </c>
      <c r="U665" s="8">
        <v>0.20899999999999999</v>
      </c>
      <c r="V665" s="8">
        <v>0.624</v>
      </c>
      <c r="W665" s="8">
        <v>3.081</v>
      </c>
      <c r="X665" s="8">
        <v>0.3909999999999999</v>
      </c>
      <c r="Y665" s="8">
        <v>7.8740157480314963</v>
      </c>
      <c r="Z665" s="8">
        <v>2.9743589743589656</v>
      </c>
      <c r="AA665" s="8">
        <v>7.57</v>
      </c>
      <c r="AB665">
        <v>1.042</v>
      </c>
      <c r="AC665" s="8">
        <v>24.409448818897651</v>
      </c>
      <c r="AD665" s="8">
        <v>19.076923076923073</v>
      </c>
      <c r="AE665" s="8">
        <v>0.29499999999999998</v>
      </c>
      <c r="AF665" s="8">
        <v>5.8000000000000003E-2</v>
      </c>
      <c r="AG665" s="8">
        <v>1.3420023779405628</v>
      </c>
      <c r="AH665" s="8">
        <v>11.152542372881356</v>
      </c>
      <c r="AI665" s="8">
        <v>3.4406779661016946</v>
      </c>
      <c r="AJ665" t="s">
        <v>1694</v>
      </c>
      <c r="AK665" t="s">
        <v>1694</v>
      </c>
      <c r="AL665" t="s">
        <v>1702</v>
      </c>
      <c r="AM665" t="s">
        <v>1703</v>
      </c>
      <c r="AN665" t="s">
        <v>1702</v>
      </c>
      <c r="AO665" t="s">
        <v>1703</v>
      </c>
      <c r="AP665" s="11" t="s">
        <v>1697</v>
      </c>
      <c r="AQ665" s="11" t="s">
        <v>1697</v>
      </c>
      <c r="AR665" s="11" t="s">
        <v>1697</v>
      </c>
      <c r="AS665" t="s">
        <v>1700</v>
      </c>
      <c r="AT665" t="s">
        <v>1700</v>
      </c>
      <c r="AU665" t="s">
        <v>1755</v>
      </c>
      <c r="AV665" t="s">
        <v>1756</v>
      </c>
      <c r="AW665" t="s">
        <v>1700</v>
      </c>
      <c r="AX665" t="s">
        <v>1755</v>
      </c>
      <c r="AY665" t="s">
        <v>1756</v>
      </c>
      <c r="AZ665" t="s">
        <v>1700</v>
      </c>
      <c r="BA665" t="s">
        <v>1700</v>
      </c>
      <c r="BB665" t="s">
        <v>1755</v>
      </c>
      <c r="BC665" t="s">
        <v>1756</v>
      </c>
      <c r="BD665" t="s">
        <v>1700</v>
      </c>
      <c r="BE665" t="s">
        <v>1755</v>
      </c>
      <c r="BF665" t="s">
        <v>1756</v>
      </c>
      <c r="BG665">
        <v>55</v>
      </c>
      <c r="BH665" s="12" t="s">
        <v>1729</v>
      </c>
      <c r="BI665" t="b">
        <v>0</v>
      </c>
      <c r="BJ665">
        <f t="shared" si="10"/>
        <v>0</v>
      </c>
    </row>
    <row r="666" spans="1:62" x14ac:dyDescent="0.2">
      <c r="A666" s="5" t="s">
        <v>152</v>
      </c>
      <c r="B666" s="6">
        <v>42088</v>
      </c>
      <c r="C666" s="7">
        <v>33.531306000000001</v>
      </c>
      <c r="D666" s="7">
        <v>-111.907172</v>
      </c>
      <c r="E666" s="17">
        <v>388</v>
      </c>
      <c r="F666" t="s">
        <v>1741</v>
      </c>
      <c r="G666" t="s">
        <v>1743</v>
      </c>
      <c r="H666" t="s">
        <v>1757</v>
      </c>
      <c r="I666">
        <v>1</v>
      </c>
      <c r="J666">
        <v>19.658295491184099</v>
      </c>
      <c r="K666">
        <v>38.062498261652003</v>
      </c>
      <c r="L666">
        <v>42.279206247163899</v>
      </c>
      <c r="M666">
        <v>49.430245103397802</v>
      </c>
      <c r="N666">
        <v>9.6074016925712105</v>
      </c>
      <c r="O666">
        <v>46.776272211940203</v>
      </c>
      <c r="P666">
        <v>14.8585474331506</v>
      </c>
      <c r="Q666">
        <v>34.462719196836197</v>
      </c>
      <c r="R666">
        <v>5.4714165163281097</v>
      </c>
      <c r="S666">
        <v>3.6680000000000001</v>
      </c>
      <c r="T666">
        <v>0.88500000000000001</v>
      </c>
      <c r="U666">
        <v>0.27400000000000002</v>
      </c>
      <c r="V666">
        <v>0.39400000000000002</v>
      </c>
      <c r="W666">
        <v>3.3940000000000001</v>
      </c>
      <c r="X666">
        <v>0.49099999999999999</v>
      </c>
      <c r="Y666">
        <v>5.65749235474006</v>
      </c>
      <c r="Z666">
        <v>2.3611111111111098</v>
      </c>
      <c r="AA666">
        <v>7.55</v>
      </c>
      <c r="AB666">
        <v>0.68700000000000006</v>
      </c>
      <c r="AC666">
        <v>6.4965197215777097</v>
      </c>
      <c r="AD666">
        <v>5.8232931726907404</v>
      </c>
      <c r="AE666">
        <v>0.32300000000000001</v>
      </c>
      <c r="AF666">
        <v>0.09</v>
      </c>
      <c r="AG666">
        <v>1.3526307378107625</v>
      </c>
      <c r="AH666">
        <v>11.3560371517028</v>
      </c>
      <c r="AI666">
        <v>9.8333333333333304</v>
      </c>
      <c r="AJ666" t="s">
        <v>1694</v>
      </c>
      <c r="AK666" t="s">
        <v>1694</v>
      </c>
      <c r="AL666" t="s">
        <v>1702</v>
      </c>
      <c r="AM666" t="s">
        <v>1703</v>
      </c>
      <c r="AN666" t="s">
        <v>1702</v>
      </c>
      <c r="AO666" t="s">
        <v>1703</v>
      </c>
      <c r="AP666" t="s">
        <v>1697</v>
      </c>
      <c r="AQ666" t="s">
        <v>1697</v>
      </c>
      <c r="AR666" s="11" t="s">
        <v>1697</v>
      </c>
      <c r="AS666" t="s">
        <v>1700</v>
      </c>
      <c r="AT666" t="s">
        <v>1700</v>
      </c>
      <c r="AU666" t="s">
        <v>1755</v>
      </c>
      <c r="AV666" t="s">
        <v>1756</v>
      </c>
      <c r="AW666" t="s">
        <v>1700</v>
      </c>
      <c r="AX666" t="s">
        <v>1755</v>
      </c>
      <c r="AY666" t="s">
        <v>1756</v>
      </c>
      <c r="AZ666" t="s">
        <v>1700</v>
      </c>
      <c r="BA666" t="s">
        <v>1700</v>
      </c>
      <c r="BB666" t="s">
        <v>1755</v>
      </c>
      <c r="BC666" t="s">
        <v>1756</v>
      </c>
      <c r="BD666" t="s">
        <v>1700</v>
      </c>
      <c r="BE666" t="s">
        <v>1755</v>
      </c>
      <c r="BF666" t="s">
        <v>1756</v>
      </c>
      <c r="BG666">
        <v>60</v>
      </c>
      <c r="BH666" s="12" t="s">
        <v>1729</v>
      </c>
      <c r="BI666" t="b">
        <v>0</v>
      </c>
      <c r="BJ666">
        <f t="shared" si="10"/>
        <v>0</v>
      </c>
    </row>
    <row r="667" spans="1:62" x14ac:dyDescent="0.2">
      <c r="A667" s="5" t="s">
        <v>153</v>
      </c>
      <c r="B667" s="6">
        <v>38429</v>
      </c>
      <c r="C667" s="7">
        <v>33.513969000000003</v>
      </c>
      <c r="D667" s="7">
        <v>-111.92186100000001</v>
      </c>
      <c r="E667" s="17">
        <v>391</v>
      </c>
      <c r="F667" t="s">
        <v>1706</v>
      </c>
      <c r="G667" t="s">
        <v>1728</v>
      </c>
      <c r="H667" t="s">
        <v>1728</v>
      </c>
      <c r="I667">
        <v>1</v>
      </c>
      <c r="J667" s="8">
        <v>7.6750327154659654</v>
      </c>
      <c r="K667" s="8">
        <v>71.763933311399214</v>
      </c>
      <c r="L667" s="8">
        <v>20.561033973134826</v>
      </c>
      <c r="M667" s="8">
        <v>1.2383647787954066</v>
      </c>
      <c r="N667" s="8">
        <v>2.8752947755103939</v>
      </c>
      <c r="O667" s="8">
        <v>4.4099545733769769</v>
      </c>
      <c r="P667" s="8">
        <v>9.4393823605780263</v>
      </c>
      <c r="Q667" s="8">
        <v>6.7246714839815933</v>
      </c>
      <c r="R667" s="8">
        <v>4.7262874856180019</v>
      </c>
      <c r="S667" s="8">
        <v>0.64500000000000002</v>
      </c>
      <c r="T667" s="8">
        <v>0.57499999999999996</v>
      </c>
      <c r="U667" s="8">
        <v>0.38100000000000001</v>
      </c>
      <c r="V667" s="8">
        <v>0.38400000000000001</v>
      </c>
      <c r="W667" s="8">
        <v>0.26400000000000001</v>
      </c>
      <c r="X667" s="8">
        <v>0.19099999999999995</v>
      </c>
      <c r="Y667" s="8">
        <v>2.2328548644337927</v>
      </c>
      <c r="Z667" s="8">
        <v>2.3850085178875728</v>
      </c>
      <c r="AA667" s="8">
        <v>8.59</v>
      </c>
      <c r="AB667">
        <v>0.154</v>
      </c>
      <c r="AC667" s="8">
        <v>6.6985645933014339</v>
      </c>
      <c r="AD667" s="8">
        <v>9.1993185689948724</v>
      </c>
      <c r="AE667" s="8">
        <v>3.1E-2</v>
      </c>
      <c r="AF667" s="8">
        <v>1.7000000000000001E-2</v>
      </c>
      <c r="AG667" s="8">
        <v>1.2850571393344008</v>
      </c>
      <c r="AH667" s="8">
        <v>20.806451612903228</v>
      </c>
      <c r="AI667" s="8">
        <v>18.548387096774192</v>
      </c>
      <c r="AJ667" t="s">
        <v>1694</v>
      </c>
      <c r="AK667" t="s">
        <v>1694</v>
      </c>
      <c r="AL667" t="s">
        <v>1694</v>
      </c>
      <c r="AM667" t="s">
        <v>1694</v>
      </c>
      <c r="AN667" t="s">
        <v>1694</v>
      </c>
      <c r="AO667" t="s">
        <v>1694</v>
      </c>
      <c r="AP667" s="11" t="s">
        <v>1695</v>
      </c>
      <c r="AQ667" s="11" t="s">
        <v>1694</v>
      </c>
      <c r="AR667" s="11" t="s">
        <v>1694</v>
      </c>
      <c r="AS667" t="s">
        <v>1694</v>
      </c>
      <c r="AT667" t="s">
        <v>1694</v>
      </c>
      <c r="AU667" t="s">
        <v>1706</v>
      </c>
      <c r="AV667" t="s">
        <v>1746</v>
      </c>
      <c r="AW667" t="s">
        <v>1706</v>
      </c>
      <c r="AX667" t="s">
        <v>1706</v>
      </c>
      <c r="AY667" t="s">
        <v>1746</v>
      </c>
      <c r="AZ667" t="s">
        <v>1706</v>
      </c>
      <c r="BA667" t="s">
        <v>1700</v>
      </c>
      <c r="BB667" t="s">
        <v>1706</v>
      </c>
      <c r="BC667" t="s">
        <v>1746</v>
      </c>
      <c r="BD667" t="s">
        <v>1706</v>
      </c>
      <c r="BE667" t="s">
        <v>1706</v>
      </c>
      <c r="BF667" t="s">
        <v>1746</v>
      </c>
      <c r="BG667">
        <v>30</v>
      </c>
      <c r="BH667" s="12" t="s">
        <v>1709</v>
      </c>
      <c r="BI667" t="b">
        <v>0</v>
      </c>
      <c r="BJ667">
        <f t="shared" si="10"/>
        <v>0</v>
      </c>
    </row>
    <row r="668" spans="1:62" x14ac:dyDescent="0.2">
      <c r="A668" s="5" t="s">
        <v>153</v>
      </c>
      <c r="B668" s="6">
        <v>40238</v>
      </c>
      <c r="C668" s="7">
        <v>33.513969000000003</v>
      </c>
      <c r="D668" s="7">
        <v>-111.92186100000001</v>
      </c>
      <c r="E668" s="17">
        <v>391</v>
      </c>
      <c r="F668" t="s">
        <v>1706</v>
      </c>
      <c r="G668" t="s">
        <v>1728</v>
      </c>
      <c r="H668" t="s">
        <v>1728</v>
      </c>
      <c r="I668">
        <v>1</v>
      </c>
      <c r="J668" s="8">
        <v>10.498059736761437</v>
      </c>
      <c r="K668" s="8">
        <v>63.352949785366135</v>
      </c>
      <c r="L668" s="8">
        <v>26.148990477872431</v>
      </c>
      <c r="M668" s="8">
        <v>0.20506688291148903</v>
      </c>
      <c r="N668" s="8">
        <v>5.0000000000000001E-3</v>
      </c>
      <c r="O668" s="8">
        <v>15.521117284585181</v>
      </c>
      <c r="P668" s="8">
        <v>3.1872575228887041</v>
      </c>
      <c r="Q668" s="8">
        <v>23.762813142815187</v>
      </c>
      <c r="R668" s="8">
        <v>10.99240126237186</v>
      </c>
      <c r="S668" s="8">
        <v>0.66600000000000004</v>
      </c>
      <c r="T668" s="8">
        <v>0.51100000000000001</v>
      </c>
      <c r="U668" s="8">
        <v>0.314</v>
      </c>
      <c r="V668" s="8">
        <v>0.33700000000000002</v>
      </c>
      <c r="W668" s="8">
        <v>0.35200000000000004</v>
      </c>
      <c r="X668" s="8">
        <v>0.17399999999999999</v>
      </c>
      <c r="Y668" s="8">
        <v>2.1223470661672903</v>
      </c>
      <c r="Z668" s="8">
        <v>1.880141010575795</v>
      </c>
      <c r="AA668" s="8">
        <v>8.51</v>
      </c>
      <c r="AB668">
        <v>0.17100000000000001</v>
      </c>
      <c r="AC668" s="8">
        <v>11.610486891385765</v>
      </c>
      <c r="AD668" s="8">
        <v>12.103407755581662</v>
      </c>
      <c r="AE668" s="8">
        <v>3.9E-2</v>
      </c>
      <c r="AF668" s="8">
        <v>1.9E-2</v>
      </c>
      <c r="AG668" s="8">
        <v>1.6974446213666312</v>
      </c>
      <c r="AH668" s="8">
        <v>17.076923076923077</v>
      </c>
      <c r="AI668" s="8">
        <v>13.102564102564102</v>
      </c>
      <c r="AJ668" t="s">
        <v>1694</v>
      </c>
      <c r="AK668" t="s">
        <v>1694</v>
      </c>
      <c r="AL668" t="s">
        <v>1694</v>
      </c>
      <c r="AM668" t="s">
        <v>1694</v>
      </c>
      <c r="AN668" t="s">
        <v>1694</v>
      </c>
      <c r="AO668" t="s">
        <v>1694</v>
      </c>
      <c r="AP668" s="11" t="s">
        <v>1695</v>
      </c>
      <c r="AQ668" s="11" t="s">
        <v>1694</v>
      </c>
      <c r="AR668" s="11" t="s">
        <v>1694</v>
      </c>
      <c r="AS668" t="s">
        <v>1694</v>
      </c>
      <c r="AT668" t="s">
        <v>1694</v>
      </c>
      <c r="AU668" t="s">
        <v>1706</v>
      </c>
      <c r="AV668" t="s">
        <v>1746</v>
      </c>
      <c r="AW668" t="s">
        <v>1706</v>
      </c>
      <c r="AX668" t="s">
        <v>1706</v>
      </c>
      <c r="AY668" t="s">
        <v>1746</v>
      </c>
      <c r="AZ668" t="s">
        <v>1706</v>
      </c>
      <c r="BA668" t="s">
        <v>1700</v>
      </c>
      <c r="BB668" t="s">
        <v>1706</v>
      </c>
      <c r="BC668" t="s">
        <v>1746</v>
      </c>
      <c r="BD668" t="s">
        <v>1706</v>
      </c>
      <c r="BE668" t="s">
        <v>1706</v>
      </c>
      <c r="BF668" t="s">
        <v>1746</v>
      </c>
      <c r="BG668">
        <v>35</v>
      </c>
      <c r="BH668" s="12" t="s">
        <v>1709</v>
      </c>
      <c r="BI668" t="b">
        <v>0</v>
      </c>
      <c r="BJ668">
        <f t="shared" si="10"/>
        <v>0</v>
      </c>
    </row>
    <row r="669" spans="1:62" x14ac:dyDescent="0.2">
      <c r="A669" s="5" t="s">
        <v>154</v>
      </c>
      <c r="B669" s="6">
        <v>36613</v>
      </c>
      <c r="C669" s="7">
        <v>33.467646999999999</v>
      </c>
      <c r="D669" s="7">
        <v>-111.913214</v>
      </c>
      <c r="E669" s="17">
        <v>369</v>
      </c>
      <c r="F669" s="8" t="s">
        <v>1700</v>
      </c>
      <c r="G669" s="8" t="s">
        <v>1699</v>
      </c>
      <c r="H669" s="8" t="s">
        <v>1701</v>
      </c>
      <c r="I669">
        <v>1</v>
      </c>
      <c r="J669" s="8">
        <v>15.511503911271067</v>
      </c>
      <c r="K669" s="8">
        <v>60.909370769607676</v>
      </c>
      <c r="L669" s="8">
        <v>23.57912531912126</v>
      </c>
      <c r="M669" s="8">
        <v>9.1965973095988929</v>
      </c>
      <c r="N669" s="8">
        <v>8.3359593109295229</v>
      </c>
      <c r="O669" s="8">
        <v>97.056860398439767</v>
      </c>
      <c r="P669" s="8">
        <v>375.99471198030972</v>
      </c>
      <c r="Q669" s="8">
        <v>32.451903100557935</v>
      </c>
      <c r="R669" s="8">
        <v>8.2445444558877199</v>
      </c>
      <c r="S669" s="8">
        <v>1.877</v>
      </c>
      <c r="T669" s="8">
        <v>1.2789999999999999</v>
      </c>
      <c r="U669" s="8">
        <v>0.80500000000000005</v>
      </c>
      <c r="V669" s="8">
        <v>1.226</v>
      </c>
      <c r="W669" s="8">
        <v>1.0720000000000001</v>
      </c>
      <c r="X669" s="8">
        <v>5.2999999999999999E-2</v>
      </c>
      <c r="Y669" s="8">
        <v>2.6950400000000001</v>
      </c>
      <c r="Z669" s="8">
        <v>1.7220200000000001</v>
      </c>
      <c r="AA669" s="9">
        <v>8.4</v>
      </c>
      <c r="AB669" s="10">
        <v>0.75449999999999995</v>
      </c>
      <c r="AC669" s="8">
        <v>6.3403799999999997</v>
      </c>
      <c r="AD669" s="8">
        <v>10.16949</v>
      </c>
      <c r="AE669" s="8">
        <v>9.8000000000000004E-2</v>
      </c>
      <c r="AF669" s="8">
        <v>6.3E-2</v>
      </c>
      <c r="AG669" s="8">
        <v>1.1859356149349607</v>
      </c>
      <c r="AH669" s="8">
        <v>19.153061224489797</v>
      </c>
      <c r="AI669" s="8">
        <v>13.051020408163264</v>
      </c>
      <c r="AJ669" t="s">
        <v>1694</v>
      </c>
      <c r="AK669" t="s">
        <v>1694</v>
      </c>
      <c r="AL669" t="s">
        <v>1702</v>
      </c>
      <c r="AM669" t="s">
        <v>1703</v>
      </c>
      <c r="AN669" t="s">
        <v>1702</v>
      </c>
      <c r="AO669" t="s">
        <v>1703</v>
      </c>
      <c r="AP669" s="11" t="s">
        <v>1697</v>
      </c>
      <c r="AQ669" s="11" t="s">
        <v>1697</v>
      </c>
      <c r="AR669" s="11" t="s">
        <v>1697</v>
      </c>
      <c r="AS669" t="s">
        <v>1694</v>
      </c>
      <c r="AT669" t="s">
        <v>1694</v>
      </c>
      <c r="AU669" t="s">
        <v>1706</v>
      </c>
      <c r="AV669" t="s">
        <v>1707</v>
      </c>
      <c r="AW669" t="s">
        <v>1706</v>
      </c>
      <c r="AX669" t="s">
        <v>1706</v>
      </c>
      <c r="AY669" t="s">
        <v>1707</v>
      </c>
      <c r="AZ669" t="s">
        <v>1706</v>
      </c>
      <c r="BA669" t="s">
        <v>1700</v>
      </c>
      <c r="BB669" t="s">
        <v>1706</v>
      </c>
      <c r="BC669" t="s">
        <v>1707</v>
      </c>
      <c r="BD669" t="s">
        <v>1706</v>
      </c>
      <c r="BE669" t="s">
        <v>1706</v>
      </c>
      <c r="BF669" t="s">
        <v>1707</v>
      </c>
      <c r="BG669" s="8">
        <v>25</v>
      </c>
      <c r="BH669" s="14" t="s">
        <v>1709</v>
      </c>
      <c r="BI669" t="b">
        <v>0</v>
      </c>
      <c r="BJ669">
        <f t="shared" si="10"/>
        <v>0</v>
      </c>
    </row>
    <row r="670" spans="1:62" x14ac:dyDescent="0.2">
      <c r="A670" s="5" t="s">
        <v>154</v>
      </c>
      <c r="B670" s="6">
        <v>38429</v>
      </c>
      <c r="C670" s="7">
        <v>33.467646999999999</v>
      </c>
      <c r="D670" s="7">
        <v>-111.913214</v>
      </c>
      <c r="E670" s="17">
        <v>369</v>
      </c>
      <c r="F670" t="s">
        <v>1700</v>
      </c>
      <c r="G670" t="s">
        <v>1699</v>
      </c>
      <c r="H670" t="s">
        <v>1701</v>
      </c>
      <c r="I670">
        <v>1</v>
      </c>
      <c r="J670" s="8">
        <v>11.467036443891123</v>
      </c>
      <c r="K670" s="8">
        <v>67.254773789529452</v>
      </c>
      <c r="L670" s="8">
        <v>21.27818976657943</v>
      </c>
      <c r="M670" s="8">
        <v>2.3354380020063803</v>
      </c>
      <c r="N670" s="8">
        <v>2.9958051166482411</v>
      </c>
      <c r="O670" s="8">
        <v>0.59963948700163827</v>
      </c>
      <c r="P670" s="8">
        <v>2.097063581653769</v>
      </c>
      <c r="Q670" s="8">
        <v>35.352919299732221</v>
      </c>
      <c r="R670" s="8">
        <v>4.9606225604322036</v>
      </c>
      <c r="S670" s="8">
        <v>2.3109999999999999</v>
      </c>
      <c r="T670" s="8">
        <v>2.387</v>
      </c>
      <c r="U670" s="8">
        <v>1.159</v>
      </c>
      <c r="V670" s="8">
        <v>1.6919999999999999</v>
      </c>
      <c r="W670" s="8">
        <v>1.1519999999999999</v>
      </c>
      <c r="X670" s="8">
        <v>0.69500000000000006</v>
      </c>
      <c r="Y670" s="8">
        <v>3.9697542533081274</v>
      </c>
      <c r="Z670" s="8">
        <v>3.1772575250836335</v>
      </c>
      <c r="AA670" s="8">
        <v>8.61</v>
      </c>
      <c r="AB670">
        <v>0.20899999999999999</v>
      </c>
      <c r="AC670" s="8">
        <v>10.39697542533081</v>
      </c>
      <c r="AD670" s="8">
        <v>11.371237458193974</v>
      </c>
      <c r="AE670" s="8">
        <v>0.08</v>
      </c>
      <c r="AF670" s="8">
        <v>3.5000000000000003E-2</v>
      </c>
      <c r="AG670" s="8">
        <v>1.1463576873257906</v>
      </c>
      <c r="AH670" s="8">
        <v>28.887499999999999</v>
      </c>
      <c r="AI670" s="8">
        <v>29.837499999999999</v>
      </c>
      <c r="AJ670" t="s">
        <v>1694</v>
      </c>
      <c r="AK670" t="s">
        <v>1694</v>
      </c>
      <c r="AL670" t="s">
        <v>1702</v>
      </c>
      <c r="AM670" t="s">
        <v>1703</v>
      </c>
      <c r="AN670" t="s">
        <v>1702</v>
      </c>
      <c r="AO670" t="s">
        <v>1703</v>
      </c>
      <c r="AP670" s="11" t="s">
        <v>1697</v>
      </c>
      <c r="AQ670" s="11" t="s">
        <v>1697</v>
      </c>
      <c r="AR670" s="11" t="s">
        <v>1697</v>
      </c>
      <c r="AS670" t="s">
        <v>1694</v>
      </c>
      <c r="AT670" t="s">
        <v>1694</v>
      </c>
      <c r="AU670" t="s">
        <v>1706</v>
      </c>
      <c r="AV670" t="s">
        <v>1707</v>
      </c>
      <c r="AW670" t="s">
        <v>1706</v>
      </c>
      <c r="AX670" t="s">
        <v>1706</v>
      </c>
      <c r="AY670" t="s">
        <v>1707</v>
      </c>
      <c r="AZ670" t="s">
        <v>1706</v>
      </c>
      <c r="BA670" t="s">
        <v>1700</v>
      </c>
      <c r="BB670" t="s">
        <v>1706</v>
      </c>
      <c r="BC670" t="s">
        <v>1707</v>
      </c>
      <c r="BD670" t="s">
        <v>1706</v>
      </c>
      <c r="BE670" t="s">
        <v>1706</v>
      </c>
      <c r="BF670" t="s">
        <v>1707</v>
      </c>
      <c r="BG670" s="8">
        <v>30</v>
      </c>
      <c r="BH670" s="14" t="s">
        <v>1709</v>
      </c>
      <c r="BI670" t="b">
        <v>0</v>
      </c>
      <c r="BJ670">
        <f t="shared" si="10"/>
        <v>0</v>
      </c>
    </row>
    <row r="671" spans="1:62" x14ac:dyDescent="0.2">
      <c r="A671" s="5" t="s">
        <v>154</v>
      </c>
      <c r="B671" s="6">
        <v>40318</v>
      </c>
      <c r="C671" s="7">
        <v>33.467646999999999</v>
      </c>
      <c r="D671" s="7">
        <v>-111.913214</v>
      </c>
      <c r="E671" s="17">
        <v>369</v>
      </c>
      <c r="F671" t="s">
        <v>1700</v>
      </c>
      <c r="G671" t="s">
        <v>1699</v>
      </c>
      <c r="H671" t="s">
        <v>1701</v>
      </c>
      <c r="I671">
        <v>1</v>
      </c>
      <c r="J671" s="8">
        <v>11.608587504451139</v>
      </c>
      <c r="K671" s="8">
        <v>54.925251967213903</v>
      </c>
      <c r="L671" s="8">
        <v>33.466160528334953</v>
      </c>
      <c r="M671" s="8">
        <v>3.0153756835345074</v>
      </c>
      <c r="N671" s="8">
        <v>1.2142163692984294</v>
      </c>
      <c r="O671" s="8">
        <v>174.46592793115371</v>
      </c>
      <c r="P671" s="8">
        <v>349.5258681564265</v>
      </c>
      <c r="Q671" s="8">
        <v>27.584849077618632</v>
      </c>
      <c r="R671" s="8">
        <v>12.775617274395811</v>
      </c>
      <c r="S671" s="8">
        <v>2.056</v>
      </c>
      <c r="T671" s="8">
        <v>1.923</v>
      </c>
      <c r="U671" s="8">
        <v>1.6020000000000001</v>
      </c>
      <c r="V671" s="8">
        <v>1.302</v>
      </c>
      <c r="W671" s="8">
        <v>0.45399999999999996</v>
      </c>
      <c r="X671" s="8">
        <v>0.621</v>
      </c>
      <c r="Y671" s="8">
        <v>3.5971223021582821</v>
      </c>
      <c r="Z671" s="8">
        <v>3.462321792260691</v>
      </c>
      <c r="AA671" s="8">
        <v>7.94</v>
      </c>
      <c r="AB671">
        <v>4.91</v>
      </c>
      <c r="AC671" s="8">
        <v>1.4388489208633</v>
      </c>
      <c r="AD671" s="8">
        <v>4.6843177189409451</v>
      </c>
      <c r="AE671" s="8">
        <v>6.0999999999999999E-2</v>
      </c>
      <c r="AF671" s="8">
        <v>5.1999999999999998E-2</v>
      </c>
      <c r="AG671" s="8">
        <v>1.3492803377504625</v>
      </c>
      <c r="AH671" s="8">
        <v>33.704918032786885</v>
      </c>
      <c r="AI671" s="8">
        <v>31.524590163934427</v>
      </c>
      <c r="AJ671" t="s">
        <v>1694</v>
      </c>
      <c r="AK671" t="s">
        <v>1694</v>
      </c>
      <c r="AL671" t="s">
        <v>1702</v>
      </c>
      <c r="AM671" t="s">
        <v>1703</v>
      </c>
      <c r="AN671" t="s">
        <v>1702</v>
      </c>
      <c r="AO671" t="s">
        <v>1703</v>
      </c>
      <c r="AP671" s="11" t="s">
        <v>1697</v>
      </c>
      <c r="AQ671" s="11" t="s">
        <v>1697</v>
      </c>
      <c r="AR671" s="11" t="s">
        <v>1697</v>
      </c>
      <c r="AS671" t="s">
        <v>1694</v>
      </c>
      <c r="AT671" t="s">
        <v>1694</v>
      </c>
      <c r="AU671" t="s">
        <v>1706</v>
      </c>
      <c r="AV671" t="s">
        <v>1707</v>
      </c>
      <c r="AW671" t="s">
        <v>1706</v>
      </c>
      <c r="AX671" t="s">
        <v>1706</v>
      </c>
      <c r="AY671" t="s">
        <v>1707</v>
      </c>
      <c r="AZ671" t="s">
        <v>1706</v>
      </c>
      <c r="BA671" t="s">
        <v>1700</v>
      </c>
      <c r="BB671" t="s">
        <v>1706</v>
      </c>
      <c r="BC671" t="s">
        <v>1707</v>
      </c>
      <c r="BD671" t="s">
        <v>1706</v>
      </c>
      <c r="BE671" t="s">
        <v>1706</v>
      </c>
      <c r="BF671" t="s">
        <v>1707</v>
      </c>
      <c r="BG671" s="8">
        <v>35</v>
      </c>
      <c r="BH671" s="14" t="s">
        <v>1709</v>
      </c>
      <c r="BI671" t="b">
        <v>0</v>
      </c>
      <c r="BJ671">
        <f t="shared" si="10"/>
        <v>0</v>
      </c>
    </row>
    <row r="672" spans="1:62" x14ac:dyDescent="0.2">
      <c r="A672" s="5" t="s">
        <v>154</v>
      </c>
      <c r="B672" s="6">
        <v>42116</v>
      </c>
      <c r="C672" s="7">
        <v>33.467646999999999</v>
      </c>
      <c r="D672" s="7">
        <v>-111.913214</v>
      </c>
      <c r="E672" s="17">
        <v>369</v>
      </c>
      <c r="F672" t="s">
        <v>1700</v>
      </c>
      <c r="G672" t="s">
        <v>1699</v>
      </c>
      <c r="H672" t="s">
        <v>1701</v>
      </c>
      <c r="I672">
        <v>1</v>
      </c>
      <c r="J672">
        <v>10.009241273391501</v>
      </c>
      <c r="K672">
        <v>72.886834668006998</v>
      </c>
      <c r="L672">
        <v>17.1039240586015</v>
      </c>
      <c r="M672">
        <v>11.7827878084106</v>
      </c>
      <c r="N672" t="s">
        <v>1697</v>
      </c>
      <c r="O672">
        <v>473.60579647157903</v>
      </c>
      <c r="P672" t="s">
        <v>1697</v>
      </c>
      <c r="Q672">
        <v>11.5748806824264</v>
      </c>
      <c r="R672" t="s">
        <v>1697</v>
      </c>
      <c r="S672">
        <v>1.655</v>
      </c>
      <c r="T672" t="s">
        <v>1697</v>
      </c>
      <c r="U672">
        <v>1.036</v>
      </c>
      <c r="V672" t="s">
        <v>1697</v>
      </c>
      <c r="W672">
        <v>0.61899999999999999</v>
      </c>
      <c r="X672" t="s">
        <v>1697</v>
      </c>
      <c r="Y672">
        <v>2.4802705749717999</v>
      </c>
      <c r="Z672" t="s">
        <v>1697</v>
      </c>
      <c r="AA672">
        <v>8.02</v>
      </c>
      <c r="AB672">
        <v>3.2</v>
      </c>
      <c r="AC672">
        <v>3.6253776435045402</v>
      </c>
      <c r="AD672" t="s">
        <v>1697</v>
      </c>
      <c r="AE672">
        <v>0.115</v>
      </c>
      <c r="AF672" t="s">
        <v>1697</v>
      </c>
      <c r="AG672">
        <v>1.3382206847821463</v>
      </c>
      <c r="AH672">
        <v>14.3913043478261</v>
      </c>
      <c r="AI672" t="s">
        <v>1697</v>
      </c>
      <c r="AJ672" t="s">
        <v>1694</v>
      </c>
      <c r="AK672" t="s">
        <v>1694</v>
      </c>
      <c r="AL672" t="s">
        <v>1702</v>
      </c>
      <c r="AM672" t="s">
        <v>1703</v>
      </c>
      <c r="AN672" t="s">
        <v>1702</v>
      </c>
      <c r="AO672" t="s">
        <v>1703</v>
      </c>
      <c r="AP672" t="s">
        <v>1697</v>
      </c>
      <c r="AQ672" t="s">
        <v>1697</v>
      </c>
      <c r="AR672" s="11" t="s">
        <v>1697</v>
      </c>
      <c r="AS672" t="s">
        <v>1694</v>
      </c>
      <c r="AT672" t="s">
        <v>1694</v>
      </c>
      <c r="AU672" t="s">
        <v>1706</v>
      </c>
      <c r="AV672" t="s">
        <v>1707</v>
      </c>
      <c r="AW672" t="s">
        <v>1706</v>
      </c>
      <c r="AX672" t="s">
        <v>1706</v>
      </c>
      <c r="AY672" t="s">
        <v>1707</v>
      </c>
      <c r="AZ672" t="s">
        <v>1706</v>
      </c>
      <c r="BA672" t="s">
        <v>1700</v>
      </c>
      <c r="BB672" t="s">
        <v>1706</v>
      </c>
      <c r="BC672" t="s">
        <v>1707</v>
      </c>
      <c r="BD672" t="s">
        <v>1706</v>
      </c>
      <c r="BE672" t="s">
        <v>1706</v>
      </c>
      <c r="BF672" t="s">
        <v>1707</v>
      </c>
      <c r="BG672" s="8">
        <v>40</v>
      </c>
      <c r="BH672" s="14" t="s">
        <v>1709</v>
      </c>
      <c r="BI672" t="b">
        <v>0</v>
      </c>
      <c r="BJ672">
        <f t="shared" si="10"/>
        <v>0</v>
      </c>
    </row>
    <row r="673" spans="1:62" x14ac:dyDescent="0.2">
      <c r="A673" s="5" t="s">
        <v>155</v>
      </c>
      <c r="B673" s="6">
        <v>36613</v>
      </c>
      <c r="C673" s="7">
        <v>33.454869000000002</v>
      </c>
      <c r="D673" s="7">
        <v>-111.89426899999999</v>
      </c>
      <c r="E673" s="17">
        <v>362</v>
      </c>
      <c r="F673" t="s">
        <v>1706</v>
      </c>
      <c r="G673" t="s">
        <v>1728</v>
      </c>
      <c r="H673" t="s">
        <v>1728</v>
      </c>
      <c r="I673">
        <v>1</v>
      </c>
      <c r="J673" s="8">
        <v>22.292878987997145</v>
      </c>
      <c r="K673" s="8">
        <v>46.84628643677808</v>
      </c>
      <c r="L673" s="8">
        <v>30.860834575224771</v>
      </c>
      <c r="M673" s="8">
        <v>2.3592478154523371</v>
      </c>
      <c r="N673" s="8">
        <v>2.0414785201080701</v>
      </c>
      <c r="O673" s="8">
        <v>63.91292188633868</v>
      </c>
      <c r="P673" s="8">
        <v>76.986547057822619</v>
      </c>
      <c r="Q673" s="8">
        <v>12.97134549183945</v>
      </c>
      <c r="R673" s="8">
        <v>7.5977354666031536</v>
      </c>
      <c r="S673" s="8">
        <v>1.744</v>
      </c>
      <c r="T673" s="8">
        <v>1.55</v>
      </c>
      <c r="U673" s="8">
        <v>1.3460000000000001</v>
      </c>
      <c r="V673" s="8">
        <v>1.262</v>
      </c>
      <c r="W673" s="8">
        <v>0.39800000000000002</v>
      </c>
      <c r="X673" s="8">
        <v>0.28799999999999998</v>
      </c>
      <c r="Y673" s="8">
        <v>2.0066899999999999</v>
      </c>
      <c r="Z673" s="8">
        <v>1.7494799999999999</v>
      </c>
      <c r="AA673" s="9">
        <v>8.43</v>
      </c>
      <c r="AB673" s="10">
        <v>1.3160000000000001</v>
      </c>
      <c r="AC673" s="8">
        <v>10.177709999999999</v>
      </c>
      <c r="AD673" s="8">
        <v>11.52355</v>
      </c>
      <c r="AE673" s="8">
        <v>0.06</v>
      </c>
      <c r="AF673" s="8">
        <v>6.5000000000000002E-2</v>
      </c>
      <c r="AG673" s="8">
        <v>1.2834990669139057</v>
      </c>
      <c r="AH673" s="8">
        <v>29.066666666666666</v>
      </c>
      <c r="AI673" s="8">
        <v>25.833333333333336</v>
      </c>
      <c r="AJ673" t="s">
        <v>1694</v>
      </c>
      <c r="AK673" t="s">
        <v>1694</v>
      </c>
      <c r="AL673" t="s">
        <v>1694</v>
      </c>
      <c r="AM673" t="s">
        <v>1694</v>
      </c>
      <c r="AN673" t="s">
        <v>1694</v>
      </c>
      <c r="AO673" t="s">
        <v>1694</v>
      </c>
      <c r="AP673" s="11" t="s">
        <v>1695</v>
      </c>
      <c r="AQ673" s="11" t="s">
        <v>1694</v>
      </c>
      <c r="AR673" s="11" t="s">
        <v>1694</v>
      </c>
      <c r="AS673" t="s">
        <v>1694</v>
      </c>
      <c r="AT673" t="s">
        <v>1694</v>
      </c>
      <c r="AU673" t="s">
        <v>1755</v>
      </c>
      <c r="AV673" t="s">
        <v>1756</v>
      </c>
      <c r="AW673" t="s">
        <v>1700</v>
      </c>
      <c r="AX673" t="s">
        <v>1706</v>
      </c>
      <c r="AY673" t="s">
        <v>1723</v>
      </c>
      <c r="AZ673" t="s">
        <v>1706</v>
      </c>
      <c r="BA673" t="s">
        <v>1700</v>
      </c>
      <c r="BB673" t="s">
        <v>1706</v>
      </c>
      <c r="BC673" t="s">
        <v>1723</v>
      </c>
      <c r="BD673" t="s">
        <v>1706</v>
      </c>
      <c r="BE673" t="s">
        <v>1706</v>
      </c>
      <c r="BF673" t="s">
        <v>1723</v>
      </c>
      <c r="BG673" s="8">
        <v>25</v>
      </c>
      <c r="BH673" s="14" t="s">
        <v>1709</v>
      </c>
      <c r="BI673" t="b">
        <v>0</v>
      </c>
      <c r="BJ673">
        <f t="shared" si="10"/>
        <v>0</v>
      </c>
    </row>
    <row r="674" spans="1:62" x14ac:dyDescent="0.2">
      <c r="A674" s="5" t="s">
        <v>155</v>
      </c>
      <c r="B674" s="6">
        <v>38463</v>
      </c>
      <c r="C674" s="7">
        <v>33.454869000000002</v>
      </c>
      <c r="D674" s="7">
        <v>-111.89426899999999</v>
      </c>
      <c r="E674" s="17">
        <v>362</v>
      </c>
      <c r="F674" t="s">
        <v>1706</v>
      </c>
      <c r="G674" t="s">
        <v>1728</v>
      </c>
      <c r="H674" t="s">
        <v>1728</v>
      </c>
      <c r="I674">
        <v>1</v>
      </c>
      <c r="J674" s="8">
        <v>21.222898179890272</v>
      </c>
      <c r="K674" s="8">
        <v>54.093691280344508</v>
      </c>
      <c r="L674" s="8">
        <v>24.683410539765219</v>
      </c>
      <c r="M674" s="8">
        <v>2.1564815668339623</v>
      </c>
      <c r="N674" s="8">
        <v>2.2666530546760995</v>
      </c>
      <c r="O674" s="8">
        <v>3.9796887097026765</v>
      </c>
      <c r="P674" s="8">
        <v>2.4799851068809087</v>
      </c>
      <c r="Q674" s="8">
        <v>3.6400314650322119</v>
      </c>
      <c r="R674" s="8">
        <v>8.4256238199866917</v>
      </c>
      <c r="S674" s="8">
        <v>1.78</v>
      </c>
      <c r="T674" s="8">
        <v>1.4810000000000001</v>
      </c>
      <c r="U674" s="8">
        <v>1.167</v>
      </c>
      <c r="V674" s="8">
        <v>1.04</v>
      </c>
      <c r="W674" s="8">
        <v>0.61299999999999999</v>
      </c>
      <c r="X674" s="8">
        <v>0.44100000000000006</v>
      </c>
      <c r="Y674" s="8">
        <v>3.4438775510204032</v>
      </c>
      <c r="Z674" s="8">
        <v>2.8186274509803972</v>
      </c>
      <c r="AA674" s="8">
        <v>8.44</v>
      </c>
      <c r="AB674">
        <v>0.79800000000000004</v>
      </c>
      <c r="AC674" s="8">
        <v>5.4846938775510168</v>
      </c>
      <c r="AD674" s="8">
        <v>7.7205882352941053</v>
      </c>
      <c r="AE674" s="8">
        <v>0.05</v>
      </c>
      <c r="AF674" s="8">
        <v>0.04</v>
      </c>
      <c r="AG674" s="8">
        <v>1.2301350809811074</v>
      </c>
      <c r="AH674" s="8">
        <v>35.6</v>
      </c>
      <c r="AI674" s="8">
        <v>29.62</v>
      </c>
      <c r="AJ674" t="s">
        <v>1694</v>
      </c>
      <c r="AK674" t="s">
        <v>1694</v>
      </c>
      <c r="AL674" t="s">
        <v>1694</v>
      </c>
      <c r="AM674" t="s">
        <v>1694</v>
      </c>
      <c r="AN674" t="s">
        <v>1694</v>
      </c>
      <c r="AO674" t="s">
        <v>1694</v>
      </c>
      <c r="AP674" s="11" t="s">
        <v>1695</v>
      </c>
      <c r="AQ674" s="11" t="s">
        <v>1694</v>
      </c>
      <c r="AR674" s="11" t="s">
        <v>1694</v>
      </c>
      <c r="AS674" t="s">
        <v>1694</v>
      </c>
      <c r="AT674" t="s">
        <v>1694</v>
      </c>
      <c r="AU674" t="s">
        <v>1755</v>
      </c>
      <c r="AV674" t="s">
        <v>1756</v>
      </c>
      <c r="AW674" t="s">
        <v>1700</v>
      </c>
      <c r="AX674" t="s">
        <v>1706</v>
      </c>
      <c r="AY674" t="s">
        <v>1723</v>
      </c>
      <c r="AZ674" t="s">
        <v>1706</v>
      </c>
      <c r="BA674" t="s">
        <v>1700</v>
      </c>
      <c r="BB674" t="s">
        <v>1706</v>
      </c>
      <c r="BC674" t="s">
        <v>1723</v>
      </c>
      <c r="BD674" t="s">
        <v>1706</v>
      </c>
      <c r="BE674" t="s">
        <v>1706</v>
      </c>
      <c r="BF674" t="s">
        <v>1723</v>
      </c>
      <c r="BG674">
        <v>30</v>
      </c>
      <c r="BH674" s="12" t="s">
        <v>1709</v>
      </c>
      <c r="BI674" t="b">
        <v>0</v>
      </c>
      <c r="BJ674">
        <f t="shared" si="10"/>
        <v>0</v>
      </c>
    </row>
    <row r="675" spans="1:62" x14ac:dyDescent="0.2">
      <c r="A675" s="5" t="s">
        <v>155</v>
      </c>
      <c r="B675" s="6">
        <v>40319</v>
      </c>
      <c r="C675" s="7">
        <v>33.454869000000002</v>
      </c>
      <c r="D675" s="7">
        <v>-111.89426899999999</v>
      </c>
      <c r="E675" s="17">
        <v>362</v>
      </c>
      <c r="F675" t="s">
        <v>1706</v>
      </c>
      <c r="G675" t="s">
        <v>1728</v>
      </c>
      <c r="H675" t="s">
        <v>1728</v>
      </c>
      <c r="I675">
        <v>1</v>
      </c>
      <c r="J675" s="8">
        <v>13.292954135191994</v>
      </c>
      <c r="K675" s="8">
        <v>57.962226783696629</v>
      </c>
      <c r="L675" s="8">
        <v>28.744819081111373</v>
      </c>
      <c r="M675" s="8">
        <v>2.9874653010311292</v>
      </c>
      <c r="N675" s="8">
        <v>3.0349908319045396</v>
      </c>
      <c r="O675" s="8">
        <v>74.161902086487061</v>
      </c>
      <c r="P675" s="8">
        <v>61.979203874022446</v>
      </c>
      <c r="Q675" s="8">
        <v>29.820904920454918</v>
      </c>
      <c r="R675" s="8">
        <v>17.789417169649052</v>
      </c>
      <c r="S675" s="8">
        <v>1.9850000000000001</v>
      </c>
      <c r="T675" s="8">
        <v>1.6950000000000001</v>
      </c>
      <c r="U675" s="8">
        <v>1.6180000000000001</v>
      </c>
      <c r="V675" s="8">
        <v>1.5940000000000001</v>
      </c>
      <c r="W675" s="8">
        <v>0.36699999999999999</v>
      </c>
      <c r="X675" s="8">
        <v>0.10099999999999998</v>
      </c>
      <c r="Y675" s="8">
        <v>3.8291605301914542</v>
      </c>
      <c r="Z675" s="8">
        <v>3.2188841201716811</v>
      </c>
      <c r="AA675" s="8">
        <v>8.6300000000000008</v>
      </c>
      <c r="AB675">
        <v>0.29799999999999999</v>
      </c>
      <c r="AC675" s="8">
        <v>2.6509572901325433</v>
      </c>
      <c r="AD675" s="8">
        <v>4.0772532188841284</v>
      </c>
      <c r="AE675" s="8">
        <v>8.2000000000000003E-2</v>
      </c>
      <c r="AF675" s="8">
        <v>5.7000000000000002E-2</v>
      </c>
      <c r="AG675" s="8">
        <v>1.3630931708737537</v>
      </c>
      <c r="AH675" s="8">
        <v>24.207317073170731</v>
      </c>
      <c r="AI675" s="8">
        <v>20.670731707317074</v>
      </c>
      <c r="AJ675" t="s">
        <v>1694</v>
      </c>
      <c r="AK675" t="s">
        <v>1694</v>
      </c>
      <c r="AL675" t="s">
        <v>1694</v>
      </c>
      <c r="AM675" t="s">
        <v>1694</v>
      </c>
      <c r="AN675" t="s">
        <v>1694</v>
      </c>
      <c r="AO675" t="s">
        <v>1694</v>
      </c>
      <c r="AP675" s="11" t="s">
        <v>1695</v>
      </c>
      <c r="AQ675" s="11" t="s">
        <v>1694</v>
      </c>
      <c r="AR675" s="11" t="s">
        <v>1694</v>
      </c>
      <c r="AS675" t="s">
        <v>1694</v>
      </c>
      <c r="AT675" t="s">
        <v>1694</v>
      </c>
      <c r="AU675" t="s">
        <v>1755</v>
      </c>
      <c r="AV675" t="s">
        <v>1756</v>
      </c>
      <c r="AW675" t="s">
        <v>1700</v>
      </c>
      <c r="AX675" t="s">
        <v>1706</v>
      </c>
      <c r="AY675" t="s">
        <v>1723</v>
      </c>
      <c r="AZ675" t="s">
        <v>1706</v>
      </c>
      <c r="BA675" t="s">
        <v>1700</v>
      </c>
      <c r="BB675" t="s">
        <v>1706</v>
      </c>
      <c r="BC675" t="s">
        <v>1723</v>
      </c>
      <c r="BD675" t="s">
        <v>1706</v>
      </c>
      <c r="BE675" t="s">
        <v>1706</v>
      </c>
      <c r="BF675" t="s">
        <v>1723</v>
      </c>
      <c r="BG675">
        <v>35</v>
      </c>
      <c r="BH675" s="12" t="s">
        <v>1709</v>
      </c>
      <c r="BI675" t="b">
        <v>0</v>
      </c>
      <c r="BJ675">
        <f t="shared" si="10"/>
        <v>0</v>
      </c>
    </row>
    <row r="676" spans="1:62" x14ac:dyDescent="0.2">
      <c r="A676" s="5" t="s">
        <v>155</v>
      </c>
      <c r="B676" s="6">
        <v>42184</v>
      </c>
      <c r="C676" s="7">
        <v>33.454869000000002</v>
      </c>
      <c r="D676" s="7">
        <v>-111.89426899999999</v>
      </c>
      <c r="E676" s="17">
        <v>362</v>
      </c>
      <c r="F676" t="s">
        <v>1706</v>
      </c>
      <c r="G676" t="s">
        <v>1728</v>
      </c>
      <c r="H676" t="s">
        <v>1728</v>
      </c>
      <c r="I676">
        <v>1</v>
      </c>
      <c r="J676">
        <v>16.6444508732719</v>
      </c>
      <c r="K676">
        <v>55.5304008453232</v>
      </c>
      <c r="L676">
        <v>27.8251482814049</v>
      </c>
      <c r="M676">
        <v>5.7103746616745203</v>
      </c>
      <c r="N676">
        <v>2.66661413694391</v>
      </c>
      <c r="O676">
        <v>65.489611504519004</v>
      </c>
      <c r="P676">
        <v>57.875403120338099</v>
      </c>
      <c r="Q676">
        <v>17.362357428206799</v>
      </c>
      <c r="R676">
        <v>12.170672118792</v>
      </c>
      <c r="S676">
        <v>1.786</v>
      </c>
      <c r="T676">
        <v>1.639</v>
      </c>
      <c r="U676">
        <v>1.2989999999999999</v>
      </c>
      <c r="V676">
        <v>1.343</v>
      </c>
      <c r="W676">
        <v>0.48699999999999999</v>
      </c>
      <c r="X676">
        <v>0.29599999999999999</v>
      </c>
      <c r="Y676">
        <v>2.2151898734177302</v>
      </c>
      <c r="Z676">
        <v>2.3917995444191198</v>
      </c>
      <c r="AA676">
        <v>8.91</v>
      </c>
      <c r="AB676">
        <v>0.74199999999999999</v>
      </c>
      <c r="AC676">
        <v>4.1208791208791098</v>
      </c>
      <c r="AD676">
        <v>8.2949308755760498</v>
      </c>
      <c r="AE676">
        <v>7.6999999999999999E-2</v>
      </c>
      <c r="AF676">
        <v>5.5E-2</v>
      </c>
      <c r="AG676">
        <v>1.6330491563633722</v>
      </c>
      <c r="AH676">
        <v>23.194805194805198</v>
      </c>
      <c r="AI676">
        <v>29.8</v>
      </c>
      <c r="AJ676" t="s">
        <v>1694</v>
      </c>
      <c r="AK676" t="s">
        <v>1694</v>
      </c>
      <c r="AL676" t="s">
        <v>1694</v>
      </c>
      <c r="AM676" t="s">
        <v>1694</v>
      </c>
      <c r="AN676" t="s">
        <v>1694</v>
      </c>
      <c r="AO676" t="s">
        <v>1694</v>
      </c>
      <c r="AP676" t="s">
        <v>1697</v>
      </c>
      <c r="AQ676" t="s">
        <v>1697</v>
      </c>
      <c r="AR676" s="11" t="s">
        <v>1694</v>
      </c>
      <c r="AS676" t="s">
        <v>1694</v>
      </c>
      <c r="AT676" t="s">
        <v>1694</v>
      </c>
      <c r="AU676" t="s">
        <v>1755</v>
      </c>
      <c r="AV676" t="s">
        <v>1756</v>
      </c>
      <c r="AW676" t="s">
        <v>1700</v>
      </c>
      <c r="AX676" t="s">
        <v>1706</v>
      </c>
      <c r="AY676" t="s">
        <v>1723</v>
      </c>
      <c r="AZ676" t="s">
        <v>1706</v>
      </c>
      <c r="BA676" t="s">
        <v>1700</v>
      </c>
      <c r="BB676" t="s">
        <v>1706</v>
      </c>
      <c r="BC676" t="s">
        <v>1723</v>
      </c>
      <c r="BD676" t="s">
        <v>1706</v>
      </c>
      <c r="BE676" t="s">
        <v>1706</v>
      </c>
      <c r="BF676" t="s">
        <v>1723</v>
      </c>
      <c r="BG676">
        <v>40</v>
      </c>
      <c r="BH676" s="12" t="s">
        <v>1709</v>
      </c>
      <c r="BI676" t="b">
        <v>0</v>
      </c>
      <c r="BJ676">
        <f t="shared" si="10"/>
        <v>0</v>
      </c>
    </row>
    <row r="677" spans="1:62" x14ac:dyDescent="0.2">
      <c r="A677" s="5" t="s">
        <v>156</v>
      </c>
      <c r="B677" s="6">
        <v>38428</v>
      </c>
      <c r="C677" s="7">
        <v>33.414088999999997</v>
      </c>
      <c r="D677" s="7">
        <v>-111.894819</v>
      </c>
      <c r="E677" s="17">
        <v>362</v>
      </c>
      <c r="F677" t="s">
        <v>1706</v>
      </c>
      <c r="G677" t="s">
        <v>1710</v>
      </c>
      <c r="H677" t="s">
        <v>1710</v>
      </c>
      <c r="I677">
        <v>1</v>
      </c>
      <c r="J677" s="8">
        <v>19.587807378201536</v>
      </c>
      <c r="K677" s="8">
        <v>47.200318402759429</v>
      </c>
      <c r="L677" s="8">
        <v>33.211874219039032</v>
      </c>
      <c r="M677" s="8">
        <v>3.7028162619219982</v>
      </c>
      <c r="N677" s="8">
        <v>1.5232462473037147</v>
      </c>
      <c r="O677" s="8">
        <v>8.3377207552933292</v>
      </c>
      <c r="P677" s="8">
        <v>1.5042056692124182</v>
      </c>
      <c r="Q677" s="8">
        <v>36.529632703211441</v>
      </c>
      <c r="R677" s="8">
        <v>10.653074207387426</v>
      </c>
      <c r="S677" s="8">
        <v>4.0369999999999999</v>
      </c>
      <c r="T677" s="8">
        <v>1.8340000000000001</v>
      </c>
      <c r="U677" s="8">
        <v>0.82399999999999995</v>
      </c>
      <c r="V677" s="8">
        <v>0.87</v>
      </c>
      <c r="W677" s="8">
        <v>3.2130000000000001</v>
      </c>
      <c r="X677" s="8">
        <v>0.96400000000000008</v>
      </c>
      <c r="Y677" s="8">
        <v>9.3645484949832856</v>
      </c>
      <c r="Z677" s="8">
        <v>5.0505050505050475</v>
      </c>
      <c r="AA677" s="8">
        <v>7.57</v>
      </c>
      <c r="AB677">
        <v>0.53300000000000003</v>
      </c>
      <c r="AC677" s="8">
        <v>17.224080267558517</v>
      </c>
      <c r="AD677" s="8">
        <v>17.003367003367</v>
      </c>
      <c r="AE677" s="8">
        <v>0.316</v>
      </c>
      <c r="AF677" s="8">
        <v>0.10100000000000001</v>
      </c>
      <c r="AG677" s="8">
        <v>1.0730170971544264</v>
      </c>
      <c r="AH677" s="8">
        <v>12.775316455696203</v>
      </c>
      <c r="AI677" s="8">
        <v>5.8037974683544302</v>
      </c>
      <c r="AJ677" t="s">
        <v>1702</v>
      </c>
      <c r="AK677" t="s">
        <v>1703</v>
      </c>
      <c r="AL677" t="s">
        <v>1702</v>
      </c>
      <c r="AM677" t="s">
        <v>1703</v>
      </c>
      <c r="AN677" t="s">
        <v>1700</v>
      </c>
      <c r="AO677" t="s">
        <v>1700</v>
      </c>
      <c r="AP677" s="11" t="s">
        <v>1697</v>
      </c>
      <c r="AQ677" s="11" t="s">
        <v>1697</v>
      </c>
      <c r="AR677" s="11" t="s">
        <v>1700</v>
      </c>
      <c r="AS677" t="s">
        <v>1700</v>
      </c>
      <c r="AT677" t="s">
        <v>1700</v>
      </c>
      <c r="AU677" t="s">
        <v>1706</v>
      </c>
      <c r="AV677" t="s">
        <v>1759</v>
      </c>
      <c r="AW677" t="s">
        <v>1706</v>
      </c>
      <c r="AX677" t="s">
        <v>1706</v>
      </c>
      <c r="AY677" t="s">
        <v>1759</v>
      </c>
      <c r="AZ677" t="s">
        <v>1706</v>
      </c>
      <c r="BA677" t="s">
        <v>1700</v>
      </c>
      <c r="BB677" t="s">
        <v>1701</v>
      </c>
      <c r="BC677" t="s">
        <v>1739</v>
      </c>
      <c r="BD677" t="s">
        <v>1700</v>
      </c>
      <c r="BE677" t="s">
        <v>1701</v>
      </c>
      <c r="BF677" t="s">
        <v>1739</v>
      </c>
      <c r="BG677">
        <v>71</v>
      </c>
      <c r="BH677" s="12" t="s">
        <v>1712</v>
      </c>
      <c r="BI677" t="b">
        <v>0</v>
      </c>
      <c r="BJ677">
        <f t="shared" si="10"/>
        <v>0</v>
      </c>
    </row>
    <row r="678" spans="1:62" x14ac:dyDescent="0.2">
      <c r="A678" s="5" t="s">
        <v>156</v>
      </c>
      <c r="B678" s="6">
        <v>40260</v>
      </c>
      <c r="C678" s="7">
        <v>33.414088999999997</v>
      </c>
      <c r="D678" s="7">
        <v>-111.894819</v>
      </c>
      <c r="E678" s="17">
        <v>362</v>
      </c>
      <c r="F678" t="s">
        <v>1706</v>
      </c>
      <c r="G678" t="s">
        <v>1710</v>
      </c>
      <c r="H678" t="s">
        <v>1710</v>
      </c>
      <c r="I678">
        <v>1</v>
      </c>
      <c r="J678" s="8">
        <v>26.48521545956925</v>
      </c>
      <c r="K678" s="8">
        <v>43.099214299129862</v>
      </c>
      <c r="L678" s="8">
        <v>30.415570241300884</v>
      </c>
      <c r="M678" s="8">
        <v>0.16227190851289719</v>
      </c>
      <c r="N678" s="8">
        <v>5.0000000000000001E-3</v>
      </c>
      <c r="O678" s="8">
        <v>32.766443065104241</v>
      </c>
      <c r="P678" s="8">
        <v>12.242799515264199</v>
      </c>
      <c r="Q678" s="8">
        <v>55.817356357626991</v>
      </c>
      <c r="R678" s="8">
        <v>17.303357850975374</v>
      </c>
      <c r="S678" s="8">
        <v>3.548</v>
      </c>
      <c r="T678" s="8">
        <v>1.8109999999999999</v>
      </c>
      <c r="U678" s="8">
        <v>0.7</v>
      </c>
      <c r="V678" s="8">
        <v>0.88</v>
      </c>
      <c r="W678" s="8">
        <v>2.8479999999999999</v>
      </c>
      <c r="X678" s="8">
        <v>0.93099999999999994</v>
      </c>
      <c r="Y678" s="8">
        <v>7.6210092687950581</v>
      </c>
      <c r="Z678" s="8">
        <v>5.0040355125100966</v>
      </c>
      <c r="AA678" s="8">
        <v>7.72</v>
      </c>
      <c r="AB678">
        <v>1.8360000000000001</v>
      </c>
      <c r="AC678" s="8">
        <v>18.640576725025731</v>
      </c>
      <c r="AD678" s="8">
        <v>15.254237288135597</v>
      </c>
      <c r="AE678" s="8">
        <v>0.23100000000000001</v>
      </c>
      <c r="AF678" s="8">
        <v>9.0999999999999998E-2</v>
      </c>
      <c r="AG678" s="8" t="s">
        <v>1697</v>
      </c>
      <c r="AH678" s="8">
        <v>15.359307359307358</v>
      </c>
      <c r="AI678" s="8">
        <v>7.8398268398268396</v>
      </c>
      <c r="AJ678" t="s">
        <v>1702</v>
      </c>
      <c r="AK678" t="s">
        <v>1703</v>
      </c>
      <c r="AL678" t="s">
        <v>1702</v>
      </c>
      <c r="AM678" t="s">
        <v>1703</v>
      </c>
      <c r="AN678" t="s">
        <v>1700</v>
      </c>
      <c r="AO678" t="s">
        <v>1700</v>
      </c>
      <c r="AP678" s="11" t="s">
        <v>1697</v>
      </c>
      <c r="AQ678" s="11" t="s">
        <v>1697</v>
      </c>
      <c r="AR678" s="11" t="s">
        <v>1700</v>
      </c>
      <c r="AS678" t="s">
        <v>1700</v>
      </c>
      <c r="AT678" t="s">
        <v>1700</v>
      </c>
      <c r="AU678" t="s">
        <v>1706</v>
      </c>
      <c r="AV678" t="s">
        <v>1759</v>
      </c>
      <c r="AW678" t="s">
        <v>1706</v>
      </c>
      <c r="AX678" t="s">
        <v>1706</v>
      </c>
      <c r="AY678" t="s">
        <v>1759</v>
      </c>
      <c r="AZ678" t="s">
        <v>1706</v>
      </c>
      <c r="BA678" t="s">
        <v>1700</v>
      </c>
      <c r="BB678" t="s">
        <v>1701</v>
      </c>
      <c r="BC678" t="s">
        <v>1739</v>
      </c>
      <c r="BD678" t="s">
        <v>1700</v>
      </c>
      <c r="BE678" t="s">
        <v>1701</v>
      </c>
      <c r="BF678" t="s">
        <v>1739</v>
      </c>
      <c r="BG678">
        <v>76</v>
      </c>
      <c r="BH678" s="12" t="s">
        <v>1712</v>
      </c>
      <c r="BI678" t="b">
        <v>0</v>
      </c>
      <c r="BJ678">
        <f t="shared" si="10"/>
        <v>0</v>
      </c>
    </row>
    <row r="679" spans="1:62" x14ac:dyDescent="0.2">
      <c r="A679" s="5" t="s">
        <v>157</v>
      </c>
      <c r="B679" s="6">
        <v>38428</v>
      </c>
      <c r="C679" s="7">
        <v>33.377267000000003</v>
      </c>
      <c r="D679" s="7">
        <v>-111.91539400000001</v>
      </c>
      <c r="E679" s="17">
        <v>362</v>
      </c>
      <c r="F679" t="s">
        <v>1706</v>
      </c>
      <c r="G679" t="s">
        <v>1710</v>
      </c>
      <c r="H679" t="s">
        <v>1710</v>
      </c>
      <c r="I679">
        <v>1</v>
      </c>
      <c r="J679" s="8">
        <v>15.083040183728423</v>
      </c>
      <c r="K679" s="8">
        <v>47.383462036923184</v>
      </c>
      <c r="L679" s="8">
        <v>37.533497779348394</v>
      </c>
      <c r="M679" s="8">
        <v>1.880667954855233</v>
      </c>
      <c r="N679" s="8">
        <v>1.6386029992597986</v>
      </c>
      <c r="O679" s="8">
        <v>3.0609492230747244</v>
      </c>
      <c r="P679" s="8">
        <v>0.58611568819677418</v>
      </c>
      <c r="Q679" s="8">
        <v>112.30286313023855</v>
      </c>
      <c r="R679" s="8">
        <v>13.681074579973737</v>
      </c>
      <c r="S679" s="8">
        <v>4.0869999999999997</v>
      </c>
      <c r="T679" s="8">
        <v>2.8</v>
      </c>
      <c r="U679" s="8">
        <v>1.518</v>
      </c>
      <c r="V679" s="8">
        <v>2.286</v>
      </c>
      <c r="W679" s="8">
        <v>2.569</v>
      </c>
      <c r="X679" s="8">
        <v>0.51399999999999979</v>
      </c>
      <c r="Y679" s="8">
        <v>6.9679849340866307</v>
      </c>
      <c r="Z679" s="8">
        <v>3.9306358381503079</v>
      </c>
      <c r="AA679" s="8">
        <v>7.73</v>
      </c>
      <c r="AB679">
        <v>0.44500000000000001</v>
      </c>
      <c r="AC679" s="8">
        <v>23.728813559322045</v>
      </c>
      <c r="AD679" s="8">
        <v>19.884393063583801</v>
      </c>
      <c r="AE679" s="8">
        <v>0.22700000000000001</v>
      </c>
      <c r="AF679" s="8">
        <v>6.0999999999999999E-2</v>
      </c>
      <c r="AG679" s="8">
        <v>1.0409708527560124</v>
      </c>
      <c r="AH679" s="8">
        <v>18.004405286343612</v>
      </c>
      <c r="AI679" s="8">
        <v>12.334801762114536</v>
      </c>
      <c r="AJ679" t="s">
        <v>1702</v>
      </c>
      <c r="AK679" t="s">
        <v>1703</v>
      </c>
      <c r="AL679" t="s">
        <v>1702</v>
      </c>
      <c r="AM679" t="s">
        <v>1703</v>
      </c>
      <c r="AN679" t="s">
        <v>1702</v>
      </c>
      <c r="AO679" t="s">
        <v>1703</v>
      </c>
      <c r="AP679" t="s">
        <v>1702</v>
      </c>
      <c r="AQ679" t="s">
        <v>1725</v>
      </c>
      <c r="AR679" s="11" t="s">
        <v>1703</v>
      </c>
      <c r="AS679" t="s">
        <v>1700</v>
      </c>
      <c r="AT679" t="s">
        <v>1700</v>
      </c>
      <c r="AU679" t="s">
        <v>1706</v>
      </c>
      <c r="AV679" t="s">
        <v>1723</v>
      </c>
      <c r="AW679" t="s">
        <v>1706</v>
      </c>
      <c r="AX679" t="s">
        <v>1706</v>
      </c>
      <c r="AY679" t="s">
        <v>1723</v>
      </c>
      <c r="AZ679" t="s">
        <v>1706</v>
      </c>
      <c r="BA679" t="s">
        <v>1700</v>
      </c>
      <c r="BB679" t="s">
        <v>1706</v>
      </c>
      <c r="BC679" t="s">
        <v>1723</v>
      </c>
      <c r="BD679" t="s">
        <v>1706</v>
      </c>
      <c r="BE679" t="s">
        <v>1706</v>
      </c>
      <c r="BF679" t="s">
        <v>1723</v>
      </c>
      <c r="BG679">
        <v>25</v>
      </c>
      <c r="BH679" s="12" t="s">
        <v>1709</v>
      </c>
      <c r="BI679" t="b">
        <v>0</v>
      </c>
      <c r="BJ679">
        <f t="shared" si="10"/>
        <v>0</v>
      </c>
    </row>
    <row r="680" spans="1:62" x14ac:dyDescent="0.2">
      <c r="A680" s="5" t="s">
        <v>157</v>
      </c>
      <c r="B680" s="6">
        <v>40323</v>
      </c>
      <c r="C680" s="7">
        <v>33.377267000000003</v>
      </c>
      <c r="D680" s="7">
        <v>-111.91539400000001</v>
      </c>
      <c r="E680" s="17">
        <v>362</v>
      </c>
      <c r="F680" t="s">
        <v>1706</v>
      </c>
      <c r="G680" t="s">
        <v>1710</v>
      </c>
      <c r="H680" t="s">
        <v>1710</v>
      </c>
      <c r="I680">
        <v>1</v>
      </c>
      <c r="J680" s="8" t="s">
        <v>1697</v>
      </c>
      <c r="K680" s="8" t="s">
        <v>1697</v>
      </c>
      <c r="L680" s="8" t="s">
        <v>1697</v>
      </c>
      <c r="M680" s="8">
        <v>5.3540593724815908</v>
      </c>
      <c r="N680" s="8">
        <v>1.0828618091596898</v>
      </c>
      <c r="O680" s="8">
        <v>375.03473607554361</v>
      </c>
      <c r="P680" s="8">
        <v>45.275560682188605</v>
      </c>
      <c r="Q680" s="8">
        <v>32.096917157765844</v>
      </c>
      <c r="R680" s="8">
        <v>28.473821757146943</v>
      </c>
      <c r="S680" s="8">
        <v>2.6429999999999998</v>
      </c>
      <c r="T680" s="8">
        <v>2.2149999999999999</v>
      </c>
      <c r="U680" s="8">
        <v>1.913</v>
      </c>
      <c r="V680" s="8">
        <v>1.78</v>
      </c>
      <c r="W680" s="8">
        <v>0.72999999999999976</v>
      </c>
      <c r="X680" s="8">
        <v>0.43499999999999983</v>
      </c>
      <c r="Y680" s="8">
        <v>4.2628774422735232</v>
      </c>
      <c r="Z680" s="8">
        <v>2.9055690072639253</v>
      </c>
      <c r="AA680" s="8" t="s">
        <v>1697</v>
      </c>
      <c r="AB680" t="s">
        <v>1697</v>
      </c>
      <c r="AC680" s="8">
        <v>2.8419182948490418</v>
      </c>
      <c r="AD680" s="8">
        <v>3.6319612590799117</v>
      </c>
      <c r="AE680" s="8">
        <v>7.4999999999999997E-2</v>
      </c>
      <c r="AF680" s="8">
        <v>0.03</v>
      </c>
      <c r="AG680" s="8" t="s">
        <v>1697</v>
      </c>
      <c r="AH680" s="8">
        <v>35.24</v>
      </c>
      <c r="AI680" s="8">
        <v>29.533333333333331</v>
      </c>
      <c r="AJ680" t="s">
        <v>1702</v>
      </c>
      <c r="AK680" t="s">
        <v>1703</v>
      </c>
      <c r="AL680" t="s">
        <v>1702</v>
      </c>
      <c r="AM680" t="s">
        <v>1703</v>
      </c>
      <c r="AN680" t="s">
        <v>1702</v>
      </c>
      <c r="AO680" t="s">
        <v>1703</v>
      </c>
      <c r="AP680" t="s">
        <v>1702</v>
      </c>
      <c r="AQ680" t="s">
        <v>1725</v>
      </c>
      <c r="AR680" s="11" t="s">
        <v>1703</v>
      </c>
      <c r="AS680" t="s">
        <v>1700</v>
      </c>
      <c r="AT680" t="s">
        <v>1700</v>
      </c>
      <c r="AU680" t="s">
        <v>1706</v>
      </c>
      <c r="AV680" t="s">
        <v>1723</v>
      </c>
      <c r="AW680" t="s">
        <v>1706</v>
      </c>
      <c r="AX680" t="s">
        <v>1706</v>
      </c>
      <c r="AY680" t="s">
        <v>1723</v>
      </c>
      <c r="AZ680" t="s">
        <v>1706</v>
      </c>
      <c r="BA680" t="s">
        <v>1700</v>
      </c>
      <c r="BB680" t="s">
        <v>1706</v>
      </c>
      <c r="BC680" t="s">
        <v>1723</v>
      </c>
      <c r="BD680" t="s">
        <v>1706</v>
      </c>
      <c r="BE680" t="s">
        <v>1706</v>
      </c>
      <c r="BF680" t="s">
        <v>1723</v>
      </c>
      <c r="BG680">
        <v>40</v>
      </c>
      <c r="BH680" s="12" t="s">
        <v>1709</v>
      </c>
      <c r="BI680" t="b">
        <v>0</v>
      </c>
      <c r="BJ680">
        <f t="shared" si="10"/>
        <v>0</v>
      </c>
    </row>
    <row r="681" spans="1:62" x14ac:dyDescent="0.2">
      <c r="A681" s="5" t="s">
        <v>157</v>
      </c>
      <c r="B681" s="6">
        <v>42132</v>
      </c>
      <c r="C681" s="7">
        <v>33.377267000000003</v>
      </c>
      <c r="D681" s="7">
        <v>-111.91539400000001</v>
      </c>
      <c r="E681" s="17">
        <v>362</v>
      </c>
      <c r="F681" t="s">
        <v>1706</v>
      </c>
      <c r="G681" t="s">
        <v>1710</v>
      </c>
      <c r="H681" t="s">
        <v>1710</v>
      </c>
      <c r="I681">
        <v>1</v>
      </c>
      <c r="J681" t="s">
        <v>1697</v>
      </c>
      <c r="K681" t="s">
        <v>1697</v>
      </c>
      <c r="L681" t="s">
        <v>1697</v>
      </c>
      <c r="M681" t="s">
        <v>1697</v>
      </c>
      <c r="N681" t="s">
        <v>1697</v>
      </c>
      <c r="O681" t="s">
        <v>1697</v>
      </c>
      <c r="P681" t="s">
        <v>1697</v>
      </c>
      <c r="Q681" t="s">
        <v>1697</v>
      </c>
      <c r="R681" t="s">
        <v>1697</v>
      </c>
      <c r="S681" t="s">
        <v>1697</v>
      </c>
      <c r="T681" t="s">
        <v>1697</v>
      </c>
      <c r="U681" t="s">
        <v>1697</v>
      </c>
      <c r="V681" t="s">
        <v>1697</v>
      </c>
      <c r="W681" t="s">
        <v>1697</v>
      </c>
      <c r="X681" t="s">
        <v>1697</v>
      </c>
      <c r="Y681" t="s">
        <v>1697</v>
      </c>
      <c r="Z681" t="s">
        <v>1697</v>
      </c>
      <c r="AA681" t="s">
        <v>1697</v>
      </c>
      <c r="AB681" t="s">
        <v>1697</v>
      </c>
      <c r="AC681" t="s">
        <v>1697</v>
      </c>
      <c r="AD681" t="s">
        <v>1697</v>
      </c>
      <c r="AE681" t="s">
        <v>1697</v>
      </c>
      <c r="AF681" t="s">
        <v>1697</v>
      </c>
      <c r="AG681" t="s">
        <v>1697</v>
      </c>
      <c r="AH681" t="s">
        <v>1697</v>
      </c>
      <c r="AI681" t="s">
        <v>1697</v>
      </c>
      <c r="AJ681" t="s">
        <v>1702</v>
      </c>
      <c r="AK681" t="s">
        <v>1703</v>
      </c>
      <c r="AL681" t="s">
        <v>1702</v>
      </c>
      <c r="AM681" t="s">
        <v>1703</v>
      </c>
      <c r="AN681" t="s">
        <v>1702</v>
      </c>
      <c r="AO681" t="s">
        <v>1703</v>
      </c>
      <c r="AP681" t="s">
        <v>1702</v>
      </c>
      <c r="AQ681" t="s">
        <v>1725</v>
      </c>
      <c r="AR681" s="11" t="s">
        <v>1703</v>
      </c>
      <c r="AS681" t="s">
        <v>1700</v>
      </c>
      <c r="AT681" t="s">
        <v>1700</v>
      </c>
      <c r="AU681" t="s">
        <v>1706</v>
      </c>
      <c r="AV681" t="s">
        <v>1723</v>
      </c>
      <c r="AW681" t="s">
        <v>1706</v>
      </c>
      <c r="AX681" t="s">
        <v>1706</v>
      </c>
      <c r="AY681" t="s">
        <v>1723</v>
      </c>
      <c r="AZ681" t="s">
        <v>1706</v>
      </c>
      <c r="BA681" t="s">
        <v>1700</v>
      </c>
      <c r="BB681" t="s">
        <v>1706</v>
      </c>
      <c r="BC681" t="s">
        <v>1723</v>
      </c>
      <c r="BD681" t="s">
        <v>1706</v>
      </c>
      <c r="BE681" t="s">
        <v>1706</v>
      </c>
      <c r="BF681" t="s">
        <v>1723</v>
      </c>
      <c r="BG681">
        <v>45</v>
      </c>
      <c r="BH681" t="s">
        <v>1729</v>
      </c>
      <c r="BI681" t="b">
        <v>0</v>
      </c>
      <c r="BJ681">
        <f t="shared" si="10"/>
        <v>0</v>
      </c>
    </row>
    <row r="682" spans="1:62" x14ac:dyDescent="0.2">
      <c r="A682" s="5" t="s">
        <v>157</v>
      </c>
      <c r="B682" s="6">
        <v>45043</v>
      </c>
      <c r="C682" s="7">
        <v>33.377267000000003</v>
      </c>
      <c r="D682" s="7">
        <v>-111.91539400000001</v>
      </c>
      <c r="E682" s="17">
        <v>362</v>
      </c>
      <c r="F682" t="s">
        <v>1706</v>
      </c>
      <c r="G682" t="s">
        <v>1710</v>
      </c>
      <c r="H682" t="s">
        <v>1710</v>
      </c>
      <c r="I682">
        <v>1</v>
      </c>
      <c r="J682" t="s">
        <v>1697</v>
      </c>
      <c r="K682" t="s">
        <v>1697</v>
      </c>
      <c r="L682" t="s">
        <v>1697</v>
      </c>
      <c r="M682" t="s">
        <v>1697</v>
      </c>
      <c r="N682" t="s">
        <v>1697</v>
      </c>
      <c r="O682" t="s">
        <v>1697</v>
      </c>
      <c r="P682" t="s">
        <v>1697</v>
      </c>
      <c r="Q682" t="s">
        <v>1697</v>
      </c>
      <c r="R682" t="s">
        <v>1697</v>
      </c>
      <c r="S682" t="s">
        <v>1697</v>
      </c>
      <c r="T682" t="s">
        <v>1697</v>
      </c>
      <c r="U682" t="s">
        <v>1697</v>
      </c>
      <c r="V682" t="s">
        <v>1697</v>
      </c>
      <c r="W682" t="s">
        <v>1697</v>
      </c>
      <c r="X682" t="s">
        <v>1697</v>
      </c>
      <c r="Y682" t="s">
        <v>1697</v>
      </c>
      <c r="Z682" t="s">
        <v>1697</v>
      </c>
      <c r="AA682" t="s">
        <v>1697</v>
      </c>
      <c r="AB682" t="s">
        <v>1697</v>
      </c>
      <c r="AC682" t="s">
        <v>1697</v>
      </c>
      <c r="AD682" t="s">
        <v>1697</v>
      </c>
      <c r="AE682" t="s">
        <v>1697</v>
      </c>
      <c r="AF682" t="s">
        <v>1697</v>
      </c>
      <c r="AG682" t="s">
        <v>1697</v>
      </c>
      <c r="AH682" t="s">
        <v>1697</v>
      </c>
      <c r="AI682" t="s">
        <v>1697</v>
      </c>
      <c r="AJ682" t="s">
        <v>1702</v>
      </c>
      <c r="AK682" t="s">
        <v>1703</v>
      </c>
      <c r="AL682" t="s">
        <v>1702</v>
      </c>
      <c r="AM682" t="s">
        <v>1703</v>
      </c>
      <c r="AN682" t="s">
        <v>1702</v>
      </c>
      <c r="AO682" t="s">
        <v>1703</v>
      </c>
      <c r="AP682" t="s">
        <v>1702</v>
      </c>
      <c r="AQ682" t="s">
        <v>1725</v>
      </c>
      <c r="AR682" s="11" t="s">
        <v>1703</v>
      </c>
      <c r="AS682" t="s">
        <v>1700</v>
      </c>
      <c r="AT682" t="s">
        <v>1700</v>
      </c>
      <c r="AU682" t="s">
        <v>1706</v>
      </c>
      <c r="AV682" t="s">
        <v>1723</v>
      </c>
      <c r="AW682" t="s">
        <v>1706</v>
      </c>
      <c r="AX682" t="s">
        <v>1706</v>
      </c>
      <c r="AY682" t="s">
        <v>1723</v>
      </c>
      <c r="AZ682" t="s">
        <v>1706</v>
      </c>
      <c r="BA682" t="s">
        <v>1700</v>
      </c>
      <c r="BB682" t="s">
        <v>1706</v>
      </c>
      <c r="BC682" t="s">
        <v>1723</v>
      </c>
      <c r="BD682" t="s">
        <v>1706</v>
      </c>
      <c r="BE682" t="s">
        <v>1706</v>
      </c>
      <c r="BF682" t="s">
        <v>1723</v>
      </c>
      <c r="BG682" s="6" t="s">
        <v>1697</v>
      </c>
      <c r="BH682" s="6" t="s">
        <v>1697</v>
      </c>
      <c r="BI682" t="b">
        <v>0</v>
      </c>
      <c r="BJ682">
        <f t="shared" si="10"/>
        <v>0</v>
      </c>
    </row>
    <row r="683" spans="1:62" x14ac:dyDescent="0.2">
      <c r="A683" s="5" t="s">
        <v>158</v>
      </c>
      <c r="B683" s="6">
        <v>38398</v>
      </c>
      <c r="C683" s="7">
        <v>33.316738999999998</v>
      </c>
      <c r="D683" s="7">
        <v>-111.91978899999999</v>
      </c>
      <c r="E683" s="17">
        <v>358</v>
      </c>
      <c r="F683" t="s">
        <v>1706</v>
      </c>
      <c r="G683" t="s">
        <v>1728</v>
      </c>
      <c r="H683" t="s">
        <v>1728</v>
      </c>
      <c r="I683">
        <v>1</v>
      </c>
      <c r="J683" s="8">
        <v>15.517251416049987</v>
      </c>
      <c r="K683" s="8">
        <v>64.037209459394887</v>
      </c>
      <c r="L683" s="8">
        <v>20.445539124555125</v>
      </c>
      <c r="M683" s="8">
        <v>1.269600179391452</v>
      </c>
      <c r="N683" s="8">
        <v>2.0035927900400647</v>
      </c>
      <c r="O683" s="8">
        <v>7.702241088308142</v>
      </c>
      <c r="P683" s="8">
        <v>4.5211506870904072</v>
      </c>
      <c r="Q683" s="8">
        <v>17.061415163212178</v>
      </c>
      <c r="R683" s="8">
        <v>6.1689045154651287</v>
      </c>
      <c r="S683" s="8">
        <v>1.8520000000000001</v>
      </c>
      <c r="T683" s="8">
        <v>0.86</v>
      </c>
      <c r="U683" s="8">
        <v>0.64400000000000002</v>
      </c>
      <c r="V683" s="8">
        <v>0.78100000000000003</v>
      </c>
      <c r="W683" s="8">
        <v>1.2080000000000002</v>
      </c>
      <c r="X683" s="8">
        <v>7.8999999999999959E-2</v>
      </c>
      <c r="Y683" s="8">
        <v>3.1862745098039187</v>
      </c>
      <c r="Z683" s="8">
        <v>3.4782608695652315</v>
      </c>
      <c r="AA683" s="8">
        <v>8.1</v>
      </c>
      <c r="AB683">
        <v>0.20300000000000001</v>
      </c>
      <c r="AC683" s="8">
        <v>12.377450980392155</v>
      </c>
      <c r="AD683" s="8">
        <v>15.776397515527943</v>
      </c>
      <c r="AE683" s="8">
        <v>9.9000000000000005E-2</v>
      </c>
      <c r="AF683" s="8">
        <v>3.1E-2</v>
      </c>
      <c r="AG683" s="8">
        <v>1.4967550272756684</v>
      </c>
      <c r="AH683" s="8">
        <v>18.707070707070706</v>
      </c>
      <c r="AI683" s="8">
        <v>8.6868686868686869</v>
      </c>
      <c r="AJ683" t="s">
        <v>1702</v>
      </c>
      <c r="AK683" t="s">
        <v>1703</v>
      </c>
      <c r="AL683" t="s">
        <v>1702</v>
      </c>
      <c r="AM683" t="s">
        <v>1703</v>
      </c>
      <c r="AN683" t="s">
        <v>1702</v>
      </c>
      <c r="AO683" t="s">
        <v>1703</v>
      </c>
      <c r="AP683" t="s">
        <v>1702</v>
      </c>
      <c r="AQ683" t="s">
        <v>1725</v>
      </c>
      <c r="AR683" s="11" t="s">
        <v>1703</v>
      </c>
      <c r="AS683" t="s">
        <v>1702</v>
      </c>
      <c r="AT683" t="s">
        <v>1703</v>
      </c>
      <c r="AU683" t="s">
        <v>1734</v>
      </c>
      <c r="AV683" t="s">
        <v>1734</v>
      </c>
      <c r="AW683" t="s">
        <v>1706</v>
      </c>
      <c r="AX683" t="s">
        <v>1706</v>
      </c>
      <c r="AY683" t="s">
        <v>1707</v>
      </c>
      <c r="AZ683" t="s">
        <v>1706</v>
      </c>
      <c r="BA683" t="s">
        <v>1700</v>
      </c>
      <c r="BB683" t="s">
        <v>1706</v>
      </c>
      <c r="BC683" t="s">
        <v>1723</v>
      </c>
      <c r="BD683" t="s">
        <v>1706</v>
      </c>
      <c r="BE683" t="s">
        <v>1706</v>
      </c>
      <c r="BF683" t="s">
        <v>1723</v>
      </c>
      <c r="BG683">
        <v>30</v>
      </c>
      <c r="BH683" s="12" t="s">
        <v>1709</v>
      </c>
      <c r="BI683" t="b">
        <v>0</v>
      </c>
      <c r="BJ683">
        <f t="shared" si="10"/>
        <v>0</v>
      </c>
    </row>
    <row r="684" spans="1:62" x14ac:dyDescent="0.2">
      <c r="A684" s="5" t="s">
        <v>158</v>
      </c>
      <c r="B684" s="6">
        <v>40323</v>
      </c>
      <c r="C684" s="7">
        <v>33.316738999999998</v>
      </c>
      <c r="D684" s="7">
        <v>-111.91978899999999</v>
      </c>
      <c r="E684" s="17">
        <v>358</v>
      </c>
      <c r="F684" t="s">
        <v>1706</v>
      </c>
      <c r="G684" t="s">
        <v>1728</v>
      </c>
      <c r="H684" t="s">
        <v>1728</v>
      </c>
      <c r="I684">
        <v>1</v>
      </c>
      <c r="J684" s="8">
        <v>18.721849822894555</v>
      </c>
      <c r="K684" s="8">
        <v>75.241591607212555</v>
      </c>
      <c r="L684" s="8">
        <v>6.0365585698928896</v>
      </c>
      <c r="M684" s="8">
        <v>1.5265128840165672</v>
      </c>
      <c r="N684" s="8">
        <v>5.0000000000000001E-3</v>
      </c>
      <c r="O684" s="8">
        <v>31.217188478138802</v>
      </c>
      <c r="P684" s="8">
        <v>28.520611452418564</v>
      </c>
      <c r="Q684" s="8">
        <v>36.76164395845371</v>
      </c>
      <c r="R684" s="8">
        <v>8.0005871087304037</v>
      </c>
      <c r="S684" s="8">
        <v>1.34</v>
      </c>
      <c r="T684" s="8">
        <v>0.872</v>
      </c>
      <c r="U684" s="8">
        <v>0.50900000000000001</v>
      </c>
      <c r="V684" s="8">
        <v>0.40699999999999997</v>
      </c>
      <c r="W684" s="8">
        <v>0.83100000000000007</v>
      </c>
      <c r="X684" s="8">
        <v>0.46500000000000002</v>
      </c>
      <c r="Y684" s="8">
        <v>3.8626609442060027</v>
      </c>
      <c r="Z684" s="8">
        <v>3.7523452157598531</v>
      </c>
      <c r="AA684" s="8">
        <v>8.51</v>
      </c>
      <c r="AB684">
        <v>0.253</v>
      </c>
      <c r="AC684" s="8">
        <v>4.4349070100143138</v>
      </c>
      <c r="AD684" s="8">
        <v>7.5046904315197063</v>
      </c>
      <c r="AE684" s="8">
        <v>7.1999999999999995E-2</v>
      </c>
      <c r="AF684" s="8">
        <v>4.7E-2</v>
      </c>
      <c r="AG684" s="8">
        <v>1.62513333553433</v>
      </c>
      <c r="AH684" s="8">
        <v>18.611111111111114</v>
      </c>
      <c r="AI684" s="8">
        <v>12.111111111111112</v>
      </c>
      <c r="AJ684" t="s">
        <v>1702</v>
      </c>
      <c r="AK684" t="s">
        <v>1703</v>
      </c>
      <c r="AL684" t="s">
        <v>1702</v>
      </c>
      <c r="AM684" t="s">
        <v>1703</v>
      </c>
      <c r="AN684" t="s">
        <v>1702</v>
      </c>
      <c r="AO684" t="s">
        <v>1703</v>
      </c>
      <c r="AP684" t="s">
        <v>1702</v>
      </c>
      <c r="AQ684" t="s">
        <v>1725</v>
      </c>
      <c r="AR684" s="11" t="s">
        <v>1703</v>
      </c>
      <c r="AS684" t="s">
        <v>1702</v>
      </c>
      <c r="AT684" t="s">
        <v>1703</v>
      </c>
      <c r="AU684" t="s">
        <v>1734</v>
      </c>
      <c r="AV684" t="s">
        <v>1734</v>
      </c>
      <c r="AW684" t="s">
        <v>1706</v>
      </c>
      <c r="AX684" t="s">
        <v>1706</v>
      </c>
      <c r="AY684" t="s">
        <v>1707</v>
      </c>
      <c r="AZ684" t="s">
        <v>1706</v>
      </c>
      <c r="BA684" t="s">
        <v>1700</v>
      </c>
      <c r="BB684" t="s">
        <v>1706</v>
      </c>
      <c r="BC684" t="s">
        <v>1723</v>
      </c>
      <c r="BD684" t="s">
        <v>1706</v>
      </c>
      <c r="BE684" t="s">
        <v>1706</v>
      </c>
      <c r="BF684" t="s">
        <v>1723</v>
      </c>
      <c r="BG684">
        <v>35</v>
      </c>
      <c r="BH684" s="12" t="s">
        <v>1709</v>
      </c>
      <c r="BI684" t="b">
        <v>0</v>
      </c>
      <c r="BJ684">
        <f t="shared" si="10"/>
        <v>0</v>
      </c>
    </row>
    <row r="685" spans="1:62" x14ac:dyDescent="0.2">
      <c r="A685" s="5" t="s">
        <v>158</v>
      </c>
      <c r="B685" s="6">
        <v>42132</v>
      </c>
      <c r="C685" s="7">
        <v>33.316738999999998</v>
      </c>
      <c r="D685" s="7">
        <v>-111.91978899999999</v>
      </c>
      <c r="E685" s="17">
        <v>358</v>
      </c>
      <c r="F685" t="s">
        <v>1706</v>
      </c>
      <c r="G685" t="s">
        <v>1728</v>
      </c>
      <c r="H685" t="s">
        <v>1728</v>
      </c>
      <c r="I685">
        <v>1</v>
      </c>
      <c r="J685">
        <v>13.4095270328495</v>
      </c>
      <c r="K685">
        <v>72.279401715692003</v>
      </c>
      <c r="L685">
        <v>14.3110712514585</v>
      </c>
      <c r="M685">
        <v>20.0235023787823</v>
      </c>
      <c r="N685" t="s">
        <v>1697</v>
      </c>
      <c r="O685">
        <v>275.552785029115</v>
      </c>
      <c r="P685" t="s">
        <v>1697</v>
      </c>
      <c r="Q685">
        <v>8.9022890296014499</v>
      </c>
      <c r="R685" t="s">
        <v>1697</v>
      </c>
      <c r="S685">
        <v>1.6930000000000001</v>
      </c>
      <c r="T685" t="s">
        <v>1697</v>
      </c>
      <c r="U685">
        <v>0.7</v>
      </c>
      <c r="V685" t="s">
        <v>1697</v>
      </c>
      <c r="W685">
        <v>0.99299999999999999</v>
      </c>
      <c r="X685" t="s">
        <v>1697</v>
      </c>
      <c r="Y685">
        <v>2.4128686327077702</v>
      </c>
      <c r="Z685" t="s">
        <v>1697</v>
      </c>
      <c r="AA685">
        <v>8.33</v>
      </c>
      <c r="AB685">
        <v>0.41799999999999998</v>
      </c>
      <c r="AC685">
        <v>5.3537284894837303</v>
      </c>
      <c r="AD685" t="s">
        <v>1697</v>
      </c>
      <c r="AE685">
        <v>0.104</v>
      </c>
      <c r="AF685" t="s">
        <v>1697</v>
      </c>
      <c r="AG685">
        <v>1.3729293029086314</v>
      </c>
      <c r="AH685">
        <v>16.278846153846199</v>
      </c>
      <c r="AI685" t="s">
        <v>1697</v>
      </c>
      <c r="AJ685" t="s">
        <v>1702</v>
      </c>
      <c r="AK685" t="s">
        <v>1703</v>
      </c>
      <c r="AL685" t="s">
        <v>1702</v>
      </c>
      <c r="AM685" t="s">
        <v>1703</v>
      </c>
      <c r="AN685" t="s">
        <v>1702</v>
      </c>
      <c r="AO685" t="s">
        <v>1703</v>
      </c>
      <c r="AP685" t="s">
        <v>1702</v>
      </c>
      <c r="AQ685" t="s">
        <v>1725</v>
      </c>
      <c r="AR685" s="11" t="s">
        <v>1703</v>
      </c>
      <c r="AS685" t="s">
        <v>1702</v>
      </c>
      <c r="AT685" t="s">
        <v>1703</v>
      </c>
      <c r="AU685" t="s">
        <v>1734</v>
      </c>
      <c r="AV685" t="s">
        <v>1734</v>
      </c>
      <c r="AW685" t="s">
        <v>1706</v>
      </c>
      <c r="AX685" t="s">
        <v>1706</v>
      </c>
      <c r="AY685" t="s">
        <v>1707</v>
      </c>
      <c r="AZ685" t="s">
        <v>1706</v>
      </c>
      <c r="BA685" t="s">
        <v>1700</v>
      </c>
      <c r="BB685" t="s">
        <v>1706</v>
      </c>
      <c r="BC685" t="s">
        <v>1723</v>
      </c>
      <c r="BD685" t="s">
        <v>1706</v>
      </c>
      <c r="BE685" t="s">
        <v>1706</v>
      </c>
      <c r="BF685" t="s">
        <v>1723</v>
      </c>
      <c r="BG685">
        <v>40</v>
      </c>
      <c r="BH685" s="12" t="s">
        <v>1709</v>
      </c>
      <c r="BI685" t="b">
        <v>0</v>
      </c>
      <c r="BJ685">
        <f t="shared" si="10"/>
        <v>0</v>
      </c>
    </row>
    <row r="686" spans="1:62" x14ac:dyDescent="0.2">
      <c r="A686" s="5" t="s">
        <v>158</v>
      </c>
      <c r="B686" s="6">
        <v>45055</v>
      </c>
      <c r="C686" s="7">
        <v>33.316738999999998</v>
      </c>
      <c r="D686" s="7">
        <v>-111.91978899999999</v>
      </c>
      <c r="E686" s="17">
        <v>358</v>
      </c>
      <c r="F686" t="s">
        <v>1706</v>
      </c>
      <c r="G686" t="s">
        <v>1728</v>
      </c>
      <c r="H686" t="s">
        <v>1728</v>
      </c>
      <c r="I686">
        <v>1</v>
      </c>
      <c r="J686" t="s">
        <v>1697</v>
      </c>
      <c r="K686" t="s">
        <v>1697</v>
      </c>
      <c r="L686" t="s">
        <v>1697</v>
      </c>
      <c r="M686" t="s">
        <v>1697</v>
      </c>
      <c r="N686" t="s">
        <v>1697</v>
      </c>
      <c r="O686" t="s">
        <v>1697</v>
      </c>
      <c r="P686" t="s">
        <v>1697</v>
      </c>
      <c r="Q686" t="s">
        <v>1697</v>
      </c>
      <c r="R686" t="s">
        <v>1697</v>
      </c>
      <c r="S686" t="s">
        <v>1697</v>
      </c>
      <c r="T686" t="s">
        <v>1697</v>
      </c>
      <c r="U686" t="s">
        <v>1697</v>
      </c>
      <c r="V686" t="s">
        <v>1697</v>
      </c>
      <c r="W686" t="s">
        <v>1697</v>
      </c>
      <c r="X686" t="s">
        <v>1697</v>
      </c>
      <c r="Y686" t="s">
        <v>1697</v>
      </c>
      <c r="Z686" t="s">
        <v>1697</v>
      </c>
      <c r="AA686" t="s">
        <v>1697</v>
      </c>
      <c r="AB686" t="s">
        <v>1697</v>
      </c>
      <c r="AC686" t="s">
        <v>1697</v>
      </c>
      <c r="AD686" t="s">
        <v>1697</v>
      </c>
      <c r="AE686" t="s">
        <v>1697</v>
      </c>
      <c r="AF686" t="s">
        <v>1697</v>
      </c>
      <c r="AG686" t="s">
        <v>1697</v>
      </c>
      <c r="AH686" t="s">
        <v>1697</v>
      </c>
      <c r="AI686" t="s">
        <v>1697</v>
      </c>
      <c r="AJ686" t="s">
        <v>1702</v>
      </c>
      <c r="AK686" t="s">
        <v>1703</v>
      </c>
      <c r="AL686" t="s">
        <v>1702</v>
      </c>
      <c r="AM686" t="s">
        <v>1703</v>
      </c>
      <c r="AN686" t="s">
        <v>1702</v>
      </c>
      <c r="AO686" t="s">
        <v>1703</v>
      </c>
      <c r="AP686" t="s">
        <v>1702</v>
      </c>
      <c r="AQ686" t="s">
        <v>1725</v>
      </c>
      <c r="AR686" s="11" t="s">
        <v>1703</v>
      </c>
      <c r="AS686" t="s">
        <v>1702</v>
      </c>
      <c r="AT686" t="s">
        <v>1703</v>
      </c>
      <c r="AU686" t="s">
        <v>1734</v>
      </c>
      <c r="AV686" t="s">
        <v>1734</v>
      </c>
      <c r="AW686" t="s">
        <v>1706</v>
      </c>
      <c r="AX686" t="s">
        <v>1706</v>
      </c>
      <c r="AY686" t="s">
        <v>1707</v>
      </c>
      <c r="AZ686" t="s">
        <v>1706</v>
      </c>
      <c r="BA686" t="s">
        <v>1700</v>
      </c>
      <c r="BB686" t="s">
        <v>1706</v>
      </c>
      <c r="BC686" t="s">
        <v>1723</v>
      </c>
      <c r="BD686" t="s">
        <v>1706</v>
      </c>
      <c r="BE686" t="s">
        <v>1706</v>
      </c>
      <c r="BF686" t="s">
        <v>1723</v>
      </c>
      <c r="BG686" s="6" t="s">
        <v>1697</v>
      </c>
      <c r="BH686" s="6" t="s">
        <v>1697</v>
      </c>
      <c r="BI686" t="b">
        <v>0</v>
      </c>
      <c r="BJ686">
        <f t="shared" si="10"/>
        <v>0</v>
      </c>
    </row>
    <row r="687" spans="1:62" x14ac:dyDescent="0.2">
      <c r="A687" s="5" t="s">
        <v>159</v>
      </c>
      <c r="B687" s="6">
        <v>36621</v>
      </c>
      <c r="C687" s="7">
        <v>33.297736</v>
      </c>
      <c r="D687" s="7">
        <v>-111.887422</v>
      </c>
      <c r="E687" s="17">
        <v>362</v>
      </c>
      <c r="F687" t="s">
        <v>1703</v>
      </c>
      <c r="G687" t="s">
        <v>1730</v>
      </c>
      <c r="H687" t="s">
        <v>1705</v>
      </c>
      <c r="I687">
        <v>0</v>
      </c>
      <c r="J687" s="8">
        <v>16.287579070051738</v>
      </c>
      <c r="K687" s="8">
        <v>54.453245603102303</v>
      </c>
      <c r="L687" s="8">
        <v>29.259175326845963</v>
      </c>
      <c r="M687" s="8">
        <v>3.7407427957849353</v>
      </c>
      <c r="N687" s="8">
        <v>2.2410433804057117</v>
      </c>
      <c r="O687" s="8">
        <v>14.990253273089921</v>
      </c>
      <c r="P687" s="8">
        <v>58.429597132428384</v>
      </c>
      <c r="Q687" s="8">
        <v>8.8191872444378046</v>
      </c>
      <c r="R687" s="8">
        <v>7.4498964738741655</v>
      </c>
      <c r="S687" s="8">
        <v>0.68200000000000005</v>
      </c>
      <c r="T687" s="8">
        <v>0.63400000000000001</v>
      </c>
      <c r="U687" s="8">
        <v>0.20799999999999999</v>
      </c>
      <c r="V687" s="8">
        <v>0.19800000000000001</v>
      </c>
      <c r="W687" s="8">
        <v>0.47399999999999998</v>
      </c>
      <c r="X687" s="8">
        <v>0.436</v>
      </c>
      <c r="Y687" s="8">
        <v>2.4568400000000001</v>
      </c>
      <c r="Z687" s="8">
        <v>2.2911999999999999</v>
      </c>
      <c r="AA687" s="9">
        <v>8.52</v>
      </c>
      <c r="AB687" s="10">
        <v>0.4425</v>
      </c>
      <c r="AC687" s="8">
        <v>7.69231</v>
      </c>
      <c r="AD687" s="8">
        <v>9.6265999999999998</v>
      </c>
      <c r="AE687" s="8">
        <v>6.3E-2</v>
      </c>
      <c r="AF687" s="8">
        <v>5.8999999999999997E-2</v>
      </c>
      <c r="AG687" s="8">
        <v>1.2650693618882416</v>
      </c>
      <c r="AH687" s="8">
        <v>10.825396825396826</v>
      </c>
      <c r="AI687" s="8">
        <v>10.063492063492063</v>
      </c>
      <c r="AJ687" t="s">
        <v>1702</v>
      </c>
      <c r="AK687" t="s">
        <v>1703</v>
      </c>
      <c r="AL687" t="s">
        <v>1702</v>
      </c>
      <c r="AM687" t="s">
        <v>1703</v>
      </c>
      <c r="AN687" t="s">
        <v>1702</v>
      </c>
      <c r="AO687" t="s">
        <v>1703</v>
      </c>
      <c r="AP687" t="s">
        <v>1702</v>
      </c>
      <c r="AQ687" t="s">
        <v>1725</v>
      </c>
      <c r="AR687" s="11" t="s">
        <v>1703</v>
      </c>
      <c r="AS687" t="s">
        <v>1702</v>
      </c>
      <c r="AT687" t="s">
        <v>1703</v>
      </c>
      <c r="AU687" t="s">
        <v>1704</v>
      </c>
      <c r="AV687" t="s">
        <v>1705</v>
      </c>
      <c r="AW687" t="s">
        <v>1703</v>
      </c>
      <c r="AX687" t="s">
        <v>1704</v>
      </c>
      <c r="AY687" t="s">
        <v>1725</v>
      </c>
      <c r="AZ687" t="s">
        <v>1703</v>
      </c>
      <c r="BA687" t="s">
        <v>1702</v>
      </c>
      <c r="BB687" t="s">
        <v>1704</v>
      </c>
      <c r="BC687" t="s">
        <v>1705</v>
      </c>
      <c r="BD687" t="s">
        <v>1703</v>
      </c>
      <c r="BE687" t="s">
        <v>1704</v>
      </c>
      <c r="BF687" t="s">
        <v>1725</v>
      </c>
      <c r="BG687" t="s">
        <v>1697</v>
      </c>
      <c r="BH687" t="s">
        <v>1727</v>
      </c>
      <c r="BI687" t="b">
        <v>0</v>
      </c>
      <c r="BJ687">
        <f t="shared" si="10"/>
        <v>0</v>
      </c>
    </row>
    <row r="688" spans="1:62" x14ac:dyDescent="0.2">
      <c r="A688" s="5" t="s">
        <v>159</v>
      </c>
      <c r="B688" s="6">
        <v>38411</v>
      </c>
      <c r="C688" s="7">
        <v>33.297736</v>
      </c>
      <c r="D688" s="7">
        <v>-111.887422</v>
      </c>
      <c r="E688" s="17">
        <v>362</v>
      </c>
      <c r="F688" t="s">
        <v>1711</v>
      </c>
      <c r="G688" t="s">
        <v>1711</v>
      </c>
      <c r="H688" t="s">
        <v>1711</v>
      </c>
      <c r="I688">
        <v>1</v>
      </c>
      <c r="J688" s="8">
        <v>15.517385252009623</v>
      </c>
      <c r="K688" s="8">
        <v>65.093124587486429</v>
      </c>
      <c r="L688" s="8">
        <v>19.389490160503954</v>
      </c>
      <c r="M688" s="8">
        <v>0.79204917020234811</v>
      </c>
      <c r="N688" s="8">
        <v>1.3688438187555232</v>
      </c>
      <c r="O688" s="8">
        <v>1.0872674972777687</v>
      </c>
      <c r="P688" s="8">
        <v>2.982638636656771</v>
      </c>
      <c r="Q688" s="8">
        <v>11.882721676209062</v>
      </c>
      <c r="R688" s="8">
        <v>9.7307985150831229</v>
      </c>
      <c r="S688" s="8">
        <v>0.55900000000000005</v>
      </c>
      <c r="T688" s="8">
        <v>0.57099999999999995</v>
      </c>
      <c r="U688" s="8">
        <v>0.23200000000000001</v>
      </c>
      <c r="V688" s="8">
        <v>0.36299999999999999</v>
      </c>
      <c r="W688" s="8">
        <v>0.32700000000000007</v>
      </c>
      <c r="X688" s="8">
        <v>0.20799999999999996</v>
      </c>
      <c r="Y688" s="8">
        <v>2.683363148479418</v>
      </c>
      <c r="Z688" s="8">
        <v>2.7186761229314467</v>
      </c>
      <c r="AA688" s="8">
        <v>8.7799999999999994</v>
      </c>
      <c r="AB688">
        <v>0.125</v>
      </c>
      <c r="AC688" s="8">
        <v>10.375670840787121</v>
      </c>
      <c r="AD688" s="8">
        <v>10.874704491725765</v>
      </c>
      <c r="AE688" s="8">
        <v>3.7999999999999999E-2</v>
      </c>
      <c r="AF688" s="8">
        <v>3.4000000000000002E-2</v>
      </c>
      <c r="AG688" s="8">
        <v>1.3060287559301882</v>
      </c>
      <c r="AH688" s="8">
        <v>14.710526315789476</v>
      </c>
      <c r="AI688" s="8">
        <v>15.026315789473683</v>
      </c>
      <c r="AJ688" t="s">
        <v>1702</v>
      </c>
      <c r="AK688" t="s">
        <v>1703</v>
      </c>
      <c r="AL688" t="s">
        <v>1702</v>
      </c>
      <c r="AM688" t="s">
        <v>1703</v>
      </c>
      <c r="AN688" t="s">
        <v>1702</v>
      </c>
      <c r="AO688" t="s">
        <v>1703</v>
      </c>
      <c r="AP688" t="s">
        <v>1702</v>
      </c>
      <c r="AQ688" t="s">
        <v>1725</v>
      </c>
      <c r="AR688" s="11" t="s">
        <v>1703</v>
      </c>
      <c r="AS688" t="s">
        <v>1702</v>
      </c>
      <c r="AT688" t="s">
        <v>1703</v>
      </c>
      <c r="AU688" t="s">
        <v>1704</v>
      </c>
      <c r="AV688" t="s">
        <v>1705</v>
      </c>
      <c r="AW688" t="s">
        <v>1703</v>
      </c>
      <c r="AX688" t="s">
        <v>1704</v>
      </c>
      <c r="AY688" t="s">
        <v>1725</v>
      </c>
      <c r="AZ688" t="s">
        <v>1703</v>
      </c>
      <c r="BA688" t="s">
        <v>1702</v>
      </c>
      <c r="BB688" t="s">
        <v>1704</v>
      </c>
      <c r="BC688" t="s">
        <v>1705</v>
      </c>
      <c r="BD688" t="s">
        <v>1703</v>
      </c>
      <c r="BE688" t="s">
        <v>1704</v>
      </c>
      <c r="BF688" t="s">
        <v>1725</v>
      </c>
      <c r="BG688">
        <v>5</v>
      </c>
      <c r="BH688" s="12" t="s">
        <v>1708</v>
      </c>
      <c r="BI688" t="b">
        <v>0</v>
      </c>
      <c r="BJ688">
        <f t="shared" si="10"/>
        <v>0</v>
      </c>
    </row>
    <row r="689" spans="1:62" x14ac:dyDescent="0.2">
      <c r="A689" s="5" t="s">
        <v>159</v>
      </c>
      <c r="B689" s="6">
        <v>40304</v>
      </c>
      <c r="C689" s="7">
        <v>33.297736</v>
      </c>
      <c r="D689" s="7">
        <v>-111.887422</v>
      </c>
      <c r="E689" s="17">
        <v>362</v>
      </c>
      <c r="F689" t="s">
        <v>1700</v>
      </c>
      <c r="G689" t="s">
        <v>1699</v>
      </c>
      <c r="H689" t="s">
        <v>1701</v>
      </c>
      <c r="I689">
        <v>1</v>
      </c>
      <c r="J689" s="8">
        <v>13.892662357173643</v>
      </c>
      <c r="K689" s="8">
        <v>68.300261817249591</v>
      </c>
      <c r="L689" s="8">
        <v>17.80707582557676</v>
      </c>
      <c r="M689" s="8">
        <v>2.0925087854878819</v>
      </c>
      <c r="N689" s="8">
        <v>0.70471345865113155</v>
      </c>
      <c r="O689" s="8">
        <v>62.616137421253335</v>
      </c>
      <c r="P689" s="8">
        <v>84.144890585209737</v>
      </c>
      <c r="Q689" s="8">
        <v>9.8643337295342164</v>
      </c>
      <c r="R689" s="8">
        <v>12.754994726717316</v>
      </c>
      <c r="S689" s="8">
        <v>0.58099999999999996</v>
      </c>
      <c r="T689" s="8">
        <v>0.53100000000000003</v>
      </c>
      <c r="U689" s="8">
        <v>0.32900000000000001</v>
      </c>
      <c r="V689" s="8">
        <v>0.214</v>
      </c>
      <c r="W689" s="8">
        <v>0.25199999999999995</v>
      </c>
      <c r="X689" s="8">
        <v>0.31700000000000006</v>
      </c>
      <c r="Y689" s="8">
        <v>2.4115755627009703</v>
      </c>
      <c r="Z689" s="8">
        <v>2.7397260273972561</v>
      </c>
      <c r="AA689" s="8">
        <v>8.86</v>
      </c>
      <c r="AB689">
        <v>0.152</v>
      </c>
      <c r="AC689" s="8">
        <v>1.9292604501607593</v>
      </c>
      <c r="AD689" s="8">
        <v>3.6529680365296837</v>
      </c>
      <c r="AE689" s="8">
        <v>0.03</v>
      </c>
      <c r="AF689" s="8">
        <v>3.7999999999999999E-2</v>
      </c>
      <c r="AG689" s="8">
        <v>1.4905871382629565</v>
      </c>
      <c r="AH689" s="8">
        <v>19.366666666666667</v>
      </c>
      <c r="AI689" s="8">
        <v>17.700000000000003</v>
      </c>
      <c r="AJ689" t="s">
        <v>1702</v>
      </c>
      <c r="AK689" t="s">
        <v>1703</v>
      </c>
      <c r="AL689" t="s">
        <v>1702</v>
      </c>
      <c r="AM689" t="s">
        <v>1703</v>
      </c>
      <c r="AN689" t="s">
        <v>1702</v>
      </c>
      <c r="AO689" t="s">
        <v>1703</v>
      </c>
      <c r="AP689" t="s">
        <v>1702</v>
      </c>
      <c r="AQ689" t="s">
        <v>1725</v>
      </c>
      <c r="AR689" s="11" t="s">
        <v>1703</v>
      </c>
      <c r="AS689" t="s">
        <v>1702</v>
      </c>
      <c r="AT689" t="s">
        <v>1703</v>
      </c>
      <c r="AU689" t="s">
        <v>1704</v>
      </c>
      <c r="AV689" t="s">
        <v>1705</v>
      </c>
      <c r="AW689" t="s">
        <v>1703</v>
      </c>
      <c r="AX689" t="s">
        <v>1704</v>
      </c>
      <c r="AY689" t="s">
        <v>1725</v>
      </c>
      <c r="AZ689" t="s">
        <v>1703</v>
      </c>
      <c r="BA689" t="s">
        <v>1702</v>
      </c>
      <c r="BB689" t="s">
        <v>1704</v>
      </c>
      <c r="BC689" t="s">
        <v>1705</v>
      </c>
      <c r="BD689" t="s">
        <v>1703</v>
      </c>
      <c r="BE689" t="s">
        <v>1704</v>
      </c>
      <c r="BF689" t="s">
        <v>1725</v>
      </c>
      <c r="BG689">
        <v>5</v>
      </c>
      <c r="BH689" s="12" t="s">
        <v>1708</v>
      </c>
      <c r="BI689" t="b">
        <v>0</v>
      </c>
      <c r="BJ689">
        <f t="shared" si="10"/>
        <v>0</v>
      </c>
    </row>
    <row r="690" spans="1:62" x14ac:dyDescent="0.2">
      <c r="A690" s="5" t="s">
        <v>160</v>
      </c>
      <c r="B690" s="6">
        <v>36623</v>
      </c>
      <c r="C690" s="7">
        <v>33.686563999999997</v>
      </c>
      <c r="D690" s="7">
        <v>-111.86262499999999</v>
      </c>
      <c r="E690" s="17">
        <v>702</v>
      </c>
      <c r="F690" t="s">
        <v>1694</v>
      </c>
      <c r="G690" t="s">
        <v>1694</v>
      </c>
      <c r="H690" t="s">
        <v>1694</v>
      </c>
      <c r="I690">
        <v>0</v>
      </c>
      <c r="J690" s="8">
        <v>21.444015604405283</v>
      </c>
      <c r="K690" s="8">
        <v>44.291653442365224</v>
      </c>
      <c r="L690" s="8">
        <v>34.264330953229489</v>
      </c>
      <c r="M690" s="8">
        <v>14.035472627673357</v>
      </c>
      <c r="N690" s="8">
        <v>21.574673059260387</v>
      </c>
      <c r="O690" s="8">
        <v>44.945960776881265</v>
      </c>
      <c r="P690" s="8">
        <v>40.6972276959049</v>
      </c>
      <c r="Q690" s="8">
        <v>28.432410534866353</v>
      </c>
      <c r="R690" s="8">
        <v>15.651652884953497</v>
      </c>
      <c r="S690" s="8">
        <v>1.2310000000000001</v>
      </c>
      <c r="T690" s="8">
        <v>0.84699999999999998</v>
      </c>
      <c r="U690" s="8">
        <v>3.7999999999999999E-2</v>
      </c>
      <c r="V690" s="8">
        <v>3.2000000000000001E-2</v>
      </c>
      <c r="W690" s="8">
        <v>1.1930000000000001</v>
      </c>
      <c r="X690" s="8">
        <v>0.81499999999999995</v>
      </c>
      <c r="Y690" s="8">
        <v>3.92157</v>
      </c>
      <c r="Z690" s="8">
        <v>3.0467200000000001</v>
      </c>
      <c r="AA690" s="9">
        <v>8.0500000000000007</v>
      </c>
      <c r="AB690" s="10">
        <v>0.77500000000000002</v>
      </c>
      <c r="AC690" s="8">
        <v>1.54674</v>
      </c>
      <c r="AD690" s="8">
        <v>3.2258100000000001</v>
      </c>
      <c r="AE690" s="8">
        <v>0.13200000000000001</v>
      </c>
      <c r="AF690" s="8">
        <v>9.7000000000000003E-2</v>
      </c>
      <c r="AG690" s="8">
        <v>1.2353307544218672</v>
      </c>
      <c r="AH690" s="8">
        <v>9.3257575757575761</v>
      </c>
      <c r="AI690" s="8">
        <v>6.4166666666666661</v>
      </c>
      <c r="AJ690" t="s">
        <v>1694</v>
      </c>
      <c r="AK690" t="s">
        <v>1694</v>
      </c>
      <c r="AL690" t="s">
        <v>1694</v>
      </c>
      <c r="AM690" t="s">
        <v>1694</v>
      </c>
      <c r="AN690" t="s">
        <v>1694</v>
      </c>
      <c r="AO690" t="s">
        <v>1694</v>
      </c>
      <c r="AP690" s="11" t="s">
        <v>1695</v>
      </c>
      <c r="AQ690" s="11" t="s">
        <v>1694</v>
      </c>
      <c r="AR690" s="11" t="s">
        <v>1694</v>
      </c>
      <c r="AS690" t="s">
        <v>1694</v>
      </c>
      <c r="AT690" t="s">
        <v>1694</v>
      </c>
      <c r="AU690" t="s">
        <v>1695</v>
      </c>
      <c r="AV690" t="s">
        <v>1694</v>
      </c>
      <c r="AW690" t="s">
        <v>1694</v>
      </c>
      <c r="AX690" t="s">
        <v>1695</v>
      </c>
      <c r="AY690" t="s">
        <v>1694</v>
      </c>
      <c r="AZ690" t="s">
        <v>1694</v>
      </c>
      <c r="BA690" t="s">
        <v>1694</v>
      </c>
      <c r="BB690" t="s">
        <v>1695</v>
      </c>
      <c r="BC690" t="s">
        <v>1696</v>
      </c>
      <c r="BD690" t="s">
        <v>1694</v>
      </c>
      <c r="BE690" t="s">
        <v>1695</v>
      </c>
      <c r="BF690" t="s">
        <v>1696</v>
      </c>
      <c r="BG690" t="s">
        <v>1697</v>
      </c>
      <c r="BH690" t="s">
        <v>1698</v>
      </c>
      <c r="BI690" t="b">
        <v>0</v>
      </c>
      <c r="BJ690">
        <f t="shared" si="10"/>
        <v>0</v>
      </c>
    </row>
    <row r="691" spans="1:62" x14ac:dyDescent="0.2">
      <c r="A691" s="5" t="s">
        <v>160</v>
      </c>
      <c r="B691" s="6">
        <v>38415</v>
      </c>
      <c r="C691" s="7">
        <v>33.686563999999997</v>
      </c>
      <c r="D691" s="7">
        <v>-111.86262499999999</v>
      </c>
      <c r="E691" s="17">
        <v>702</v>
      </c>
      <c r="F691" t="s">
        <v>1694</v>
      </c>
      <c r="G691" t="s">
        <v>1694</v>
      </c>
      <c r="H691" t="s">
        <v>1694</v>
      </c>
      <c r="I691">
        <v>0</v>
      </c>
      <c r="J691" s="8">
        <v>20.636576615139223</v>
      </c>
      <c r="K691" s="8">
        <v>42.736590426600536</v>
      </c>
      <c r="L691" s="8">
        <v>36.626832958260238</v>
      </c>
      <c r="M691" s="8">
        <v>3.6535954124923355</v>
      </c>
      <c r="N691" s="8">
        <v>1.1973736303581706</v>
      </c>
      <c r="O691" s="8">
        <v>1.9530128204959027</v>
      </c>
      <c r="P691" s="8">
        <v>0.42223175386314438</v>
      </c>
      <c r="Q691" s="8">
        <v>17.321619201771355</v>
      </c>
      <c r="R691" s="8">
        <v>4.2405755723457084</v>
      </c>
      <c r="S691" s="8">
        <v>1.173</v>
      </c>
      <c r="T691" s="8">
        <v>0.41199999999999998</v>
      </c>
      <c r="U691" s="8">
        <v>0.183</v>
      </c>
      <c r="V691" s="8">
        <v>5.8999999999999997E-2</v>
      </c>
      <c r="W691" s="8">
        <v>0.99</v>
      </c>
      <c r="X691" s="8">
        <v>0.35299999999999998</v>
      </c>
      <c r="Y691" s="8">
        <v>4.5534150612959685</v>
      </c>
      <c r="Z691" s="8">
        <v>2.8286189683860221</v>
      </c>
      <c r="AA691" s="8">
        <v>8.1300000000000008</v>
      </c>
      <c r="AB691">
        <v>0.32300000000000001</v>
      </c>
      <c r="AC691" s="8">
        <v>14.886164623467609</v>
      </c>
      <c r="AD691" s="8">
        <v>9.3178036605657315</v>
      </c>
      <c r="AE691" s="8">
        <v>0.108</v>
      </c>
      <c r="AF691" s="8">
        <v>3.1E-2</v>
      </c>
      <c r="AG691" s="8">
        <v>1.1406905342907312</v>
      </c>
      <c r="AH691" s="8">
        <v>10.861111111111112</v>
      </c>
      <c r="AI691" s="8">
        <v>3.8148148148148144</v>
      </c>
      <c r="AJ691" t="s">
        <v>1694</v>
      </c>
      <c r="AK691" t="s">
        <v>1694</v>
      </c>
      <c r="AL691" t="s">
        <v>1694</v>
      </c>
      <c r="AM691" t="s">
        <v>1694</v>
      </c>
      <c r="AN691" t="s">
        <v>1694</v>
      </c>
      <c r="AO691" t="s">
        <v>1694</v>
      </c>
      <c r="AP691" s="11" t="s">
        <v>1695</v>
      </c>
      <c r="AQ691" s="11" t="s">
        <v>1694</v>
      </c>
      <c r="AR691" s="11" t="s">
        <v>1694</v>
      </c>
      <c r="AS691" t="s">
        <v>1694</v>
      </c>
      <c r="AT691" t="s">
        <v>1694</v>
      </c>
      <c r="AU691" t="s">
        <v>1695</v>
      </c>
      <c r="AV691" t="s">
        <v>1694</v>
      </c>
      <c r="AW691" t="s">
        <v>1694</v>
      </c>
      <c r="AX691" t="s">
        <v>1695</v>
      </c>
      <c r="AY691" t="s">
        <v>1694</v>
      </c>
      <c r="AZ691" t="s">
        <v>1694</v>
      </c>
      <c r="BA691" t="s">
        <v>1694</v>
      </c>
      <c r="BB691" t="s">
        <v>1695</v>
      </c>
      <c r="BC691" t="s">
        <v>1696</v>
      </c>
      <c r="BD691" t="s">
        <v>1694</v>
      </c>
      <c r="BE691" t="s">
        <v>1695</v>
      </c>
      <c r="BF691" t="s">
        <v>1696</v>
      </c>
      <c r="BG691" t="s">
        <v>1697</v>
      </c>
      <c r="BH691" t="s">
        <v>1698</v>
      </c>
      <c r="BI691" t="b">
        <v>0</v>
      </c>
      <c r="BJ691">
        <f t="shared" si="10"/>
        <v>0</v>
      </c>
    </row>
    <row r="692" spans="1:62" x14ac:dyDescent="0.2">
      <c r="A692" s="5" t="s">
        <v>160</v>
      </c>
      <c r="B692" s="6">
        <v>40261</v>
      </c>
      <c r="C692" s="7">
        <v>33.686563999999997</v>
      </c>
      <c r="D692" s="7">
        <v>-111.86262499999999</v>
      </c>
      <c r="E692" s="17">
        <v>702</v>
      </c>
      <c r="F692" t="s">
        <v>1694</v>
      </c>
      <c r="G692" t="s">
        <v>1694</v>
      </c>
      <c r="H692" t="s">
        <v>1694</v>
      </c>
      <c r="I692">
        <v>0</v>
      </c>
      <c r="J692" s="8">
        <v>20.667670070628127</v>
      </c>
      <c r="K692" s="8">
        <v>30.91073799622896</v>
      </c>
      <c r="L692" s="8">
        <v>48.421591933142913</v>
      </c>
      <c r="M692" s="8">
        <v>2.5133698457116891</v>
      </c>
      <c r="N692" s="8">
        <v>0.21808811749169418</v>
      </c>
      <c r="O692" s="8">
        <v>4.1694249771022314</v>
      </c>
      <c r="P692" s="8">
        <v>1.2199978849782893</v>
      </c>
      <c r="Q692" s="8">
        <v>23.156569400050067</v>
      </c>
      <c r="R692" s="8">
        <v>6.7146835640155169</v>
      </c>
      <c r="S692" s="8">
        <v>0.75600000000000001</v>
      </c>
      <c r="T692" s="8">
        <v>0.39800000000000002</v>
      </c>
      <c r="U692" s="8">
        <v>1.2E-2</v>
      </c>
      <c r="V692" s="8">
        <v>1.2E-2</v>
      </c>
      <c r="W692" s="8">
        <v>0.74399999999999999</v>
      </c>
      <c r="X692" s="8">
        <v>0.38600000000000001</v>
      </c>
      <c r="Y692" s="8">
        <v>2.8017241379310325</v>
      </c>
      <c r="Z692" s="8">
        <v>2.4602026049204042</v>
      </c>
      <c r="AA692" s="8">
        <v>8.08</v>
      </c>
      <c r="AB692">
        <v>0.52900000000000003</v>
      </c>
      <c r="AC692" s="8">
        <v>2.1551724137931152</v>
      </c>
      <c r="AD692" s="8">
        <v>2.7496382054992692</v>
      </c>
      <c r="AE692" s="8">
        <v>7.3999999999999996E-2</v>
      </c>
      <c r="AF692" s="8">
        <v>4.2999999999999997E-2</v>
      </c>
      <c r="AG692" s="8">
        <v>1.0393414029047476</v>
      </c>
      <c r="AH692" s="8">
        <v>10.216216216216218</v>
      </c>
      <c r="AI692" s="8">
        <v>5.378378378378379</v>
      </c>
      <c r="AJ692" t="s">
        <v>1694</v>
      </c>
      <c r="AK692" t="s">
        <v>1694</v>
      </c>
      <c r="AL692" t="s">
        <v>1694</v>
      </c>
      <c r="AM692" t="s">
        <v>1694</v>
      </c>
      <c r="AN692" t="s">
        <v>1694</v>
      </c>
      <c r="AO692" t="s">
        <v>1694</v>
      </c>
      <c r="AP692" s="11" t="s">
        <v>1695</v>
      </c>
      <c r="AQ692" s="11" t="s">
        <v>1694</v>
      </c>
      <c r="AR692" s="11" t="s">
        <v>1694</v>
      </c>
      <c r="AS692" t="s">
        <v>1694</v>
      </c>
      <c r="AT692" t="s">
        <v>1694</v>
      </c>
      <c r="AU692" t="s">
        <v>1695</v>
      </c>
      <c r="AV692" t="s">
        <v>1694</v>
      </c>
      <c r="AW692" t="s">
        <v>1694</v>
      </c>
      <c r="AX692" t="s">
        <v>1695</v>
      </c>
      <c r="AY692" t="s">
        <v>1694</v>
      </c>
      <c r="AZ692" t="s">
        <v>1694</v>
      </c>
      <c r="BA692" t="s">
        <v>1694</v>
      </c>
      <c r="BB692" t="s">
        <v>1695</v>
      </c>
      <c r="BC692" t="s">
        <v>1696</v>
      </c>
      <c r="BD692" t="s">
        <v>1694</v>
      </c>
      <c r="BE692" t="s">
        <v>1695</v>
      </c>
      <c r="BF692" t="s">
        <v>1696</v>
      </c>
      <c r="BG692" t="s">
        <v>1697</v>
      </c>
      <c r="BH692" t="s">
        <v>1698</v>
      </c>
      <c r="BI692" t="b">
        <v>0</v>
      </c>
      <c r="BJ692">
        <f t="shared" si="10"/>
        <v>0</v>
      </c>
    </row>
    <row r="693" spans="1:62" x14ac:dyDescent="0.2">
      <c r="A693" s="5" t="s">
        <v>160</v>
      </c>
      <c r="B693" s="6">
        <v>42101</v>
      </c>
      <c r="C693" s="7">
        <v>33.686563999999997</v>
      </c>
      <c r="D693" s="7">
        <v>-111.86262499999999</v>
      </c>
      <c r="E693" s="17">
        <v>702</v>
      </c>
      <c r="F693" t="s">
        <v>1694</v>
      </c>
      <c r="G693" t="s">
        <v>1694</v>
      </c>
      <c r="H693" t="s">
        <v>1694</v>
      </c>
      <c r="I693">
        <v>0</v>
      </c>
      <c r="J693">
        <v>9.6998588929707701</v>
      </c>
      <c r="K693">
        <v>77.334419673003197</v>
      </c>
      <c r="L693">
        <v>12.965721434026101</v>
      </c>
      <c r="M693">
        <v>4.4824882783170397</v>
      </c>
      <c r="N693">
        <v>2.6975073291093601</v>
      </c>
      <c r="O693">
        <v>7.8818474187507697</v>
      </c>
      <c r="P693">
        <v>15.6317091379158</v>
      </c>
      <c r="Q693">
        <v>5.7118863150827099</v>
      </c>
      <c r="R693">
        <v>4.5890919112688202</v>
      </c>
      <c r="S693">
        <v>1.1499999999999999</v>
      </c>
      <c r="T693">
        <v>0.59</v>
      </c>
      <c r="U693">
        <v>4.0000000000000001E-3</v>
      </c>
      <c r="V693">
        <v>0.02</v>
      </c>
      <c r="W693">
        <v>1.1459999999999999</v>
      </c>
      <c r="X693">
        <v>0.56999999999999995</v>
      </c>
      <c r="Y693">
        <v>2.3977433004231301</v>
      </c>
      <c r="Z693">
        <v>1.8229166666666601</v>
      </c>
      <c r="AA693">
        <v>6.76</v>
      </c>
      <c r="AB693">
        <v>0.19700000000000001</v>
      </c>
      <c r="AC693">
        <v>1.85567010309278</v>
      </c>
      <c r="AD693">
        <v>1.66051660516605</v>
      </c>
      <c r="AE693">
        <v>0.151</v>
      </c>
      <c r="AF693">
        <v>8.5000000000000006E-2</v>
      </c>
      <c r="AG693">
        <v>1.4425362752375051</v>
      </c>
      <c r="AH693">
        <v>7.6158940397350996</v>
      </c>
      <c r="AI693">
        <v>6.9411764705882302</v>
      </c>
      <c r="AJ693" t="s">
        <v>1694</v>
      </c>
      <c r="AK693" t="s">
        <v>1694</v>
      </c>
      <c r="AL693" t="s">
        <v>1694</v>
      </c>
      <c r="AM693" t="s">
        <v>1694</v>
      </c>
      <c r="AN693" t="s">
        <v>1694</v>
      </c>
      <c r="AO693" t="s">
        <v>1694</v>
      </c>
      <c r="AP693" t="s">
        <v>1697</v>
      </c>
      <c r="AQ693" t="s">
        <v>1697</v>
      </c>
      <c r="AR693" s="11" t="s">
        <v>1694</v>
      </c>
      <c r="AS693" t="s">
        <v>1694</v>
      </c>
      <c r="AT693" t="s">
        <v>1694</v>
      </c>
      <c r="AU693" t="s">
        <v>1695</v>
      </c>
      <c r="AV693" t="s">
        <v>1694</v>
      </c>
      <c r="AW693" t="s">
        <v>1694</v>
      </c>
      <c r="AX693" t="s">
        <v>1695</v>
      </c>
      <c r="AY693" t="s">
        <v>1694</v>
      </c>
      <c r="AZ693" t="s">
        <v>1694</v>
      </c>
      <c r="BA693" t="s">
        <v>1694</v>
      </c>
      <c r="BB693" t="s">
        <v>1695</v>
      </c>
      <c r="BC693" t="s">
        <v>1696</v>
      </c>
      <c r="BD693" t="s">
        <v>1694</v>
      </c>
      <c r="BE693" t="s">
        <v>1695</v>
      </c>
      <c r="BF693" t="s">
        <v>1696</v>
      </c>
      <c r="BG693" t="s">
        <v>1697</v>
      </c>
      <c r="BH693" t="s">
        <v>1698</v>
      </c>
      <c r="BI693" t="b">
        <v>0</v>
      </c>
      <c r="BJ693">
        <f t="shared" si="10"/>
        <v>0</v>
      </c>
    </row>
    <row r="694" spans="1:62" x14ac:dyDescent="0.2">
      <c r="A694" s="5" t="s">
        <v>161</v>
      </c>
      <c r="B694" s="6">
        <v>36643</v>
      </c>
      <c r="C694" s="7">
        <v>33.669386000000003</v>
      </c>
      <c r="D694" s="7">
        <v>-111.849</v>
      </c>
      <c r="E694" s="17">
        <v>653</v>
      </c>
      <c r="F694" t="s">
        <v>1694</v>
      </c>
      <c r="G694" t="s">
        <v>1694</v>
      </c>
      <c r="H694" t="s">
        <v>1694</v>
      </c>
      <c r="I694">
        <v>0</v>
      </c>
      <c r="J694" s="8">
        <v>15.744320987797254</v>
      </c>
      <c r="K694" s="8">
        <v>37.467515167360517</v>
      </c>
      <c r="L694" s="8">
        <v>46.788163844842231</v>
      </c>
      <c r="M694" s="8">
        <v>1.1406500736287932</v>
      </c>
      <c r="N694" s="8">
        <v>0.87298754514515331</v>
      </c>
      <c r="O694" s="8">
        <v>4.8278458257185344</v>
      </c>
      <c r="P694" s="8">
        <v>4.4382444564243375</v>
      </c>
      <c r="Q694" s="8">
        <v>20.557770367412719</v>
      </c>
      <c r="R694" s="8">
        <v>13.719779616792287</v>
      </c>
      <c r="S694" s="8">
        <v>0.51900000000000002</v>
      </c>
      <c r="T694" s="8">
        <v>0.47599999999999998</v>
      </c>
      <c r="U694" s="8">
        <v>2.1000000000000001E-2</v>
      </c>
      <c r="V694" s="8">
        <v>3.4000000000000002E-2</v>
      </c>
      <c r="W694" s="8">
        <v>0.498</v>
      </c>
      <c r="X694" s="8">
        <v>0.442</v>
      </c>
      <c r="Y694" s="8">
        <v>1.43719</v>
      </c>
      <c r="Z694" s="8">
        <v>1.4055599999999999</v>
      </c>
      <c r="AA694" s="9">
        <v>7.44</v>
      </c>
      <c r="AB694" s="10">
        <v>0.27600000000000002</v>
      </c>
      <c r="AC694" s="8">
        <v>0.47203000000000001</v>
      </c>
      <c r="AD694" s="8">
        <v>0.66130999999999995</v>
      </c>
      <c r="AE694" s="8">
        <v>6.2E-2</v>
      </c>
      <c r="AF694" s="8">
        <v>5.0999999999999997E-2</v>
      </c>
      <c r="AG694" s="8">
        <v>1.3146007722357298</v>
      </c>
      <c r="AH694" s="8">
        <v>8.370967741935484</v>
      </c>
      <c r="AI694" s="8">
        <v>7.6774193548387091</v>
      </c>
      <c r="AJ694" t="s">
        <v>1694</v>
      </c>
      <c r="AK694" t="s">
        <v>1694</v>
      </c>
      <c r="AL694" t="s">
        <v>1694</v>
      </c>
      <c r="AM694" t="s">
        <v>1694</v>
      </c>
      <c r="AN694" t="s">
        <v>1694</v>
      </c>
      <c r="AO694" t="s">
        <v>1694</v>
      </c>
      <c r="AP694" s="11" t="s">
        <v>1695</v>
      </c>
      <c r="AQ694" s="11" t="s">
        <v>1694</v>
      </c>
      <c r="AR694" s="11" t="s">
        <v>1694</v>
      </c>
      <c r="AS694" t="s">
        <v>1694</v>
      </c>
      <c r="AT694" t="s">
        <v>1694</v>
      </c>
      <c r="AU694" t="s">
        <v>1695</v>
      </c>
      <c r="AV694" t="s">
        <v>1694</v>
      </c>
      <c r="AW694" t="s">
        <v>1694</v>
      </c>
      <c r="AX694" t="s">
        <v>1695</v>
      </c>
      <c r="AY694" t="s">
        <v>1694</v>
      </c>
      <c r="AZ694" t="s">
        <v>1694</v>
      </c>
      <c r="BA694" t="s">
        <v>1694</v>
      </c>
      <c r="BB694" t="s">
        <v>1695</v>
      </c>
      <c r="BC694" t="s">
        <v>1694</v>
      </c>
      <c r="BD694" t="s">
        <v>1694</v>
      </c>
      <c r="BE694" t="s">
        <v>1695</v>
      </c>
      <c r="BF694" t="s">
        <v>1694</v>
      </c>
      <c r="BG694" t="s">
        <v>1697</v>
      </c>
      <c r="BH694" t="s">
        <v>1698</v>
      </c>
      <c r="BI694" t="b">
        <v>0</v>
      </c>
      <c r="BJ694">
        <f t="shared" si="10"/>
        <v>0</v>
      </c>
    </row>
    <row r="695" spans="1:62" x14ac:dyDescent="0.2">
      <c r="A695" s="5" t="s">
        <v>161</v>
      </c>
      <c r="B695" s="6">
        <v>38468</v>
      </c>
      <c r="C695" s="7">
        <v>33.669386000000003</v>
      </c>
      <c r="D695" s="7">
        <v>-111.849</v>
      </c>
      <c r="E695" s="17">
        <v>653</v>
      </c>
      <c r="F695" t="s">
        <v>1694</v>
      </c>
      <c r="G695" t="s">
        <v>1694</v>
      </c>
      <c r="H695" t="s">
        <v>1694</v>
      </c>
      <c r="I695">
        <v>0</v>
      </c>
      <c r="J695" s="8">
        <v>14.808257237468986</v>
      </c>
      <c r="K695" s="8">
        <v>44.941485503394873</v>
      </c>
      <c r="L695" s="8">
        <v>40.250257259136141</v>
      </c>
      <c r="M695" s="8">
        <v>1.4356495744650248</v>
      </c>
      <c r="N695" s="8">
        <v>1.2726943455868949</v>
      </c>
      <c r="O695" s="8">
        <v>4.5742765751920107</v>
      </c>
      <c r="P695" s="8">
        <v>0.80603975220503343</v>
      </c>
      <c r="Q695" s="8">
        <v>1.3849338102473625</v>
      </c>
      <c r="R695" s="8">
        <v>4.5187901087967743</v>
      </c>
      <c r="S695" s="8">
        <v>1.7030000000000001</v>
      </c>
      <c r="T695" s="8">
        <v>0.502</v>
      </c>
      <c r="U695" s="8">
        <v>0.218</v>
      </c>
      <c r="V695" s="8">
        <v>4.2000000000000003E-2</v>
      </c>
      <c r="W695" s="8">
        <v>1.4850000000000001</v>
      </c>
      <c r="X695" s="8">
        <v>0.46</v>
      </c>
      <c r="Y695" s="8">
        <v>5.2631578947368434</v>
      </c>
      <c r="Z695" s="8">
        <v>2.9976019184652278</v>
      </c>
      <c r="AA695" s="8">
        <v>8.1999999999999993</v>
      </c>
      <c r="AB695">
        <v>0.28100000000000003</v>
      </c>
      <c r="AC695" s="8">
        <v>8.9858793324775252</v>
      </c>
      <c r="AD695" s="8">
        <v>3.3573141486810689</v>
      </c>
      <c r="AE695" s="8">
        <v>0.14399999999999999</v>
      </c>
      <c r="AF695" s="8">
        <v>5.1999999999999998E-2</v>
      </c>
      <c r="AG695" s="8">
        <v>0.90722666581274902</v>
      </c>
      <c r="AH695" s="8">
        <v>11.826388888888891</v>
      </c>
      <c r="AI695" s="8">
        <v>3.4861111111111116</v>
      </c>
      <c r="AJ695" t="s">
        <v>1694</v>
      </c>
      <c r="AK695" t="s">
        <v>1694</v>
      </c>
      <c r="AL695" t="s">
        <v>1694</v>
      </c>
      <c r="AM695" t="s">
        <v>1694</v>
      </c>
      <c r="AN695" t="s">
        <v>1694</v>
      </c>
      <c r="AO695" t="s">
        <v>1694</v>
      </c>
      <c r="AP695" s="11" t="s">
        <v>1695</v>
      </c>
      <c r="AQ695" s="11" t="s">
        <v>1694</v>
      </c>
      <c r="AR695" s="11" t="s">
        <v>1694</v>
      </c>
      <c r="AS695" t="s">
        <v>1694</v>
      </c>
      <c r="AT695" t="s">
        <v>1694</v>
      </c>
      <c r="AU695" t="s">
        <v>1695</v>
      </c>
      <c r="AV695" t="s">
        <v>1694</v>
      </c>
      <c r="AW695" t="s">
        <v>1694</v>
      </c>
      <c r="AX695" t="s">
        <v>1695</v>
      </c>
      <c r="AY695" t="s">
        <v>1694</v>
      </c>
      <c r="AZ695" t="s">
        <v>1694</v>
      </c>
      <c r="BA695" t="s">
        <v>1694</v>
      </c>
      <c r="BB695" t="s">
        <v>1695</v>
      </c>
      <c r="BC695" t="s">
        <v>1694</v>
      </c>
      <c r="BD695" t="s">
        <v>1694</v>
      </c>
      <c r="BE695" t="s">
        <v>1695</v>
      </c>
      <c r="BF695" t="s">
        <v>1694</v>
      </c>
      <c r="BG695" t="s">
        <v>1697</v>
      </c>
      <c r="BH695" t="s">
        <v>1698</v>
      </c>
      <c r="BI695" t="b">
        <v>0</v>
      </c>
      <c r="BJ695">
        <f t="shared" si="10"/>
        <v>0</v>
      </c>
    </row>
    <row r="696" spans="1:62" x14ac:dyDescent="0.2">
      <c r="A696" s="5" t="s">
        <v>161</v>
      </c>
      <c r="B696" s="6">
        <v>40261</v>
      </c>
      <c r="C696" s="7">
        <v>33.669386000000003</v>
      </c>
      <c r="D696" s="7">
        <v>-111.849</v>
      </c>
      <c r="E696" s="17">
        <v>653</v>
      </c>
      <c r="F696" t="s">
        <v>1694</v>
      </c>
      <c r="G696" t="s">
        <v>1694</v>
      </c>
      <c r="H696" t="s">
        <v>1694</v>
      </c>
      <c r="I696">
        <v>0</v>
      </c>
      <c r="J696" s="8">
        <v>12.622600037288798</v>
      </c>
      <c r="K696" s="8">
        <v>48.486859860638155</v>
      </c>
      <c r="L696" s="8">
        <v>38.890540102073047</v>
      </c>
      <c r="M696" s="8">
        <v>0.11926210282971957</v>
      </c>
      <c r="N696" s="8">
        <v>1.3393756624013766</v>
      </c>
      <c r="O696" s="8">
        <v>5.3419483559145222</v>
      </c>
      <c r="P696" s="8">
        <v>1.2406198531920587</v>
      </c>
      <c r="Q696" s="8">
        <v>40.556387041545484</v>
      </c>
      <c r="R696" s="8">
        <v>24.798422185179479</v>
      </c>
      <c r="S696" s="8">
        <v>0.71199999999999997</v>
      </c>
      <c r="T696" s="8">
        <v>0.34599999999999997</v>
      </c>
      <c r="U696" s="8">
        <v>1.2E-2</v>
      </c>
      <c r="V696" s="8">
        <v>1.2E-2</v>
      </c>
      <c r="W696" s="8">
        <v>0.7</v>
      </c>
      <c r="X696" s="8">
        <v>0.33399999999999996</v>
      </c>
      <c r="Y696" s="8">
        <v>3.0357142857142998</v>
      </c>
      <c r="Z696" s="8">
        <v>2.6960784313725568</v>
      </c>
      <c r="AA696" s="8">
        <v>7.01</v>
      </c>
      <c r="AB696">
        <v>0.17699999999999999</v>
      </c>
      <c r="AC696" s="8">
        <v>2.8571428571428434</v>
      </c>
      <c r="AD696" s="8">
        <v>2.2058823529411726</v>
      </c>
      <c r="AE696" s="8">
        <v>6.3E-2</v>
      </c>
      <c r="AF696" s="8">
        <v>0.04</v>
      </c>
      <c r="AG696" s="8">
        <v>1.2220655178154569</v>
      </c>
      <c r="AH696" s="8">
        <v>11.301587301587301</v>
      </c>
      <c r="AI696" s="8">
        <v>5.4920634920634912</v>
      </c>
      <c r="AJ696" t="s">
        <v>1694</v>
      </c>
      <c r="AK696" t="s">
        <v>1694</v>
      </c>
      <c r="AL696" t="s">
        <v>1694</v>
      </c>
      <c r="AM696" t="s">
        <v>1694</v>
      </c>
      <c r="AN696" t="s">
        <v>1694</v>
      </c>
      <c r="AO696" t="s">
        <v>1694</v>
      </c>
      <c r="AP696" s="11" t="s">
        <v>1695</v>
      </c>
      <c r="AQ696" s="11" t="s">
        <v>1694</v>
      </c>
      <c r="AR696" s="11" t="s">
        <v>1694</v>
      </c>
      <c r="AS696" t="s">
        <v>1694</v>
      </c>
      <c r="AT696" t="s">
        <v>1694</v>
      </c>
      <c r="AU696" t="s">
        <v>1695</v>
      </c>
      <c r="AV696" t="s">
        <v>1694</v>
      </c>
      <c r="AW696" t="s">
        <v>1694</v>
      </c>
      <c r="AX696" t="s">
        <v>1695</v>
      </c>
      <c r="AY696" t="s">
        <v>1694</v>
      </c>
      <c r="AZ696" t="s">
        <v>1694</v>
      </c>
      <c r="BA696" t="s">
        <v>1694</v>
      </c>
      <c r="BB696" t="s">
        <v>1695</v>
      </c>
      <c r="BC696" t="s">
        <v>1694</v>
      </c>
      <c r="BD696" t="s">
        <v>1694</v>
      </c>
      <c r="BE696" t="s">
        <v>1695</v>
      </c>
      <c r="BF696" t="s">
        <v>1694</v>
      </c>
      <c r="BG696" t="s">
        <v>1697</v>
      </c>
      <c r="BH696" t="s">
        <v>1698</v>
      </c>
      <c r="BI696" t="b">
        <v>0</v>
      </c>
      <c r="BJ696">
        <f t="shared" si="10"/>
        <v>0</v>
      </c>
    </row>
    <row r="697" spans="1:62" x14ac:dyDescent="0.2">
      <c r="A697" s="5" t="s">
        <v>161</v>
      </c>
      <c r="B697" s="6">
        <v>42079</v>
      </c>
      <c r="C697" s="7">
        <v>33.669386000000003</v>
      </c>
      <c r="D697" s="7">
        <v>-111.849</v>
      </c>
      <c r="E697" s="17">
        <v>653</v>
      </c>
      <c r="F697" t="s">
        <v>1694</v>
      </c>
      <c r="G697" t="s">
        <v>1694</v>
      </c>
      <c r="H697" t="s">
        <v>1694</v>
      </c>
      <c r="I697">
        <v>0</v>
      </c>
      <c r="J697">
        <v>7.5357642716863404</v>
      </c>
      <c r="K697">
        <v>59.0922339718947</v>
      </c>
      <c r="L697">
        <v>33.372001756419003</v>
      </c>
      <c r="M697">
        <v>6.3595445340896104</v>
      </c>
      <c r="N697" t="s">
        <v>1697</v>
      </c>
      <c r="O697">
        <v>8.8067222101976199</v>
      </c>
      <c r="P697" t="s">
        <v>1697</v>
      </c>
      <c r="Q697">
        <v>15.562927978066901</v>
      </c>
      <c r="R697" t="s">
        <v>1697</v>
      </c>
      <c r="S697">
        <v>0.88200000000000001</v>
      </c>
      <c r="T697" t="s">
        <v>1697</v>
      </c>
      <c r="U697">
        <v>1.9E-2</v>
      </c>
      <c r="V697" t="s">
        <v>1697</v>
      </c>
      <c r="W697">
        <v>0.86299999999999999</v>
      </c>
      <c r="X697" t="s">
        <v>1697</v>
      </c>
      <c r="Y697">
        <v>2.1246458923512699</v>
      </c>
      <c r="Z697" t="s">
        <v>1697</v>
      </c>
      <c r="AA697">
        <v>7.23</v>
      </c>
      <c r="AB697">
        <v>0.121</v>
      </c>
      <c r="AC697">
        <v>1.8595041322314001</v>
      </c>
      <c r="AD697" t="s">
        <v>1697</v>
      </c>
      <c r="AE697">
        <v>0.122</v>
      </c>
      <c r="AF697" t="s">
        <v>1697</v>
      </c>
      <c r="AG697">
        <v>1.2501822112148053</v>
      </c>
      <c r="AH697">
        <v>7.2295081967213104</v>
      </c>
      <c r="AI697" t="s">
        <v>1697</v>
      </c>
      <c r="AJ697" t="s">
        <v>1694</v>
      </c>
      <c r="AK697" t="s">
        <v>1694</v>
      </c>
      <c r="AL697" t="s">
        <v>1694</v>
      </c>
      <c r="AM697" t="s">
        <v>1694</v>
      </c>
      <c r="AN697" t="s">
        <v>1694</v>
      </c>
      <c r="AO697" t="s">
        <v>1694</v>
      </c>
      <c r="AP697" t="s">
        <v>1697</v>
      </c>
      <c r="AQ697" t="s">
        <v>1697</v>
      </c>
      <c r="AR697" s="11" t="s">
        <v>1694</v>
      </c>
      <c r="AS697" t="s">
        <v>1694</v>
      </c>
      <c r="AT697" t="s">
        <v>1694</v>
      </c>
      <c r="AU697" t="s">
        <v>1695</v>
      </c>
      <c r="AV697" t="s">
        <v>1694</v>
      </c>
      <c r="AW697" t="s">
        <v>1694</v>
      </c>
      <c r="AX697" t="s">
        <v>1695</v>
      </c>
      <c r="AY697" t="s">
        <v>1694</v>
      </c>
      <c r="AZ697" t="s">
        <v>1694</v>
      </c>
      <c r="BA697" t="s">
        <v>1694</v>
      </c>
      <c r="BB697" t="s">
        <v>1695</v>
      </c>
      <c r="BC697" t="s">
        <v>1694</v>
      </c>
      <c r="BD697" t="s">
        <v>1694</v>
      </c>
      <c r="BE697" t="s">
        <v>1695</v>
      </c>
      <c r="BF697" t="s">
        <v>1694</v>
      </c>
      <c r="BG697" t="s">
        <v>1697</v>
      </c>
      <c r="BH697" t="s">
        <v>1698</v>
      </c>
      <c r="BI697" t="b">
        <v>1</v>
      </c>
      <c r="BJ697">
        <f t="shared" si="10"/>
        <v>1</v>
      </c>
    </row>
    <row r="698" spans="1:62" x14ac:dyDescent="0.2">
      <c r="A698" s="5" t="s">
        <v>162</v>
      </c>
      <c r="B698" s="6">
        <v>38509</v>
      </c>
      <c r="C698" s="7">
        <v>33.428218999999999</v>
      </c>
      <c r="D698" s="7">
        <v>-111.85570300000001</v>
      </c>
      <c r="E698" s="17">
        <v>377</v>
      </c>
      <c r="F698" t="s">
        <v>1700</v>
      </c>
      <c r="G698" t="s">
        <v>1755</v>
      </c>
      <c r="H698" t="s">
        <v>1755</v>
      </c>
      <c r="I698">
        <v>1</v>
      </c>
      <c r="J698" s="8">
        <v>16.312837692513334</v>
      </c>
      <c r="K698" s="8">
        <v>53.775858679598244</v>
      </c>
      <c r="L698" s="8">
        <v>29.911303627888429</v>
      </c>
      <c r="M698" s="8">
        <v>0.55612567270007196</v>
      </c>
      <c r="N698" s="8">
        <v>0.83037861548323333</v>
      </c>
      <c r="O698" s="8">
        <v>81.151569316310486</v>
      </c>
      <c r="P698" s="8">
        <v>57.20386017773388</v>
      </c>
      <c r="Q698" s="8">
        <v>3.1852299398705575</v>
      </c>
      <c r="R698" s="8">
        <v>1.4049624390704829</v>
      </c>
      <c r="S698" s="8">
        <v>2.3450000000000002</v>
      </c>
      <c r="T698" s="8">
        <v>1.54</v>
      </c>
      <c r="U698" s="8">
        <v>1.03</v>
      </c>
      <c r="V698" s="8">
        <v>0.67400000000000004</v>
      </c>
      <c r="W698" s="8">
        <v>1.3150000000000002</v>
      </c>
      <c r="X698" s="8">
        <v>0.86599999999999999</v>
      </c>
      <c r="Y698" s="8">
        <v>4.3137254901960738</v>
      </c>
      <c r="Z698" s="8">
        <v>2.936630602782063</v>
      </c>
      <c r="AA698" s="8">
        <v>7.57</v>
      </c>
      <c r="AB698">
        <v>0.432</v>
      </c>
      <c r="AC698" s="8">
        <v>6.6666666666666634</v>
      </c>
      <c r="AD698" s="8">
        <v>9.5826893353941145</v>
      </c>
      <c r="AE698" s="8">
        <v>0.14099999999999999</v>
      </c>
      <c r="AF698" s="8">
        <v>6.9000000000000006E-2</v>
      </c>
      <c r="AG698" s="8">
        <v>0.80507699586487258</v>
      </c>
      <c r="AH698" s="8">
        <v>16.631205673758867</v>
      </c>
      <c r="AI698" s="8">
        <v>10.921985815602838</v>
      </c>
      <c r="AJ698" t="s">
        <v>1702</v>
      </c>
      <c r="AK698" t="s">
        <v>1703</v>
      </c>
      <c r="AL698" t="s">
        <v>1702</v>
      </c>
      <c r="AM698" t="s">
        <v>1703</v>
      </c>
      <c r="AN698" t="s">
        <v>1702</v>
      </c>
      <c r="AO698" t="s">
        <v>1703</v>
      </c>
      <c r="AP698" s="11" t="s">
        <v>1697</v>
      </c>
      <c r="AQ698" t="s">
        <v>1697</v>
      </c>
      <c r="AR698" s="11" t="s">
        <v>1697</v>
      </c>
      <c r="AS698" t="s">
        <v>1700</v>
      </c>
      <c r="AT698" t="s">
        <v>1700</v>
      </c>
      <c r="AU698" t="s">
        <v>1701</v>
      </c>
      <c r="AV698" t="s">
        <v>1739</v>
      </c>
      <c r="AW698" t="s">
        <v>1700</v>
      </c>
      <c r="AX698" t="s">
        <v>1701</v>
      </c>
      <c r="AY698" t="s">
        <v>1739</v>
      </c>
      <c r="AZ698" t="s">
        <v>1700</v>
      </c>
      <c r="BA698" t="s">
        <v>1700</v>
      </c>
      <c r="BB698" t="s">
        <v>1701</v>
      </c>
      <c r="BC698" t="s">
        <v>1739</v>
      </c>
      <c r="BD698" t="s">
        <v>1700</v>
      </c>
      <c r="BE698" t="s">
        <v>1701</v>
      </c>
      <c r="BF698" t="s">
        <v>1739</v>
      </c>
      <c r="BG698">
        <v>50</v>
      </c>
      <c r="BH698" s="12" t="s">
        <v>1729</v>
      </c>
      <c r="BI698" t="b">
        <v>0</v>
      </c>
      <c r="BJ698">
        <f t="shared" si="10"/>
        <v>0</v>
      </c>
    </row>
    <row r="699" spans="1:62" x14ac:dyDescent="0.2">
      <c r="A699" s="5" t="s">
        <v>162</v>
      </c>
      <c r="B699" s="6">
        <v>40312</v>
      </c>
      <c r="C699" s="7">
        <v>33.428218999999999</v>
      </c>
      <c r="D699" s="7">
        <v>-111.85570300000001</v>
      </c>
      <c r="E699" s="17">
        <v>377</v>
      </c>
      <c r="F699" t="s">
        <v>1700</v>
      </c>
      <c r="G699" t="s">
        <v>1755</v>
      </c>
      <c r="H699" t="s">
        <v>1755</v>
      </c>
      <c r="I699">
        <v>1</v>
      </c>
      <c r="J699" s="8">
        <v>14.05690569334239</v>
      </c>
      <c r="K699" s="8">
        <v>60.371157790564936</v>
      </c>
      <c r="L699" s="8">
        <v>25.571936516092677</v>
      </c>
      <c r="M699" s="8">
        <v>5.7958021191187559</v>
      </c>
      <c r="N699" s="8">
        <v>4.952959944386417</v>
      </c>
      <c r="O699" s="8">
        <v>282.42823259447061</v>
      </c>
      <c r="P699" s="8">
        <v>122.26972247648479</v>
      </c>
      <c r="Q699" s="8">
        <v>19.561681091743932</v>
      </c>
      <c r="R699" s="8">
        <v>9.4336534505609624</v>
      </c>
      <c r="S699" s="8">
        <v>2.11</v>
      </c>
      <c r="T699" s="8">
        <v>1.621</v>
      </c>
      <c r="U699" s="8">
        <v>0.93899999999999995</v>
      </c>
      <c r="V699" s="8">
        <v>0.84299999999999997</v>
      </c>
      <c r="W699" s="8">
        <v>1.1709999999999998</v>
      </c>
      <c r="X699" s="8">
        <v>0.77800000000000002</v>
      </c>
      <c r="Y699" s="8">
        <v>5.4901960784313779</v>
      </c>
      <c r="Z699" s="8">
        <v>4.9069373942470396</v>
      </c>
      <c r="AA699" s="8">
        <v>7.98</v>
      </c>
      <c r="AB699">
        <v>0.40899999999999997</v>
      </c>
      <c r="AC699" s="8">
        <v>3.725490196078439</v>
      </c>
      <c r="AD699" s="8">
        <v>6.4297800338409612</v>
      </c>
      <c r="AE699" s="8">
        <v>0.152</v>
      </c>
      <c r="AF699" s="8">
        <v>9.1999999999999998E-2</v>
      </c>
      <c r="AG699" s="8">
        <v>1.2966812753782109</v>
      </c>
      <c r="AH699" s="8">
        <v>13.881578947368421</v>
      </c>
      <c r="AI699" s="8">
        <v>10.664473684210527</v>
      </c>
      <c r="AJ699" t="s">
        <v>1702</v>
      </c>
      <c r="AK699" t="s">
        <v>1703</v>
      </c>
      <c r="AL699" t="s">
        <v>1702</v>
      </c>
      <c r="AM699" t="s">
        <v>1703</v>
      </c>
      <c r="AN699" t="s">
        <v>1702</v>
      </c>
      <c r="AO699" t="s">
        <v>1703</v>
      </c>
      <c r="AP699" s="11" t="s">
        <v>1697</v>
      </c>
      <c r="AQ699" t="s">
        <v>1697</v>
      </c>
      <c r="AR699" s="11" t="s">
        <v>1697</v>
      </c>
      <c r="AS699" t="s">
        <v>1700</v>
      </c>
      <c r="AT699" t="s">
        <v>1700</v>
      </c>
      <c r="AU699" t="s">
        <v>1701</v>
      </c>
      <c r="AV699" t="s">
        <v>1739</v>
      </c>
      <c r="AW699" t="s">
        <v>1700</v>
      </c>
      <c r="AX699" t="s">
        <v>1701</v>
      </c>
      <c r="AY699" t="s">
        <v>1739</v>
      </c>
      <c r="AZ699" t="s">
        <v>1700</v>
      </c>
      <c r="BA699" t="s">
        <v>1700</v>
      </c>
      <c r="BB699" t="s">
        <v>1701</v>
      </c>
      <c r="BC699" t="s">
        <v>1739</v>
      </c>
      <c r="BD699" t="s">
        <v>1700</v>
      </c>
      <c r="BE699" t="s">
        <v>1701</v>
      </c>
      <c r="BF699" t="s">
        <v>1739</v>
      </c>
      <c r="BG699">
        <v>55</v>
      </c>
      <c r="BH699" s="12" t="s">
        <v>1729</v>
      </c>
      <c r="BI699" t="b">
        <v>0</v>
      </c>
      <c r="BJ699">
        <f t="shared" si="10"/>
        <v>0</v>
      </c>
    </row>
    <row r="700" spans="1:62" x14ac:dyDescent="0.2">
      <c r="A700" s="5" t="s">
        <v>162</v>
      </c>
      <c r="B700" s="6">
        <v>42157</v>
      </c>
      <c r="C700" s="7">
        <v>33.428218999999999</v>
      </c>
      <c r="D700" s="7">
        <v>-111.85570300000001</v>
      </c>
      <c r="E700" s="17">
        <v>377</v>
      </c>
      <c r="F700" t="s">
        <v>1700</v>
      </c>
      <c r="G700" t="s">
        <v>1755</v>
      </c>
      <c r="H700" t="s">
        <v>1755</v>
      </c>
      <c r="I700">
        <v>1</v>
      </c>
      <c r="J700">
        <v>11.854411733602699</v>
      </c>
      <c r="K700">
        <v>62.208875479041097</v>
      </c>
      <c r="L700">
        <v>25.9367127873562</v>
      </c>
      <c r="M700">
        <v>10.651381316473101</v>
      </c>
      <c r="N700" t="s">
        <v>1697</v>
      </c>
      <c r="O700">
        <v>226.65012062616501</v>
      </c>
      <c r="P700" t="s">
        <v>1697</v>
      </c>
      <c r="Q700">
        <v>9.7716164702361006</v>
      </c>
      <c r="R700" t="s">
        <v>1697</v>
      </c>
      <c r="S700">
        <v>2.625</v>
      </c>
      <c r="T700" t="s">
        <v>1697</v>
      </c>
      <c r="U700">
        <v>0.83799999999999997</v>
      </c>
      <c r="V700" t="s">
        <v>1697</v>
      </c>
      <c r="W700">
        <v>1.7869999999999999</v>
      </c>
      <c r="X700" t="s">
        <v>1697</v>
      </c>
      <c r="Y700">
        <v>3.37381916329285</v>
      </c>
      <c r="Z700" t="s">
        <v>1697</v>
      </c>
      <c r="AA700">
        <v>7.94</v>
      </c>
      <c r="AB700">
        <v>0.33800000000000002</v>
      </c>
      <c r="AC700">
        <v>4.2389210019268004</v>
      </c>
      <c r="AD700" t="s">
        <v>1697</v>
      </c>
      <c r="AE700">
        <v>0.187</v>
      </c>
      <c r="AF700" t="s">
        <v>1697</v>
      </c>
      <c r="AG700">
        <v>0.96290794732876017</v>
      </c>
      <c r="AH700">
        <v>14.037433155080199</v>
      </c>
      <c r="AI700" t="s">
        <v>1697</v>
      </c>
      <c r="AJ700" t="s">
        <v>1702</v>
      </c>
      <c r="AK700" t="s">
        <v>1703</v>
      </c>
      <c r="AL700" t="s">
        <v>1702</v>
      </c>
      <c r="AM700" t="s">
        <v>1703</v>
      </c>
      <c r="AN700" t="s">
        <v>1702</v>
      </c>
      <c r="AO700" t="s">
        <v>1703</v>
      </c>
      <c r="AP700" t="s">
        <v>1697</v>
      </c>
      <c r="AQ700" t="s">
        <v>1697</v>
      </c>
      <c r="AR700" s="11" t="s">
        <v>1697</v>
      </c>
      <c r="AS700" t="s">
        <v>1700</v>
      </c>
      <c r="AT700" t="s">
        <v>1700</v>
      </c>
      <c r="AU700" t="s">
        <v>1701</v>
      </c>
      <c r="AV700" t="s">
        <v>1739</v>
      </c>
      <c r="AW700" t="s">
        <v>1700</v>
      </c>
      <c r="AX700" t="s">
        <v>1701</v>
      </c>
      <c r="AY700" t="s">
        <v>1739</v>
      </c>
      <c r="AZ700" t="s">
        <v>1700</v>
      </c>
      <c r="BA700" t="s">
        <v>1700</v>
      </c>
      <c r="BB700" t="s">
        <v>1701</v>
      </c>
      <c r="BC700" t="s">
        <v>1739</v>
      </c>
      <c r="BD700" t="s">
        <v>1700</v>
      </c>
      <c r="BE700" t="s">
        <v>1701</v>
      </c>
      <c r="BF700" t="s">
        <v>1739</v>
      </c>
      <c r="BG700">
        <v>60</v>
      </c>
      <c r="BH700" s="12" t="s">
        <v>1729</v>
      </c>
      <c r="BI700" t="b">
        <v>0</v>
      </c>
      <c r="BJ700">
        <f t="shared" si="10"/>
        <v>0</v>
      </c>
    </row>
    <row r="701" spans="1:62" x14ac:dyDescent="0.2">
      <c r="A701" s="5" t="s">
        <v>162</v>
      </c>
      <c r="B701" s="6">
        <v>45072</v>
      </c>
      <c r="C701" s="7">
        <v>33.428218999999999</v>
      </c>
      <c r="D701" s="7">
        <v>-111.85570300000001</v>
      </c>
      <c r="E701" s="17">
        <v>377</v>
      </c>
      <c r="F701" t="s">
        <v>1700</v>
      </c>
      <c r="G701" t="s">
        <v>1755</v>
      </c>
      <c r="H701" t="s">
        <v>1755</v>
      </c>
      <c r="I701">
        <v>1</v>
      </c>
      <c r="J701" t="s">
        <v>1697</v>
      </c>
      <c r="K701" t="s">
        <v>1697</v>
      </c>
      <c r="L701" t="s">
        <v>1697</v>
      </c>
      <c r="M701" t="s">
        <v>1697</v>
      </c>
      <c r="N701" t="s">
        <v>1697</v>
      </c>
      <c r="O701" t="s">
        <v>1697</v>
      </c>
      <c r="P701" t="s">
        <v>1697</v>
      </c>
      <c r="Q701" t="s">
        <v>1697</v>
      </c>
      <c r="R701" t="s">
        <v>1697</v>
      </c>
      <c r="S701" t="s">
        <v>1697</v>
      </c>
      <c r="T701" t="s">
        <v>1697</v>
      </c>
      <c r="U701" t="s">
        <v>1697</v>
      </c>
      <c r="V701" t="s">
        <v>1697</v>
      </c>
      <c r="W701" t="s">
        <v>1697</v>
      </c>
      <c r="X701" t="s">
        <v>1697</v>
      </c>
      <c r="Y701" t="s">
        <v>1697</v>
      </c>
      <c r="Z701" t="s">
        <v>1697</v>
      </c>
      <c r="AA701" t="s">
        <v>1697</v>
      </c>
      <c r="AB701" t="s">
        <v>1697</v>
      </c>
      <c r="AC701" t="s">
        <v>1697</v>
      </c>
      <c r="AD701" t="s">
        <v>1697</v>
      </c>
      <c r="AE701" t="s">
        <v>1697</v>
      </c>
      <c r="AF701" t="s">
        <v>1697</v>
      </c>
      <c r="AG701" t="s">
        <v>1697</v>
      </c>
      <c r="AH701" t="s">
        <v>1697</v>
      </c>
      <c r="AI701" t="s">
        <v>1697</v>
      </c>
      <c r="AJ701" t="s">
        <v>1702</v>
      </c>
      <c r="AK701" t="s">
        <v>1703</v>
      </c>
      <c r="AL701" t="s">
        <v>1702</v>
      </c>
      <c r="AM701" t="s">
        <v>1703</v>
      </c>
      <c r="AN701" t="s">
        <v>1702</v>
      </c>
      <c r="AO701" t="s">
        <v>1703</v>
      </c>
      <c r="AP701" t="s">
        <v>1697</v>
      </c>
      <c r="AQ701" t="s">
        <v>1697</v>
      </c>
      <c r="AR701" s="11" t="s">
        <v>1697</v>
      </c>
      <c r="AS701" t="s">
        <v>1700</v>
      </c>
      <c r="AT701" t="s">
        <v>1700</v>
      </c>
      <c r="AU701" t="s">
        <v>1701</v>
      </c>
      <c r="AV701" t="s">
        <v>1739</v>
      </c>
      <c r="AW701" t="s">
        <v>1700</v>
      </c>
      <c r="AX701" t="s">
        <v>1701</v>
      </c>
      <c r="AY701" t="s">
        <v>1739</v>
      </c>
      <c r="AZ701" t="s">
        <v>1700</v>
      </c>
      <c r="BA701" t="s">
        <v>1700</v>
      </c>
      <c r="BB701" t="s">
        <v>1701</v>
      </c>
      <c r="BC701" t="s">
        <v>1739</v>
      </c>
      <c r="BD701" t="s">
        <v>1700</v>
      </c>
      <c r="BE701" t="s">
        <v>1701</v>
      </c>
      <c r="BF701" t="s">
        <v>1739</v>
      </c>
      <c r="BG701" s="6" t="s">
        <v>1697</v>
      </c>
      <c r="BH701" s="6" t="s">
        <v>1697</v>
      </c>
      <c r="BI701" t="b">
        <v>0</v>
      </c>
      <c r="BJ701">
        <f t="shared" si="10"/>
        <v>0</v>
      </c>
    </row>
    <row r="702" spans="1:62" x14ac:dyDescent="0.2">
      <c r="A702" s="5" t="s">
        <v>163</v>
      </c>
      <c r="B702" s="6">
        <v>36563</v>
      </c>
      <c r="C702" s="7">
        <v>33.400880999999998</v>
      </c>
      <c r="D702" s="7">
        <v>-111.875125</v>
      </c>
      <c r="E702" s="17">
        <v>368</v>
      </c>
      <c r="F702" t="s">
        <v>1706</v>
      </c>
      <c r="G702" t="s">
        <v>1710</v>
      </c>
      <c r="H702" t="s">
        <v>1710</v>
      </c>
      <c r="I702">
        <v>1</v>
      </c>
      <c r="J702" s="8">
        <v>23.960939480242455</v>
      </c>
      <c r="K702" s="8">
        <v>54.482988552818249</v>
      </c>
      <c r="L702" s="8">
        <v>21.5560719669393</v>
      </c>
      <c r="M702" s="8">
        <v>2.9051623881416124</v>
      </c>
      <c r="N702" s="8">
        <v>3.1475108996998413</v>
      </c>
      <c r="O702" s="8">
        <v>7.9446606584110846</v>
      </c>
      <c r="P702" s="8">
        <v>1.8451433547586351</v>
      </c>
      <c r="Q702" s="8">
        <v>8.9378447108252779</v>
      </c>
      <c r="R702" s="8">
        <v>4.5079031139485215</v>
      </c>
      <c r="S702" s="8">
        <v>3.238</v>
      </c>
      <c r="T702" s="8">
        <v>2.0750000000000002</v>
      </c>
      <c r="U702" s="8">
        <v>1.837</v>
      </c>
      <c r="V702" s="8">
        <v>1.552</v>
      </c>
      <c r="W702" s="8">
        <v>1.401</v>
      </c>
      <c r="X702" s="8">
        <v>0.52300000000000002</v>
      </c>
      <c r="Y702" s="8">
        <v>5.4039700000000002</v>
      </c>
      <c r="Z702" s="8">
        <v>2.8848799999999999</v>
      </c>
      <c r="AA702" s="9">
        <v>7.56</v>
      </c>
      <c r="AB702" s="10">
        <v>2.3050000000000002</v>
      </c>
      <c r="AC702" s="8">
        <v>6.6760400000000004</v>
      </c>
      <c r="AD702" s="8">
        <v>7.4852299999999996</v>
      </c>
      <c r="AE702" s="8">
        <v>0.17100000000000001</v>
      </c>
      <c r="AF702" s="8">
        <v>5.2999999999999999E-2</v>
      </c>
      <c r="AG702" s="8">
        <v>1.0657061566596673</v>
      </c>
      <c r="AH702" s="8">
        <v>18.935672514619881</v>
      </c>
      <c r="AI702" s="8">
        <v>12.134502923976608</v>
      </c>
      <c r="AJ702" t="s">
        <v>1702</v>
      </c>
      <c r="AK702" t="s">
        <v>1703</v>
      </c>
      <c r="AL702" t="s">
        <v>1702</v>
      </c>
      <c r="AM702" t="s">
        <v>1703</v>
      </c>
      <c r="AN702" t="s">
        <v>1702</v>
      </c>
      <c r="AO702" t="s">
        <v>1703</v>
      </c>
      <c r="AP702" s="11" t="s">
        <v>1697</v>
      </c>
      <c r="AQ702" t="s">
        <v>1697</v>
      </c>
      <c r="AR702" s="11" t="s">
        <v>1697</v>
      </c>
      <c r="AS702" t="s">
        <v>1700</v>
      </c>
      <c r="AT702" t="s">
        <v>1700</v>
      </c>
      <c r="AU702" t="s">
        <v>1706</v>
      </c>
      <c r="AV702" t="s">
        <v>1759</v>
      </c>
      <c r="AW702" t="s">
        <v>1706</v>
      </c>
      <c r="AX702" t="s">
        <v>1706</v>
      </c>
      <c r="AY702" t="s">
        <v>1759</v>
      </c>
      <c r="AZ702" t="s">
        <v>1706</v>
      </c>
      <c r="BA702" t="s">
        <v>1700</v>
      </c>
      <c r="BB702" t="s">
        <v>1706</v>
      </c>
      <c r="BC702" t="s">
        <v>1759</v>
      </c>
      <c r="BD702" t="s">
        <v>1706</v>
      </c>
      <c r="BE702" t="s">
        <v>1706</v>
      </c>
      <c r="BF702" t="s">
        <v>1759</v>
      </c>
      <c r="BG702">
        <v>45</v>
      </c>
      <c r="BH702" s="12" t="s">
        <v>1729</v>
      </c>
      <c r="BI702" t="b">
        <v>0</v>
      </c>
      <c r="BJ702">
        <f t="shared" si="10"/>
        <v>0</v>
      </c>
    </row>
    <row r="703" spans="1:62" x14ac:dyDescent="0.2">
      <c r="A703" s="5" t="s">
        <v>163</v>
      </c>
      <c r="B703" s="6">
        <v>38482</v>
      </c>
      <c r="C703" s="7">
        <v>33.400880999999998</v>
      </c>
      <c r="D703" s="7">
        <v>-111.875125</v>
      </c>
      <c r="E703" s="17">
        <v>368</v>
      </c>
      <c r="F703" t="s">
        <v>1706</v>
      </c>
      <c r="G703" t="s">
        <v>1710</v>
      </c>
      <c r="H703" t="s">
        <v>1710</v>
      </c>
      <c r="I703">
        <v>1</v>
      </c>
      <c r="J703" s="8">
        <v>7.1886161367503494</v>
      </c>
      <c r="K703" s="8">
        <v>76.302754903199741</v>
      </c>
      <c r="L703" s="8">
        <v>16.508628960049904</v>
      </c>
      <c r="M703" s="8">
        <v>1.394593301014464</v>
      </c>
      <c r="N703" s="8">
        <v>0.76510639477342102</v>
      </c>
      <c r="O703" s="8">
        <v>22.797930489215393</v>
      </c>
      <c r="P703" s="8">
        <v>4.0967969683776815</v>
      </c>
      <c r="Q703" s="8">
        <v>15.809240457775935</v>
      </c>
      <c r="R703" s="8">
        <v>0.88189114913307121</v>
      </c>
      <c r="S703" s="8">
        <v>2.956</v>
      </c>
      <c r="T703" s="8">
        <v>1.8740000000000001</v>
      </c>
      <c r="U703" s="8">
        <v>1.238</v>
      </c>
      <c r="V703" s="8">
        <v>1.3640000000000001</v>
      </c>
      <c r="W703" s="8">
        <v>1.718</v>
      </c>
      <c r="X703" s="8">
        <v>0.51</v>
      </c>
      <c r="Y703" s="8">
        <v>5.3064275037369146</v>
      </c>
      <c r="Z703" s="8">
        <v>2.6804123711340186</v>
      </c>
      <c r="AA703" s="8">
        <v>7.82</v>
      </c>
      <c r="AB703">
        <v>0.28799999999999998</v>
      </c>
      <c r="AC703" s="8">
        <v>10.538116591928267</v>
      </c>
      <c r="AD703" s="8">
        <v>7.8350515463917514</v>
      </c>
      <c r="AE703" s="8">
        <v>0.16900000000000001</v>
      </c>
      <c r="AF703" s="8">
        <v>4.3999999999999997E-2</v>
      </c>
      <c r="AG703" s="8">
        <v>1.3963922315386521</v>
      </c>
      <c r="AH703" s="8">
        <v>17.491124260355029</v>
      </c>
      <c r="AI703" s="8">
        <v>11.088757396449704</v>
      </c>
      <c r="AJ703" t="s">
        <v>1702</v>
      </c>
      <c r="AK703" t="s">
        <v>1703</v>
      </c>
      <c r="AL703" t="s">
        <v>1702</v>
      </c>
      <c r="AM703" t="s">
        <v>1703</v>
      </c>
      <c r="AN703" t="s">
        <v>1702</v>
      </c>
      <c r="AO703" t="s">
        <v>1703</v>
      </c>
      <c r="AP703" s="11" t="s">
        <v>1697</v>
      </c>
      <c r="AQ703" t="s">
        <v>1697</v>
      </c>
      <c r="AR703" s="11" t="s">
        <v>1697</v>
      </c>
      <c r="AS703" t="s">
        <v>1700</v>
      </c>
      <c r="AT703" t="s">
        <v>1700</v>
      </c>
      <c r="AU703" t="s">
        <v>1706</v>
      </c>
      <c r="AV703" t="s">
        <v>1759</v>
      </c>
      <c r="AW703" t="s">
        <v>1706</v>
      </c>
      <c r="AX703" t="s">
        <v>1706</v>
      </c>
      <c r="AY703" t="s">
        <v>1759</v>
      </c>
      <c r="AZ703" t="s">
        <v>1706</v>
      </c>
      <c r="BA703" t="s">
        <v>1700</v>
      </c>
      <c r="BB703" t="s">
        <v>1706</v>
      </c>
      <c r="BC703" t="s">
        <v>1759</v>
      </c>
      <c r="BD703" t="s">
        <v>1706</v>
      </c>
      <c r="BE703" t="s">
        <v>1706</v>
      </c>
      <c r="BF703" t="s">
        <v>1759</v>
      </c>
      <c r="BG703">
        <v>50</v>
      </c>
      <c r="BH703" s="12" t="s">
        <v>1729</v>
      </c>
      <c r="BI703" t="b">
        <v>0</v>
      </c>
      <c r="BJ703">
        <f t="shared" si="10"/>
        <v>0</v>
      </c>
    </row>
    <row r="704" spans="1:62" x14ac:dyDescent="0.2">
      <c r="A704" s="5" t="s">
        <v>163</v>
      </c>
      <c r="B704" s="6">
        <v>40312</v>
      </c>
      <c r="C704" s="7">
        <v>33.400880999999998</v>
      </c>
      <c r="D704" s="7">
        <v>-111.875125</v>
      </c>
      <c r="E704" s="17">
        <v>368</v>
      </c>
      <c r="F704" t="s">
        <v>1706</v>
      </c>
      <c r="G704" t="s">
        <v>1710</v>
      </c>
      <c r="H704" t="s">
        <v>1710</v>
      </c>
      <c r="I704">
        <v>1</v>
      </c>
      <c r="J704" s="8">
        <v>12.990471549901191</v>
      </c>
      <c r="K704" s="8">
        <v>66.773532800856799</v>
      </c>
      <c r="L704" s="8">
        <v>20.235995649242014</v>
      </c>
      <c r="M704" s="8">
        <v>0.49207953379224262</v>
      </c>
      <c r="N704" s="8">
        <v>1.7219263426822227</v>
      </c>
      <c r="O704" s="8">
        <v>33.571781277414686</v>
      </c>
      <c r="P704" s="8">
        <v>7.2810764748761212</v>
      </c>
      <c r="Q704" s="8">
        <v>11.956497024845021</v>
      </c>
      <c r="R704" s="8">
        <v>2.5000000000000001E-3</v>
      </c>
      <c r="S704" s="8">
        <v>2.8140000000000001</v>
      </c>
      <c r="T704" s="8">
        <v>1.456</v>
      </c>
      <c r="U704" s="8">
        <v>1.2769999999999999</v>
      </c>
      <c r="V704" s="8">
        <v>0.95499999999999996</v>
      </c>
      <c r="W704" s="8">
        <v>1.5370000000000001</v>
      </c>
      <c r="X704" s="8">
        <v>0.501</v>
      </c>
      <c r="Y704" s="8">
        <v>5.7793345008756587</v>
      </c>
      <c r="Z704" s="8">
        <v>3.5778175313058909</v>
      </c>
      <c r="AA704" s="8">
        <v>8.1</v>
      </c>
      <c r="AB704">
        <v>0.36799999999999999</v>
      </c>
      <c r="AC704" s="8">
        <v>10.332749562171644</v>
      </c>
      <c r="AD704" s="8">
        <v>7.1556350626118137</v>
      </c>
      <c r="AE704" s="8">
        <v>0.17100000000000001</v>
      </c>
      <c r="AF704" s="8">
        <v>4.4999999999999998E-2</v>
      </c>
      <c r="AG704" s="8">
        <v>1.3912637156699637</v>
      </c>
      <c r="AH704" s="8">
        <v>16.456140350877192</v>
      </c>
      <c r="AI704" s="8">
        <v>8.5146198830409343</v>
      </c>
      <c r="AJ704" t="s">
        <v>1702</v>
      </c>
      <c r="AK704" t="s">
        <v>1703</v>
      </c>
      <c r="AL704" t="s">
        <v>1702</v>
      </c>
      <c r="AM704" t="s">
        <v>1703</v>
      </c>
      <c r="AN704" t="s">
        <v>1702</v>
      </c>
      <c r="AO704" t="s">
        <v>1703</v>
      </c>
      <c r="AP704" s="11" t="s">
        <v>1697</v>
      </c>
      <c r="AQ704" t="s">
        <v>1697</v>
      </c>
      <c r="AR704" s="11" t="s">
        <v>1697</v>
      </c>
      <c r="AS704" t="s">
        <v>1700</v>
      </c>
      <c r="AT704" t="s">
        <v>1700</v>
      </c>
      <c r="AU704" t="s">
        <v>1706</v>
      </c>
      <c r="AV704" t="s">
        <v>1759</v>
      </c>
      <c r="AW704" t="s">
        <v>1706</v>
      </c>
      <c r="AX704" t="s">
        <v>1706</v>
      </c>
      <c r="AY704" t="s">
        <v>1759</v>
      </c>
      <c r="AZ704" t="s">
        <v>1706</v>
      </c>
      <c r="BA704" t="s">
        <v>1700</v>
      </c>
      <c r="BB704" t="s">
        <v>1706</v>
      </c>
      <c r="BC704" t="s">
        <v>1759</v>
      </c>
      <c r="BD704" t="s">
        <v>1706</v>
      </c>
      <c r="BE704" t="s">
        <v>1706</v>
      </c>
      <c r="BF704" t="s">
        <v>1759</v>
      </c>
      <c r="BG704">
        <v>55</v>
      </c>
      <c r="BH704" s="12" t="s">
        <v>1729</v>
      </c>
      <c r="BI704" t="b">
        <v>0</v>
      </c>
      <c r="BJ704">
        <f t="shared" si="10"/>
        <v>0</v>
      </c>
    </row>
    <row r="705" spans="1:62" x14ac:dyDescent="0.2">
      <c r="A705" s="5" t="s">
        <v>163</v>
      </c>
      <c r="B705" s="6">
        <v>42163</v>
      </c>
      <c r="C705" s="7">
        <v>33.400880999999998</v>
      </c>
      <c r="D705" s="7">
        <v>-111.875125</v>
      </c>
      <c r="E705" s="17">
        <v>368</v>
      </c>
      <c r="F705" t="s">
        <v>1706</v>
      </c>
      <c r="G705" t="s">
        <v>1710</v>
      </c>
      <c r="H705" t="s">
        <v>1710</v>
      </c>
      <c r="I705">
        <v>1</v>
      </c>
      <c r="J705" t="s">
        <v>1697</v>
      </c>
      <c r="K705" t="s">
        <v>1697</v>
      </c>
      <c r="L705" t="s">
        <v>1697</v>
      </c>
      <c r="M705" t="s">
        <v>1697</v>
      </c>
      <c r="N705" t="s">
        <v>1697</v>
      </c>
      <c r="O705" t="s">
        <v>1697</v>
      </c>
      <c r="P705" t="s">
        <v>1697</v>
      </c>
      <c r="Q705" t="s">
        <v>1697</v>
      </c>
      <c r="R705" t="s">
        <v>1697</v>
      </c>
      <c r="S705" t="s">
        <v>1697</v>
      </c>
      <c r="T705" t="s">
        <v>1697</v>
      </c>
      <c r="U705" t="s">
        <v>1697</v>
      </c>
      <c r="V705" t="s">
        <v>1697</v>
      </c>
      <c r="W705" t="s">
        <v>1697</v>
      </c>
      <c r="X705" t="s">
        <v>1697</v>
      </c>
      <c r="Y705" t="s">
        <v>1697</v>
      </c>
      <c r="Z705" t="s">
        <v>1697</v>
      </c>
      <c r="AA705" t="s">
        <v>1697</v>
      </c>
      <c r="AB705" t="s">
        <v>1697</v>
      </c>
      <c r="AC705" t="s">
        <v>1697</v>
      </c>
      <c r="AD705" t="s">
        <v>1697</v>
      </c>
      <c r="AE705" t="s">
        <v>1697</v>
      </c>
      <c r="AF705" t="s">
        <v>1697</v>
      </c>
      <c r="AG705" t="s">
        <v>1697</v>
      </c>
      <c r="AH705" t="s">
        <v>1697</v>
      </c>
      <c r="AI705" t="s">
        <v>1697</v>
      </c>
      <c r="AJ705" t="s">
        <v>1702</v>
      </c>
      <c r="AK705" t="s">
        <v>1703</v>
      </c>
      <c r="AL705" t="s">
        <v>1702</v>
      </c>
      <c r="AM705" t="s">
        <v>1703</v>
      </c>
      <c r="AN705" t="s">
        <v>1702</v>
      </c>
      <c r="AO705" t="s">
        <v>1703</v>
      </c>
      <c r="AP705" t="s">
        <v>1697</v>
      </c>
      <c r="AQ705" t="s">
        <v>1697</v>
      </c>
      <c r="AR705" s="11" t="s">
        <v>1697</v>
      </c>
      <c r="AS705" t="s">
        <v>1700</v>
      </c>
      <c r="AT705" t="s">
        <v>1700</v>
      </c>
      <c r="AU705" t="s">
        <v>1706</v>
      </c>
      <c r="AV705" t="s">
        <v>1759</v>
      </c>
      <c r="AW705" t="s">
        <v>1706</v>
      </c>
      <c r="AX705" t="s">
        <v>1706</v>
      </c>
      <c r="AY705" t="s">
        <v>1759</v>
      </c>
      <c r="AZ705" t="s">
        <v>1706</v>
      </c>
      <c r="BA705" t="s">
        <v>1700</v>
      </c>
      <c r="BB705" t="s">
        <v>1706</v>
      </c>
      <c r="BC705" t="s">
        <v>1759</v>
      </c>
      <c r="BD705" t="s">
        <v>1706</v>
      </c>
      <c r="BE705" t="s">
        <v>1706</v>
      </c>
      <c r="BF705" t="s">
        <v>1759</v>
      </c>
      <c r="BG705">
        <v>60</v>
      </c>
      <c r="BH705" s="12" t="s">
        <v>1729</v>
      </c>
      <c r="BI705" t="b">
        <v>0</v>
      </c>
      <c r="BJ705">
        <f t="shared" si="10"/>
        <v>0</v>
      </c>
    </row>
    <row r="706" spans="1:62" x14ac:dyDescent="0.2">
      <c r="A706" s="5" t="s">
        <v>163</v>
      </c>
      <c r="B706" s="6">
        <v>45056</v>
      </c>
      <c r="C706" s="7">
        <v>33.400880999999998</v>
      </c>
      <c r="D706" s="7">
        <v>-111.875125</v>
      </c>
      <c r="E706" s="17">
        <v>368</v>
      </c>
      <c r="F706" t="s">
        <v>1706</v>
      </c>
      <c r="G706" t="s">
        <v>1710</v>
      </c>
      <c r="H706" t="s">
        <v>1710</v>
      </c>
      <c r="I706">
        <v>1</v>
      </c>
      <c r="J706" t="s">
        <v>1697</v>
      </c>
      <c r="K706" t="s">
        <v>1697</v>
      </c>
      <c r="L706" t="s">
        <v>1697</v>
      </c>
      <c r="M706" t="s">
        <v>1697</v>
      </c>
      <c r="N706" t="s">
        <v>1697</v>
      </c>
      <c r="O706" t="s">
        <v>1697</v>
      </c>
      <c r="P706" t="s">
        <v>1697</v>
      </c>
      <c r="Q706" t="s">
        <v>1697</v>
      </c>
      <c r="R706" t="s">
        <v>1697</v>
      </c>
      <c r="S706" t="s">
        <v>1697</v>
      </c>
      <c r="T706" t="s">
        <v>1697</v>
      </c>
      <c r="U706" t="s">
        <v>1697</v>
      </c>
      <c r="V706" t="s">
        <v>1697</v>
      </c>
      <c r="W706" t="s">
        <v>1697</v>
      </c>
      <c r="X706" t="s">
        <v>1697</v>
      </c>
      <c r="Y706" t="s">
        <v>1697</v>
      </c>
      <c r="Z706" t="s">
        <v>1697</v>
      </c>
      <c r="AA706" t="s">
        <v>1697</v>
      </c>
      <c r="AB706" t="s">
        <v>1697</v>
      </c>
      <c r="AC706" t="s">
        <v>1697</v>
      </c>
      <c r="AD706" t="s">
        <v>1697</v>
      </c>
      <c r="AE706" t="s">
        <v>1697</v>
      </c>
      <c r="AF706" t="s">
        <v>1697</v>
      </c>
      <c r="AG706" t="s">
        <v>1697</v>
      </c>
      <c r="AH706" t="s">
        <v>1697</v>
      </c>
      <c r="AI706" t="s">
        <v>1697</v>
      </c>
      <c r="AJ706" t="s">
        <v>1702</v>
      </c>
      <c r="AK706" t="s">
        <v>1703</v>
      </c>
      <c r="AL706" t="s">
        <v>1702</v>
      </c>
      <c r="AM706" t="s">
        <v>1703</v>
      </c>
      <c r="AN706" t="s">
        <v>1702</v>
      </c>
      <c r="AO706" t="s">
        <v>1703</v>
      </c>
      <c r="AP706" t="s">
        <v>1697</v>
      </c>
      <c r="AQ706" t="s">
        <v>1697</v>
      </c>
      <c r="AR706" s="11" t="s">
        <v>1697</v>
      </c>
      <c r="AS706" t="s">
        <v>1700</v>
      </c>
      <c r="AT706" t="s">
        <v>1700</v>
      </c>
      <c r="AU706" t="s">
        <v>1706</v>
      </c>
      <c r="AV706" t="s">
        <v>1759</v>
      </c>
      <c r="AW706" t="s">
        <v>1706</v>
      </c>
      <c r="AX706" t="s">
        <v>1706</v>
      </c>
      <c r="AY706" t="s">
        <v>1759</v>
      </c>
      <c r="AZ706" t="s">
        <v>1706</v>
      </c>
      <c r="BA706" t="s">
        <v>1700</v>
      </c>
      <c r="BB706" t="s">
        <v>1706</v>
      </c>
      <c r="BC706" t="s">
        <v>1759</v>
      </c>
      <c r="BD706" t="s">
        <v>1706</v>
      </c>
      <c r="BE706" t="s">
        <v>1706</v>
      </c>
      <c r="BF706" t="s">
        <v>1759</v>
      </c>
      <c r="BG706" s="6" t="s">
        <v>1697</v>
      </c>
      <c r="BH706" s="6" t="s">
        <v>1697</v>
      </c>
      <c r="BI706" t="b">
        <v>1</v>
      </c>
      <c r="BJ706">
        <f t="shared" ref="BJ706:BJ718" si="11">COUNTIF(BI706:BI706,TRUE)</f>
        <v>1</v>
      </c>
    </row>
    <row r="707" spans="1:62" x14ac:dyDescent="0.2">
      <c r="A707" s="5" t="s">
        <v>164</v>
      </c>
      <c r="B707" s="6">
        <v>38428</v>
      </c>
      <c r="C707" s="7">
        <v>33.379753000000001</v>
      </c>
      <c r="D707" s="7">
        <v>-111.840553</v>
      </c>
      <c r="E707" s="17">
        <v>368</v>
      </c>
      <c r="F707" t="s">
        <v>1714</v>
      </c>
      <c r="G707" t="s">
        <v>1714</v>
      </c>
      <c r="H707" t="s">
        <v>1740</v>
      </c>
      <c r="I707">
        <v>1</v>
      </c>
      <c r="J707" s="8">
        <v>8.6651556183393588</v>
      </c>
      <c r="K707" s="8">
        <v>77.204747774480708</v>
      </c>
      <c r="L707" s="8">
        <v>14.130096607179937</v>
      </c>
      <c r="M707" s="8">
        <v>2.4301398023907157</v>
      </c>
      <c r="N707" s="8">
        <v>2.7400931068498928</v>
      </c>
      <c r="O707" s="8">
        <v>27.988267266962787</v>
      </c>
      <c r="P707" s="8">
        <v>11.674238789447305</v>
      </c>
      <c r="Q707" s="8">
        <v>9.992914048245547</v>
      </c>
      <c r="R707" s="8">
        <v>6.8449195671945491</v>
      </c>
      <c r="S707" s="8">
        <v>0.95499999999999996</v>
      </c>
      <c r="T707" s="8">
        <v>1.03</v>
      </c>
      <c r="U707" s="8">
        <v>0.65800000000000003</v>
      </c>
      <c r="V707" s="8">
        <v>0.626</v>
      </c>
      <c r="W707" s="8">
        <v>0.29699999999999993</v>
      </c>
      <c r="X707" s="8">
        <v>0.40400000000000003</v>
      </c>
      <c r="Y707" s="8">
        <v>2.8535980148883211</v>
      </c>
      <c r="Z707" s="8">
        <v>3.5989717223650528</v>
      </c>
      <c r="AA707" s="8">
        <v>8.5299999999999994</v>
      </c>
      <c r="AB707">
        <v>7.9000000000000001E-2</v>
      </c>
      <c r="AC707" s="8">
        <v>7.8163771712158923</v>
      </c>
      <c r="AD707" s="8">
        <v>12.082262210796907</v>
      </c>
      <c r="AE707" s="8">
        <v>3.5000000000000003E-2</v>
      </c>
      <c r="AF707" s="8">
        <v>4.8000000000000001E-2</v>
      </c>
      <c r="AG707" s="8">
        <v>1.2868904673806778</v>
      </c>
      <c r="AH707" s="8">
        <v>27.285714285714281</v>
      </c>
      <c r="AI707" s="8">
        <v>29.428571428571427</v>
      </c>
      <c r="AJ707" t="s">
        <v>1702</v>
      </c>
      <c r="AK707" t="s">
        <v>1703</v>
      </c>
      <c r="AL707" t="s">
        <v>1702</v>
      </c>
      <c r="AM707" t="s">
        <v>1703</v>
      </c>
      <c r="AN707" t="s">
        <v>1702</v>
      </c>
      <c r="AO707" t="s">
        <v>1703</v>
      </c>
      <c r="AP707" t="s">
        <v>1702</v>
      </c>
      <c r="AQ707" t="s">
        <v>1697</v>
      </c>
      <c r="AR707" s="11" t="s">
        <v>1703</v>
      </c>
      <c r="AS707" t="s">
        <v>1702</v>
      </c>
      <c r="AT707" t="s">
        <v>1703</v>
      </c>
      <c r="AU707" t="s">
        <v>1704</v>
      </c>
      <c r="AV707" t="s">
        <v>1725</v>
      </c>
      <c r="AW707" t="s">
        <v>1703</v>
      </c>
      <c r="AX707" t="s">
        <v>1701</v>
      </c>
      <c r="AY707" t="s">
        <v>1739</v>
      </c>
      <c r="AZ707" t="s">
        <v>1700</v>
      </c>
      <c r="BA707" t="s">
        <v>1700</v>
      </c>
      <c r="BB707" t="s">
        <v>1701</v>
      </c>
      <c r="BC707" t="s">
        <v>1739</v>
      </c>
      <c r="BD707" t="s">
        <v>1700</v>
      </c>
      <c r="BE707" t="s">
        <v>1701</v>
      </c>
      <c r="BF707" t="s">
        <v>1739</v>
      </c>
      <c r="BG707">
        <v>15</v>
      </c>
      <c r="BH707" s="12" t="s">
        <v>1708</v>
      </c>
      <c r="BI707" t="b">
        <v>0</v>
      </c>
      <c r="BJ707">
        <f t="shared" si="11"/>
        <v>0</v>
      </c>
    </row>
    <row r="708" spans="1:62" x14ac:dyDescent="0.2">
      <c r="A708" s="5" t="s">
        <v>164</v>
      </c>
      <c r="B708" s="6">
        <v>40312</v>
      </c>
      <c r="C708" s="7">
        <v>33.379753000000001</v>
      </c>
      <c r="D708" s="7">
        <v>-111.840553</v>
      </c>
      <c r="E708" s="17">
        <v>368</v>
      </c>
      <c r="F708" t="s">
        <v>1714</v>
      </c>
      <c r="G708" t="s">
        <v>1714</v>
      </c>
      <c r="H708" t="s">
        <v>1740</v>
      </c>
      <c r="I708">
        <v>1</v>
      </c>
      <c r="J708" s="8">
        <v>23.714055650304726</v>
      </c>
      <c r="K708" s="8">
        <v>67.499321245228401</v>
      </c>
      <c r="L708" s="8">
        <v>8.7866231044668694</v>
      </c>
      <c r="M708" s="8">
        <v>3.6057155865522503</v>
      </c>
      <c r="N708" s="8">
        <v>1.8366271853437553E-2</v>
      </c>
      <c r="O708" s="8">
        <v>122.45826520366133</v>
      </c>
      <c r="P708" s="8">
        <v>115.83273725747547</v>
      </c>
      <c r="Q708" s="8">
        <v>19.690511531953803</v>
      </c>
      <c r="R708" s="8">
        <v>19.16138715300605</v>
      </c>
      <c r="S708" s="8">
        <v>0.92300000000000004</v>
      </c>
      <c r="T708" s="8">
        <v>0.71199999999999997</v>
      </c>
      <c r="U708" s="8">
        <v>0.39700000000000002</v>
      </c>
      <c r="V708" s="8">
        <v>0.316</v>
      </c>
      <c r="W708" s="8">
        <v>0.52600000000000002</v>
      </c>
      <c r="X708" s="8">
        <v>0.39599999999999996</v>
      </c>
      <c r="Y708" s="8">
        <v>3.6809815950920193</v>
      </c>
      <c r="Z708" s="8">
        <v>3.7433155080213867</v>
      </c>
      <c r="AA708" s="8">
        <v>8.18</v>
      </c>
      <c r="AB708">
        <v>1.3089999999999999</v>
      </c>
      <c r="AC708" s="8">
        <v>5.3169734151329386</v>
      </c>
      <c r="AD708" s="8">
        <v>12.299465240641716</v>
      </c>
      <c r="AE708" s="8">
        <v>5.3999999999999999E-2</v>
      </c>
      <c r="AF708" s="8">
        <v>0.06</v>
      </c>
      <c r="AG708" s="8">
        <v>1.8382554945755312</v>
      </c>
      <c r="AH708" s="8">
        <v>17.092592592592595</v>
      </c>
      <c r="AI708" s="8">
        <v>13.185185185185185</v>
      </c>
      <c r="AJ708" t="s">
        <v>1702</v>
      </c>
      <c r="AK708" t="s">
        <v>1703</v>
      </c>
      <c r="AL708" t="s">
        <v>1702</v>
      </c>
      <c r="AM708" t="s">
        <v>1703</v>
      </c>
      <c r="AN708" t="s">
        <v>1702</v>
      </c>
      <c r="AO708" t="s">
        <v>1703</v>
      </c>
      <c r="AP708" t="s">
        <v>1702</v>
      </c>
      <c r="AQ708" t="s">
        <v>1697</v>
      </c>
      <c r="AR708" s="11" t="s">
        <v>1703</v>
      </c>
      <c r="AS708" t="s">
        <v>1702</v>
      </c>
      <c r="AT708" t="s">
        <v>1703</v>
      </c>
      <c r="AU708" t="s">
        <v>1704</v>
      </c>
      <c r="AV708" t="s">
        <v>1725</v>
      </c>
      <c r="AW708" t="s">
        <v>1703</v>
      </c>
      <c r="AX708" t="s">
        <v>1701</v>
      </c>
      <c r="AY708" t="s">
        <v>1739</v>
      </c>
      <c r="AZ708" t="s">
        <v>1700</v>
      </c>
      <c r="BA708" t="s">
        <v>1700</v>
      </c>
      <c r="BB708" t="s">
        <v>1701</v>
      </c>
      <c r="BC708" t="s">
        <v>1739</v>
      </c>
      <c r="BD708" t="s">
        <v>1700</v>
      </c>
      <c r="BE708" t="s">
        <v>1701</v>
      </c>
      <c r="BF708" t="s">
        <v>1739</v>
      </c>
      <c r="BG708">
        <v>20</v>
      </c>
      <c r="BH708" s="12" t="s">
        <v>1708</v>
      </c>
      <c r="BI708" t="b">
        <v>0</v>
      </c>
      <c r="BJ708">
        <f t="shared" si="11"/>
        <v>0</v>
      </c>
    </row>
    <row r="709" spans="1:62" x14ac:dyDescent="0.2">
      <c r="A709" s="5" t="s">
        <v>164</v>
      </c>
      <c r="B709" s="6">
        <v>42072</v>
      </c>
      <c r="C709" s="7">
        <v>33.379753000000001</v>
      </c>
      <c r="D709" s="7">
        <v>-111.840553</v>
      </c>
      <c r="E709" s="17">
        <v>368</v>
      </c>
      <c r="F709" t="s">
        <v>1714</v>
      </c>
      <c r="G709" t="s">
        <v>1714</v>
      </c>
      <c r="H709" t="s">
        <v>1740</v>
      </c>
      <c r="I709">
        <v>1</v>
      </c>
      <c r="J709">
        <v>26.733415377041499</v>
      </c>
      <c r="K709">
        <v>46.444416919108797</v>
      </c>
      <c r="L709">
        <v>26.822167703849701</v>
      </c>
      <c r="M709">
        <v>3.1729174278060901</v>
      </c>
      <c r="N709">
        <v>2.6538335337941898</v>
      </c>
      <c r="O709">
        <v>4.5266955303366903</v>
      </c>
      <c r="P709">
        <v>6.07813486772217</v>
      </c>
      <c r="Q709">
        <v>5.5918507812760803</v>
      </c>
      <c r="R709">
        <v>4.2337508525581304</v>
      </c>
      <c r="S709">
        <v>0.85599999999999998</v>
      </c>
      <c r="T709">
        <v>0.91200000000000003</v>
      </c>
      <c r="U709">
        <v>0.39800000000000002</v>
      </c>
      <c r="V709">
        <v>0.41499999999999998</v>
      </c>
      <c r="W709">
        <v>0.45800000000000002</v>
      </c>
      <c r="X709">
        <v>0.497</v>
      </c>
      <c r="Y709">
        <v>1.4906832298136801</v>
      </c>
      <c r="Z709">
        <v>2.2130013831258699</v>
      </c>
      <c r="AA709">
        <v>8.0399999999999991</v>
      </c>
      <c r="AB709">
        <v>0.88200000000000001</v>
      </c>
      <c r="AC709">
        <v>3.4305317324185101</v>
      </c>
      <c r="AD709">
        <v>7.8787878787878496</v>
      </c>
      <c r="AE709">
        <v>4.8000000000000001E-2</v>
      </c>
      <c r="AF709">
        <v>0.05</v>
      </c>
      <c r="AG709">
        <v>1.694227621726814</v>
      </c>
      <c r="AH709">
        <v>17.8333333333333</v>
      </c>
      <c r="AI709">
        <v>18.239999999999998</v>
      </c>
      <c r="AJ709" t="s">
        <v>1702</v>
      </c>
      <c r="AK709" t="s">
        <v>1703</v>
      </c>
      <c r="AL709" t="s">
        <v>1702</v>
      </c>
      <c r="AM709" t="s">
        <v>1703</v>
      </c>
      <c r="AN709" t="s">
        <v>1702</v>
      </c>
      <c r="AO709" t="s">
        <v>1703</v>
      </c>
      <c r="AP709" t="s">
        <v>1697</v>
      </c>
      <c r="AQ709" t="s">
        <v>1697</v>
      </c>
      <c r="AR709" s="11" t="s">
        <v>1703</v>
      </c>
      <c r="AS709" t="s">
        <v>1702</v>
      </c>
      <c r="AT709" t="s">
        <v>1703</v>
      </c>
      <c r="AU709" t="s">
        <v>1704</v>
      </c>
      <c r="AV709" t="s">
        <v>1725</v>
      </c>
      <c r="AW709" t="s">
        <v>1703</v>
      </c>
      <c r="AX709" t="s">
        <v>1701</v>
      </c>
      <c r="AY709" t="s">
        <v>1739</v>
      </c>
      <c r="AZ709" t="s">
        <v>1700</v>
      </c>
      <c r="BA709" t="s">
        <v>1700</v>
      </c>
      <c r="BB709" t="s">
        <v>1701</v>
      </c>
      <c r="BC709" t="s">
        <v>1739</v>
      </c>
      <c r="BD709" t="s">
        <v>1700</v>
      </c>
      <c r="BE709" t="s">
        <v>1701</v>
      </c>
      <c r="BF709" t="s">
        <v>1739</v>
      </c>
      <c r="BG709">
        <v>25</v>
      </c>
      <c r="BH709" t="s">
        <v>1709</v>
      </c>
      <c r="BI709" t="b">
        <v>0</v>
      </c>
      <c r="BJ709">
        <f t="shared" si="11"/>
        <v>0</v>
      </c>
    </row>
    <row r="710" spans="1:62" x14ac:dyDescent="0.2">
      <c r="A710" s="5" t="s">
        <v>165</v>
      </c>
      <c r="B710" s="6">
        <v>38497</v>
      </c>
      <c r="C710" s="7">
        <v>33.345917</v>
      </c>
      <c r="D710" s="7">
        <v>-111.867158</v>
      </c>
      <c r="E710" s="17">
        <v>365</v>
      </c>
      <c r="F710" t="s">
        <v>1706</v>
      </c>
      <c r="G710" t="s">
        <v>1724</v>
      </c>
      <c r="H710" t="s">
        <v>1724</v>
      </c>
      <c r="I710">
        <v>1</v>
      </c>
      <c r="J710" s="8">
        <v>24.742146615360756</v>
      </c>
      <c r="K710" s="8">
        <v>52.661417322834644</v>
      </c>
      <c r="L710" s="8">
        <v>22.596436061804596</v>
      </c>
      <c r="M710" s="8">
        <v>0.50021115193911647</v>
      </c>
      <c r="N710" s="8">
        <v>0.58978627991725063</v>
      </c>
      <c r="O710" s="8">
        <v>21.752039235752438</v>
      </c>
      <c r="P710" s="8">
        <v>6.023192383654921</v>
      </c>
      <c r="Q710" s="8">
        <v>20.649169159878753</v>
      </c>
      <c r="R710" s="8">
        <v>15.448560065032506</v>
      </c>
      <c r="S710" s="8">
        <v>1.5169999999999999</v>
      </c>
      <c r="T710" s="8">
        <v>1.2689999999999999</v>
      </c>
      <c r="U710" s="8">
        <v>0.499</v>
      </c>
      <c r="V710" s="8">
        <v>0.59799999999999998</v>
      </c>
      <c r="W710" s="8">
        <v>1.0179999999999998</v>
      </c>
      <c r="X710" s="8">
        <v>0.67099999999999993</v>
      </c>
      <c r="Y710" s="8">
        <v>4.2372881355932197</v>
      </c>
      <c r="Z710" s="8">
        <v>2.0920502092050137</v>
      </c>
      <c r="AA710" s="8">
        <v>8.27</v>
      </c>
      <c r="AB710">
        <v>0.218</v>
      </c>
      <c r="AC710" s="8">
        <v>7.4576271186440586</v>
      </c>
      <c r="AD710" s="8">
        <v>11.087866108786617</v>
      </c>
      <c r="AE710" s="8">
        <v>9.2999999999999999E-2</v>
      </c>
      <c r="AF710" s="8">
        <v>0.05</v>
      </c>
      <c r="AG710" s="8">
        <v>1.3107044369658405</v>
      </c>
      <c r="AH710" s="8">
        <v>16.311827956989248</v>
      </c>
      <c r="AI710" s="8">
        <v>13.64516129032258</v>
      </c>
      <c r="AJ710" t="s">
        <v>1702</v>
      </c>
      <c r="AK710" t="s">
        <v>1703</v>
      </c>
      <c r="AL710" t="s">
        <v>1702</v>
      </c>
      <c r="AM710" t="s">
        <v>1703</v>
      </c>
      <c r="AN710" t="s">
        <v>1702</v>
      </c>
      <c r="AO710" t="s">
        <v>1703</v>
      </c>
      <c r="AP710" t="s">
        <v>1702</v>
      </c>
      <c r="AQ710" t="s">
        <v>1725</v>
      </c>
      <c r="AR710" s="11" t="s">
        <v>1703</v>
      </c>
      <c r="AS710" t="s">
        <v>1702</v>
      </c>
      <c r="AT710" t="s">
        <v>1703</v>
      </c>
      <c r="AU710" t="s">
        <v>1734</v>
      </c>
      <c r="AV710" t="s">
        <v>1734</v>
      </c>
      <c r="AW710" t="s">
        <v>1706</v>
      </c>
      <c r="AX710" t="s">
        <v>1706</v>
      </c>
      <c r="AY710" t="s">
        <v>1723</v>
      </c>
      <c r="AZ710" t="s">
        <v>1706</v>
      </c>
      <c r="BA710" t="s">
        <v>1700</v>
      </c>
      <c r="BB710" t="s">
        <v>1706</v>
      </c>
      <c r="BC710" t="s">
        <v>1723</v>
      </c>
      <c r="BD710" t="s">
        <v>1706</v>
      </c>
      <c r="BE710" t="s">
        <v>1706</v>
      </c>
      <c r="BF710" t="s">
        <v>1723</v>
      </c>
      <c r="BG710">
        <v>30</v>
      </c>
      <c r="BH710" s="12" t="s">
        <v>1709</v>
      </c>
      <c r="BI710" t="b">
        <v>0</v>
      </c>
      <c r="BJ710">
        <f t="shared" si="11"/>
        <v>0</v>
      </c>
    </row>
    <row r="711" spans="1:62" x14ac:dyDescent="0.2">
      <c r="A711" s="5" t="s">
        <v>165</v>
      </c>
      <c r="B711" s="6">
        <v>40312</v>
      </c>
      <c r="C711" s="7">
        <v>33.345917</v>
      </c>
      <c r="D711" s="7">
        <v>-111.867158</v>
      </c>
      <c r="E711" s="17">
        <v>365</v>
      </c>
      <c r="F711" t="s">
        <v>1697</v>
      </c>
      <c r="G711" t="s">
        <v>1697</v>
      </c>
      <c r="H711" t="s">
        <v>1697</v>
      </c>
      <c r="I711" t="s">
        <v>1697</v>
      </c>
      <c r="J711" t="s">
        <v>1697</v>
      </c>
      <c r="K711" t="s">
        <v>1697</v>
      </c>
      <c r="L711" t="s">
        <v>1697</v>
      </c>
      <c r="M711" t="s">
        <v>1697</v>
      </c>
      <c r="N711" t="s">
        <v>1697</v>
      </c>
      <c r="O711" t="s">
        <v>1697</v>
      </c>
      <c r="P711" t="s">
        <v>1697</v>
      </c>
      <c r="Q711" t="s">
        <v>1697</v>
      </c>
      <c r="R711" t="s">
        <v>1697</v>
      </c>
      <c r="S711" t="s">
        <v>1697</v>
      </c>
      <c r="T711" t="s">
        <v>1697</v>
      </c>
      <c r="U711" t="s">
        <v>1697</v>
      </c>
      <c r="V711" t="s">
        <v>1697</v>
      </c>
      <c r="W711" t="s">
        <v>1697</v>
      </c>
      <c r="X711" t="s">
        <v>1697</v>
      </c>
      <c r="Y711" t="s">
        <v>1697</v>
      </c>
      <c r="Z711" t="s">
        <v>1697</v>
      </c>
      <c r="AA711" t="s">
        <v>1697</v>
      </c>
      <c r="AB711" t="s">
        <v>1697</v>
      </c>
      <c r="AC711" t="s">
        <v>1697</v>
      </c>
      <c r="AD711" t="s">
        <v>1697</v>
      </c>
      <c r="AE711" t="s">
        <v>1697</v>
      </c>
      <c r="AF711" t="s">
        <v>1697</v>
      </c>
      <c r="AG711" t="s">
        <v>1697</v>
      </c>
      <c r="AH711" t="s">
        <v>1697</v>
      </c>
      <c r="AI711" t="s">
        <v>1697</v>
      </c>
      <c r="AJ711" t="s">
        <v>1702</v>
      </c>
      <c r="AK711" t="s">
        <v>1703</v>
      </c>
      <c r="AL711" t="s">
        <v>1702</v>
      </c>
      <c r="AM711" t="s">
        <v>1703</v>
      </c>
      <c r="AN711" t="s">
        <v>1702</v>
      </c>
      <c r="AO711" t="s">
        <v>1703</v>
      </c>
      <c r="AP711" t="s">
        <v>1702</v>
      </c>
      <c r="AQ711" t="s">
        <v>1725</v>
      </c>
      <c r="AR711" s="11" t="s">
        <v>1703</v>
      </c>
      <c r="AS711" t="s">
        <v>1702</v>
      </c>
      <c r="AT711" t="s">
        <v>1703</v>
      </c>
      <c r="AU711" t="s">
        <v>1734</v>
      </c>
      <c r="AV711" t="s">
        <v>1734</v>
      </c>
      <c r="AW711" t="s">
        <v>1706</v>
      </c>
      <c r="AX711" t="s">
        <v>1706</v>
      </c>
      <c r="AY711" t="s">
        <v>1723</v>
      </c>
      <c r="AZ711" t="s">
        <v>1706</v>
      </c>
      <c r="BA711" t="s">
        <v>1700</v>
      </c>
      <c r="BB711" t="s">
        <v>1706</v>
      </c>
      <c r="BC711" t="s">
        <v>1723</v>
      </c>
      <c r="BD711" t="s">
        <v>1706</v>
      </c>
      <c r="BE711" t="s">
        <v>1706</v>
      </c>
      <c r="BF711" t="s">
        <v>1723</v>
      </c>
      <c r="BG711" s="6" t="s">
        <v>1697</v>
      </c>
      <c r="BH711" s="6" t="s">
        <v>1697</v>
      </c>
      <c r="BI711" t="b">
        <v>0</v>
      </c>
      <c r="BJ711">
        <f t="shared" si="11"/>
        <v>0</v>
      </c>
    </row>
    <row r="712" spans="1:62" x14ac:dyDescent="0.2">
      <c r="A712" s="5" t="s">
        <v>165</v>
      </c>
      <c r="B712" s="6">
        <v>42167</v>
      </c>
      <c r="C712" s="7">
        <v>33.345917</v>
      </c>
      <c r="D712" s="7">
        <v>-111.867158</v>
      </c>
      <c r="E712" s="17">
        <v>365</v>
      </c>
      <c r="F712" t="s">
        <v>1706</v>
      </c>
      <c r="G712" t="s">
        <v>1724</v>
      </c>
      <c r="H712" t="s">
        <v>1724</v>
      </c>
      <c r="I712">
        <v>1</v>
      </c>
      <c r="J712">
        <v>22.477137361134901</v>
      </c>
      <c r="K712">
        <v>51.730658645688102</v>
      </c>
      <c r="L712">
        <v>25.792203993177001</v>
      </c>
      <c r="M712" t="s">
        <v>1697</v>
      </c>
      <c r="N712" t="s">
        <v>1697</v>
      </c>
      <c r="O712" t="s">
        <v>1697</v>
      </c>
      <c r="P712" t="s">
        <v>1697</v>
      </c>
      <c r="Q712" t="s">
        <v>1697</v>
      </c>
      <c r="R712" t="s">
        <v>1697</v>
      </c>
      <c r="S712" t="s">
        <v>1697</v>
      </c>
      <c r="T712" t="s">
        <v>1697</v>
      </c>
      <c r="U712" t="s">
        <v>1697</v>
      </c>
      <c r="V712" t="s">
        <v>1697</v>
      </c>
      <c r="W712" t="s">
        <v>1697</v>
      </c>
      <c r="X712" t="s">
        <v>1697</v>
      </c>
      <c r="Y712" t="s">
        <v>1697</v>
      </c>
      <c r="Z712" t="s">
        <v>1697</v>
      </c>
      <c r="AA712">
        <v>7.91</v>
      </c>
      <c r="AB712">
        <v>0.54</v>
      </c>
      <c r="AC712" t="s">
        <v>1697</v>
      </c>
      <c r="AD712" t="s">
        <v>1697</v>
      </c>
      <c r="AE712" t="s">
        <v>1697</v>
      </c>
      <c r="AF712" t="s">
        <v>1697</v>
      </c>
      <c r="AG712">
        <v>1.1205548294193544</v>
      </c>
      <c r="AH712" t="s">
        <v>1697</v>
      </c>
      <c r="AI712" t="s">
        <v>1697</v>
      </c>
      <c r="AJ712" t="s">
        <v>1702</v>
      </c>
      <c r="AK712" t="s">
        <v>1703</v>
      </c>
      <c r="AL712" t="s">
        <v>1702</v>
      </c>
      <c r="AM712" t="s">
        <v>1703</v>
      </c>
      <c r="AN712" t="s">
        <v>1702</v>
      </c>
      <c r="AO712" t="s">
        <v>1703</v>
      </c>
      <c r="AP712" t="s">
        <v>1702</v>
      </c>
      <c r="AQ712" t="s">
        <v>1725</v>
      </c>
      <c r="AR712" s="11" t="s">
        <v>1703</v>
      </c>
      <c r="AS712" t="s">
        <v>1702</v>
      </c>
      <c r="AT712" t="s">
        <v>1703</v>
      </c>
      <c r="AU712" t="s">
        <v>1734</v>
      </c>
      <c r="AV712" t="s">
        <v>1734</v>
      </c>
      <c r="AW712" t="s">
        <v>1706</v>
      </c>
      <c r="AX712" t="s">
        <v>1706</v>
      </c>
      <c r="AY712" t="s">
        <v>1723</v>
      </c>
      <c r="AZ712" t="s">
        <v>1706</v>
      </c>
      <c r="BA712" t="s">
        <v>1700</v>
      </c>
      <c r="BB712" t="s">
        <v>1706</v>
      </c>
      <c r="BC712" t="s">
        <v>1723</v>
      </c>
      <c r="BD712" t="s">
        <v>1706</v>
      </c>
      <c r="BE712" t="s">
        <v>1706</v>
      </c>
      <c r="BF712" t="s">
        <v>1723</v>
      </c>
      <c r="BG712">
        <v>40</v>
      </c>
      <c r="BH712" s="12" t="s">
        <v>1709</v>
      </c>
      <c r="BI712" t="b">
        <v>0</v>
      </c>
      <c r="BJ712">
        <f t="shared" si="11"/>
        <v>0</v>
      </c>
    </row>
    <row r="713" spans="1:62" x14ac:dyDescent="0.2">
      <c r="A713" s="5" t="s">
        <v>166</v>
      </c>
      <c r="B713" s="6">
        <v>36608</v>
      </c>
      <c r="C713" s="7">
        <v>33.308988999999997</v>
      </c>
      <c r="D713" s="7">
        <v>-111.851294</v>
      </c>
      <c r="E713" s="17">
        <v>367</v>
      </c>
      <c r="F713" t="s">
        <v>1706</v>
      </c>
      <c r="G713" t="s">
        <v>1710</v>
      </c>
      <c r="H713" t="s">
        <v>1710</v>
      </c>
      <c r="I713">
        <v>1</v>
      </c>
      <c r="J713" s="8">
        <v>26.016253085781639</v>
      </c>
      <c r="K713" s="8">
        <v>50.853322196984024</v>
      </c>
      <c r="L713" s="8">
        <v>23.130424717234334</v>
      </c>
      <c r="M713" s="8">
        <v>3.815197093566844</v>
      </c>
      <c r="N713" s="8">
        <v>2.0516503595488258</v>
      </c>
      <c r="O713" s="8">
        <v>64.750413966893987</v>
      </c>
      <c r="P713" s="8">
        <v>7.5594821935440741</v>
      </c>
      <c r="Q713" s="8">
        <v>84.657482140111995</v>
      </c>
      <c r="R713" s="8">
        <v>14.865395109958962</v>
      </c>
      <c r="S713" s="8">
        <v>1.806</v>
      </c>
      <c r="T713" s="8">
        <v>1.1259999999999999</v>
      </c>
      <c r="U713" s="8">
        <v>0.94499999999999995</v>
      </c>
      <c r="V713" s="8">
        <v>0.33600000000000002</v>
      </c>
      <c r="W713" s="8">
        <v>0.86099999999999999</v>
      </c>
      <c r="X713" s="8">
        <v>0.79</v>
      </c>
      <c r="Y713" s="8">
        <v>5.2926500000000001</v>
      </c>
      <c r="Z713" s="8">
        <v>3.6759200000000001</v>
      </c>
      <c r="AA713" s="9">
        <v>7.87</v>
      </c>
      <c r="AB713" s="10">
        <v>0.76249999999999996</v>
      </c>
      <c r="AC713" s="8">
        <v>22.867239999999999</v>
      </c>
      <c r="AD713" s="8">
        <v>19.153549999999999</v>
      </c>
      <c r="AE713" s="8">
        <v>0.152</v>
      </c>
      <c r="AF713" s="8">
        <v>7.3999999999999996E-2</v>
      </c>
      <c r="AG713" s="8">
        <v>1.1889625201359855</v>
      </c>
      <c r="AH713" s="8">
        <v>11.881578947368421</v>
      </c>
      <c r="AI713" s="8">
        <v>7.4078947368421044</v>
      </c>
      <c r="AJ713" t="s">
        <v>1702</v>
      </c>
      <c r="AK713" t="s">
        <v>1703</v>
      </c>
      <c r="AL713" t="s">
        <v>1702</v>
      </c>
      <c r="AM713" t="s">
        <v>1703</v>
      </c>
      <c r="AN713" t="s">
        <v>1702</v>
      </c>
      <c r="AO713" t="s">
        <v>1703</v>
      </c>
      <c r="AP713" t="s">
        <v>1706</v>
      </c>
      <c r="AQ713" t="s">
        <v>1723</v>
      </c>
      <c r="AR713" t="s">
        <v>1706</v>
      </c>
      <c r="AS713" t="s">
        <v>1700</v>
      </c>
      <c r="AT713" t="s">
        <v>1700</v>
      </c>
      <c r="AU713" t="s">
        <v>1701</v>
      </c>
      <c r="AV713" t="s">
        <v>1739</v>
      </c>
      <c r="AW713" t="s">
        <v>1700</v>
      </c>
      <c r="AX713" t="s">
        <v>1701</v>
      </c>
      <c r="AY713" t="s">
        <v>1739</v>
      </c>
      <c r="AZ713" t="s">
        <v>1700</v>
      </c>
      <c r="BA713" t="s">
        <v>1700</v>
      </c>
      <c r="BB713" t="s">
        <v>1701</v>
      </c>
      <c r="BC713" t="s">
        <v>1739</v>
      </c>
      <c r="BD713" t="s">
        <v>1700</v>
      </c>
      <c r="BE713" t="s">
        <v>1701</v>
      </c>
      <c r="BF713" t="s">
        <v>1739</v>
      </c>
      <c r="BG713">
        <v>45</v>
      </c>
      <c r="BH713" s="12" t="s">
        <v>1729</v>
      </c>
      <c r="BI713" t="b">
        <v>0</v>
      </c>
      <c r="BJ713">
        <f t="shared" si="11"/>
        <v>0</v>
      </c>
    </row>
    <row r="714" spans="1:62" x14ac:dyDescent="0.2">
      <c r="A714" s="5" t="s">
        <v>166</v>
      </c>
      <c r="B714" s="6">
        <v>38411</v>
      </c>
      <c r="C714" s="7">
        <v>33.308988999999997</v>
      </c>
      <c r="D714" s="7">
        <v>-111.851294</v>
      </c>
      <c r="E714" s="17">
        <v>367</v>
      </c>
      <c r="F714" t="s">
        <v>1706</v>
      </c>
      <c r="G714" t="s">
        <v>1710</v>
      </c>
      <c r="H714" t="s">
        <v>1710</v>
      </c>
      <c r="I714">
        <v>1</v>
      </c>
      <c r="J714" s="8">
        <v>23.455421433037337</v>
      </c>
      <c r="K714" s="8">
        <v>44.00969529085873</v>
      </c>
      <c r="L714" s="8">
        <v>32.534883276103926</v>
      </c>
      <c r="M714" s="8">
        <v>0.74137214323365508</v>
      </c>
      <c r="N714" s="8">
        <v>4.2290186991045129</v>
      </c>
      <c r="O714" s="8">
        <v>2.0461871153248876</v>
      </c>
      <c r="P714" s="8">
        <v>15.461005650793956</v>
      </c>
      <c r="Q714" s="8">
        <v>44.980695423637464</v>
      </c>
      <c r="R714" s="8">
        <v>5.5999969809721293</v>
      </c>
      <c r="S714" s="8">
        <v>2.1509999999999998</v>
      </c>
      <c r="T714" s="8">
        <v>1.204</v>
      </c>
      <c r="U714" s="8">
        <v>0.78600000000000003</v>
      </c>
      <c r="V714" s="8">
        <v>0.64400000000000002</v>
      </c>
      <c r="W714" s="8">
        <v>1.3649999999999998</v>
      </c>
      <c r="X714" s="8">
        <v>0.55999999999999994</v>
      </c>
      <c r="Y714" s="8">
        <v>5.3596614950634809</v>
      </c>
      <c r="Z714" s="8">
        <v>3.2359905288082094</v>
      </c>
      <c r="AA714" s="8">
        <v>7.96</v>
      </c>
      <c r="AB714">
        <v>0.42699999999999999</v>
      </c>
      <c r="AC714" s="8">
        <v>22.284908321579692</v>
      </c>
      <c r="AD714" s="8">
        <v>17.758484609313339</v>
      </c>
      <c r="AE714" s="8">
        <v>0.161</v>
      </c>
      <c r="AF714" s="8">
        <v>6.2E-2</v>
      </c>
      <c r="AG714" s="8">
        <v>1.1981546630694939</v>
      </c>
      <c r="AH714" s="8">
        <v>13.360248447204967</v>
      </c>
      <c r="AI714" s="8">
        <v>7.4782608695652169</v>
      </c>
      <c r="AJ714" t="s">
        <v>1702</v>
      </c>
      <c r="AK714" t="s">
        <v>1703</v>
      </c>
      <c r="AL714" t="s">
        <v>1702</v>
      </c>
      <c r="AM714" t="s">
        <v>1703</v>
      </c>
      <c r="AN714" t="s">
        <v>1702</v>
      </c>
      <c r="AO714" t="s">
        <v>1703</v>
      </c>
      <c r="AP714" t="s">
        <v>1706</v>
      </c>
      <c r="AQ714" t="s">
        <v>1723</v>
      </c>
      <c r="AR714" t="s">
        <v>1706</v>
      </c>
      <c r="AS714" t="s">
        <v>1700</v>
      </c>
      <c r="AT714" t="s">
        <v>1700</v>
      </c>
      <c r="AU714" t="s">
        <v>1701</v>
      </c>
      <c r="AV714" t="s">
        <v>1739</v>
      </c>
      <c r="AW714" t="s">
        <v>1700</v>
      </c>
      <c r="AX714" t="s">
        <v>1701</v>
      </c>
      <c r="AY714" t="s">
        <v>1739</v>
      </c>
      <c r="AZ714" t="s">
        <v>1700</v>
      </c>
      <c r="BA714" t="s">
        <v>1700</v>
      </c>
      <c r="BB714" t="s">
        <v>1701</v>
      </c>
      <c r="BC714" t="s">
        <v>1739</v>
      </c>
      <c r="BD714" t="s">
        <v>1700</v>
      </c>
      <c r="BE714" t="s">
        <v>1701</v>
      </c>
      <c r="BF714" t="s">
        <v>1739</v>
      </c>
      <c r="BG714">
        <v>50</v>
      </c>
      <c r="BH714" s="12" t="s">
        <v>1729</v>
      </c>
      <c r="BI714" t="b">
        <v>0</v>
      </c>
      <c r="BJ714">
        <f t="shared" si="11"/>
        <v>0</v>
      </c>
    </row>
    <row r="715" spans="1:62" x14ac:dyDescent="0.2">
      <c r="A715" s="5" t="s">
        <v>166</v>
      </c>
      <c r="B715" s="6">
        <v>40233</v>
      </c>
      <c r="C715" s="7">
        <v>33.308988999999997</v>
      </c>
      <c r="D715" s="7">
        <v>-111.851294</v>
      </c>
      <c r="E715" s="17">
        <v>367</v>
      </c>
      <c r="F715" t="s">
        <v>1706</v>
      </c>
      <c r="G715" t="s">
        <v>1710</v>
      </c>
      <c r="H715" t="s">
        <v>1710</v>
      </c>
      <c r="I715">
        <v>1</v>
      </c>
      <c r="J715" s="8">
        <v>29.251445529608056</v>
      </c>
      <c r="K715" s="8">
        <v>36.715480004950962</v>
      </c>
      <c r="L715" s="8">
        <v>34.03307446544099</v>
      </c>
      <c r="M715" s="8">
        <v>1.904965759616975E-2</v>
      </c>
      <c r="N715" s="8">
        <v>5.0000000000000001E-3</v>
      </c>
      <c r="O715" s="8">
        <v>38.09931519233951</v>
      </c>
      <c r="P715" s="8">
        <v>7.2760361164396263</v>
      </c>
      <c r="Q715" s="8">
        <v>71.983931399685574</v>
      </c>
      <c r="R715" s="8">
        <v>17.281554854981302</v>
      </c>
      <c r="S715" s="8">
        <v>3.1819999999999999</v>
      </c>
      <c r="T715" s="8">
        <v>1.125</v>
      </c>
      <c r="U715" s="8">
        <v>0.79600000000000004</v>
      </c>
      <c r="V715" s="8">
        <v>0.70399999999999996</v>
      </c>
      <c r="W715" s="8">
        <v>2.3860000000000001</v>
      </c>
      <c r="X715" s="8">
        <v>0.42100000000000004</v>
      </c>
      <c r="Y715" s="8">
        <v>6.174200661521505</v>
      </c>
      <c r="Z715" s="8">
        <v>3.5616438356164593</v>
      </c>
      <c r="AA715" s="8">
        <v>8.02</v>
      </c>
      <c r="AB715">
        <v>0.47499999999999998</v>
      </c>
      <c r="AC715" s="8">
        <v>28.665931642778386</v>
      </c>
      <c r="AD715" s="8">
        <v>20.958904109589032</v>
      </c>
      <c r="AE715" s="8">
        <v>0.25600000000000001</v>
      </c>
      <c r="AF715" s="8">
        <v>7.1999999999999995E-2</v>
      </c>
      <c r="AG715" s="8">
        <v>1.0120160464382761</v>
      </c>
      <c r="AH715" s="8">
        <v>12.4296875</v>
      </c>
      <c r="AI715" s="8">
        <v>4.39453125</v>
      </c>
      <c r="AJ715" t="s">
        <v>1702</v>
      </c>
      <c r="AK715" t="s">
        <v>1703</v>
      </c>
      <c r="AL715" t="s">
        <v>1702</v>
      </c>
      <c r="AM715" t="s">
        <v>1703</v>
      </c>
      <c r="AN715" t="s">
        <v>1702</v>
      </c>
      <c r="AO715" t="s">
        <v>1703</v>
      </c>
      <c r="AP715" t="s">
        <v>1706</v>
      </c>
      <c r="AQ715" t="s">
        <v>1723</v>
      </c>
      <c r="AR715" t="s">
        <v>1706</v>
      </c>
      <c r="AS715" t="s">
        <v>1700</v>
      </c>
      <c r="AT715" t="s">
        <v>1700</v>
      </c>
      <c r="AU715" t="s">
        <v>1701</v>
      </c>
      <c r="AV715" t="s">
        <v>1739</v>
      </c>
      <c r="AW715" t="s">
        <v>1700</v>
      </c>
      <c r="AX715" t="s">
        <v>1701</v>
      </c>
      <c r="AY715" t="s">
        <v>1739</v>
      </c>
      <c r="AZ715" t="s">
        <v>1700</v>
      </c>
      <c r="BA715" t="s">
        <v>1700</v>
      </c>
      <c r="BB715" t="s">
        <v>1701</v>
      </c>
      <c r="BC715" t="s">
        <v>1739</v>
      </c>
      <c r="BD715" t="s">
        <v>1700</v>
      </c>
      <c r="BE715" t="s">
        <v>1701</v>
      </c>
      <c r="BF715" t="s">
        <v>1739</v>
      </c>
      <c r="BG715">
        <v>55</v>
      </c>
      <c r="BH715" s="12" t="s">
        <v>1729</v>
      </c>
      <c r="BI715" t="b">
        <v>0</v>
      </c>
      <c r="BJ715">
        <f t="shared" si="11"/>
        <v>0</v>
      </c>
    </row>
    <row r="716" spans="1:62" x14ac:dyDescent="0.2">
      <c r="A716" s="5" t="s">
        <v>166</v>
      </c>
      <c r="B716" s="6">
        <v>42160</v>
      </c>
      <c r="C716" s="7">
        <v>33.308988999999997</v>
      </c>
      <c r="D716" s="7">
        <v>-111.851294</v>
      </c>
      <c r="E716" s="17">
        <v>367</v>
      </c>
      <c r="F716" t="s">
        <v>1706</v>
      </c>
      <c r="G716" t="s">
        <v>1710</v>
      </c>
      <c r="H716" t="s">
        <v>1710</v>
      </c>
      <c r="I716">
        <v>1</v>
      </c>
      <c r="J716">
        <v>16.762722774597599</v>
      </c>
      <c r="K716">
        <v>60.385758082531297</v>
      </c>
      <c r="L716">
        <v>22.851519142871101</v>
      </c>
      <c r="M716">
        <v>3.1470000477084201</v>
      </c>
      <c r="N716">
        <v>2.1766435504048101</v>
      </c>
      <c r="O716">
        <v>130.85739994297799</v>
      </c>
      <c r="P716">
        <v>35.331025745701197</v>
      </c>
      <c r="Q716">
        <v>15.119415049254201</v>
      </c>
      <c r="R716">
        <v>20.498142738372302</v>
      </c>
      <c r="S716">
        <v>2.8740000000000001</v>
      </c>
      <c r="T716">
        <v>1.349</v>
      </c>
      <c r="U716">
        <v>0.46100000000000002</v>
      </c>
      <c r="V716">
        <v>0.61499999999999999</v>
      </c>
      <c r="W716">
        <v>2.4129999999999998</v>
      </c>
      <c r="X716">
        <v>0.73399999999999999</v>
      </c>
      <c r="Y716">
        <v>4.8473967684021604</v>
      </c>
      <c r="Z716">
        <v>2.2608695652173898</v>
      </c>
      <c r="AA716">
        <v>7.75</v>
      </c>
      <c r="AB716">
        <v>0.64700000000000002</v>
      </c>
      <c r="AC716">
        <v>18.562874251497</v>
      </c>
      <c r="AD716">
        <v>13.714285714285699</v>
      </c>
      <c r="AE716">
        <v>0.23599999999999999</v>
      </c>
      <c r="AF716">
        <v>0.10199999999999999</v>
      </c>
      <c r="AG716">
        <v>1.2873921730282423</v>
      </c>
      <c r="AH716">
        <v>12.177966101694899</v>
      </c>
      <c r="AI716">
        <v>13.2254901960784</v>
      </c>
      <c r="AJ716" t="s">
        <v>1702</v>
      </c>
      <c r="AK716" t="s">
        <v>1703</v>
      </c>
      <c r="AL716" t="s">
        <v>1702</v>
      </c>
      <c r="AM716" t="s">
        <v>1703</v>
      </c>
      <c r="AN716" t="s">
        <v>1702</v>
      </c>
      <c r="AO716" t="s">
        <v>1703</v>
      </c>
      <c r="AP716" t="s">
        <v>1706</v>
      </c>
      <c r="AQ716" t="s">
        <v>1723</v>
      </c>
      <c r="AR716" t="s">
        <v>1706</v>
      </c>
      <c r="AS716" t="s">
        <v>1700</v>
      </c>
      <c r="AT716" t="s">
        <v>1700</v>
      </c>
      <c r="AU716" t="s">
        <v>1701</v>
      </c>
      <c r="AV716" t="s">
        <v>1739</v>
      </c>
      <c r="AW716" t="s">
        <v>1700</v>
      </c>
      <c r="AX716" t="s">
        <v>1701</v>
      </c>
      <c r="AY716" t="s">
        <v>1739</v>
      </c>
      <c r="AZ716" t="s">
        <v>1700</v>
      </c>
      <c r="BA716" t="s">
        <v>1700</v>
      </c>
      <c r="BB716" t="s">
        <v>1701</v>
      </c>
      <c r="BC716" t="s">
        <v>1739</v>
      </c>
      <c r="BD716" t="s">
        <v>1700</v>
      </c>
      <c r="BE716" t="s">
        <v>1701</v>
      </c>
      <c r="BF716" t="s">
        <v>1739</v>
      </c>
      <c r="BG716">
        <v>60</v>
      </c>
      <c r="BH716" s="12" t="s">
        <v>1729</v>
      </c>
      <c r="BI716" t="b">
        <v>0</v>
      </c>
      <c r="BJ716">
        <f t="shared" si="11"/>
        <v>0</v>
      </c>
    </row>
    <row r="717" spans="1:62" x14ac:dyDescent="0.2">
      <c r="A717" s="5" t="s">
        <v>166</v>
      </c>
      <c r="B717" s="6">
        <v>45056</v>
      </c>
      <c r="C717" s="7">
        <v>33.308988999999997</v>
      </c>
      <c r="D717" s="7">
        <v>-111.851294</v>
      </c>
      <c r="E717" s="17">
        <v>367</v>
      </c>
      <c r="F717" t="s">
        <v>1706</v>
      </c>
      <c r="G717" t="s">
        <v>1710</v>
      </c>
      <c r="H717" t="s">
        <v>1710</v>
      </c>
      <c r="I717">
        <v>1</v>
      </c>
      <c r="J717" t="s">
        <v>1697</v>
      </c>
      <c r="K717" t="s">
        <v>1697</v>
      </c>
      <c r="L717" t="s">
        <v>1697</v>
      </c>
      <c r="M717" t="s">
        <v>1697</v>
      </c>
      <c r="N717" t="s">
        <v>1697</v>
      </c>
      <c r="O717" t="s">
        <v>1697</v>
      </c>
      <c r="P717" t="s">
        <v>1697</v>
      </c>
      <c r="Q717" t="s">
        <v>1697</v>
      </c>
      <c r="R717" t="s">
        <v>1697</v>
      </c>
      <c r="S717" t="s">
        <v>1697</v>
      </c>
      <c r="T717" t="s">
        <v>1697</v>
      </c>
      <c r="U717" t="s">
        <v>1697</v>
      </c>
      <c r="V717" t="s">
        <v>1697</v>
      </c>
      <c r="W717" t="s">
        <v>1697</v>
      </c>
      <c r="X717" t="s">
        <v>1697</v>
      </c>
      <c r="Y717" t="s">
        <v>1697</v>
      </c>
      <c r="Z717" t="s">
        <v>1697</v>
      </c>
      <c r="AA717" t="s">
        <v>1697</v>
      </c>
      <c r="AB717" t="s">
        <v>1697</v>
      </c>
      <c r="AC717" t="s">
        <v>1697</v>
      </c>
      <c r="AD717" t="s">
        <v>1697</v>
      </c>
      <c r="AE717" t="s">
        <v>1697</v>
      </c>
      <c r="AF717" t="s">
        <v>1697</v>
      </c>
      <c r="AG717" t="s">
        <v>1697</v>
      </c>
      <c r="AH717" t="s">
        <v>1697</v>
      </c>
      <c r="AI717" t="s">
        <v>1697</v>
      </c>
      <c r="AJ717" t="s">
        <v>1702</v>
      </c>
      <c r="AK717" t="s">
        <v>1703</v>
      </c>
      <c r="AL717" t="s">
        <v>1702</v>
      </c>
      <c r="AM717" t="s">
        <v>1703</v>
      </c>
      <c r="AN717" t="s">
        <v>1702</v>
      </c>
      <c r="AO717" t="s">
        <v>1703</v>
      </c>
      <c r="AP717" t="s">
        <v>1706</v>
      </c>
      <c r="AQ717" t="s">
        <v>1723</v>
      </c>
      <c r="AR717" t="s">
        <v>1706</v>
      </c>
      <c r="AS717" t="s">
        <v>1700</v>
      </c>
      <c r="AT717" t="s">
        <v>1700</v>
      </c>
      <c r="AU717" t="s">
        <v>1701</v>
      </c>
      <c r="AV717" t="s">
        <v>1739</v>
      </c>
      <c r="AW717" t="s">
        <v>1700</v>
      </c>
      <c r="AX717" t="s">
        <v>1701</v>
      </c>
      <c r="AY717" t="s">
        <v>1739</v>
      </c>
      <c r="AZ717" t="s">
        <v>1700</v>
      </c>
      <c r="BA717" t="s">
        <v>1700</v>
      </c>
      <c r="BB717" t="s">
        <v>1701</v>
      </c>
      <c r="BC717" t="s">
        <v>1739</v>
      </c>
      <c r="BD717" t="s">
        <v>1700</v>
      </c>
      <c r="BE717" t="s">
        <v>1701</v>
      </c>
      <c r="BF717" t="s">
        <v>1739</v>
      </c>
      <c r="BG717" s="6" t="s">
        <v>1697</v>
      </c>
      <c r="BH717" s="6" t="s">
        <v>1697</v>
      </c>
      <c r="BI717" t="b">
        <v>0</v>
      </c>
      <c r="BJ717">
        <f t="shared" si="11"/>
        <v>0</v>
      </c>
    </row>
    <row r="718" spans="1:62" x14ac:dyDescent="0.2">
      <c r="A718" s="5" t="s">
        <v>167</v>
      </c>
      <c r="B718" s="6">
        <v>38457</v>
      </c>
      <c r="C718" s="7">
        <v>33.219113999999998</v>
      </c>
      <c r="D718" s="7">
        <v>-111.871861</v>
      </c>
      <c r="E718" s="17">
        <v>363</v>
      </c>
      <c r="F718" t="s">
        <v>1700</v>
      </c>
      <c r="G718" t="s">
        <v>1736</v>
      </c>
      <c r="H718" t="s">
        <v>1737</v>
      </c>
      <c r="I718">
        <v>1</v>
      </c>
      <c r="J718" s="8">
        <v>17.781872293147565</v>
      </c>
      <c r="K718" s="8">
        <v>64.154513094415861</v>
      </c>
      <c r="L718" s="8">
        <v>18.063614612436567</v>
      </c>
      <c r="M718" s="8">
        <v>1.8402832866460783</v>
      </c>
      <c r="N718" s="8">
        <v>0.52799996747538236</v>
      </c>
      <c r="O718" s="8">
        <v>26.633341220874453</v>
      </c>
      <c r="P718" s="8">
        <v>40.075197531381527</v>
      </c>
      <c r="Q718" s="8">
        <v>4.4201729913102445</v>
      </c>
      <c r="R718" s="8">
        <v>0.495774617347777</v>
      </c>
      <c r="S718" s="8">
        <v>0.59099999999999997</v>
      </c>
      <c r="T718" s="8">
        <v>0.66400000000000003</v>
      </c>
      <c r="U718" s="8">
        <v>0.48199999999999998</v>
      </c>
      <c r="V718" s="8">
        <v>0.47599999999999998</v>
      </c>
      <c r="W718" s="8">
        <v>0.10899999999999999</v>
      </c>
      <c r="X718" s="8">
        <v>0.18800000000000006</v>
      </c>
      <c r="Y718" s="8">
        <v>3.1652989449003472</v>
      </c>
      <c r="Z718" s="8">
        <v>2.9239766081871243</v>
      </c>
      <c r="AA718" s="8">
        <v>7.99</v>
      </c>
      <c r="AB718">
        <v>0.78900000000000003</v>
      </c>
      <c r="AC718" s="8">
        <v>4.33763188745605</v>
      </c>
      <c r="AD718" s="8">
        <v>8.625730994152045</v>
      </c>
      <c r="AE718" s="8">
        <v>0.02</v>
      </c>
      <c r="AF718" s="8">
        <v>1.6E-2</v>
      </c>
      <c r="AG718" s="8">
        <v>1.212127570065809</v>
      </c>
      <c r="AH718" s="8">
        <v>29.549999999999997</v>
      </c>
      <c r="AI718" s="8">
        <v>33.200000000000003</v>
      </c>
      <c r="AJ718" t="s">
        <v>1694</v>
      </c>
      <c r="AK718" t="s">
        <v>1694</v>
      </c>
      <c r="AL718" t="s">
        <v>1694</v>
      </c>
      <c r="AM718" t="s">
        <v>1694</v>
      </c>
      <c r="AN718" t="s">
        <v>1694</v>
      </c>
      <c r="AO718" t="s">
        <v>1694</v>
      </c>
      <c r="AP718" t="s">
        <v>1702</v>
      </c>
      <c r="AQ718" t="s">
        <v>1705</v>
      </c>
      <c r="AR718" s="11" t="s">
        <v>1703</v>
      </c>
      <c r="AS718" t="s">
        <v>1702</v>
      </c>
      <c r="AT718" t="s">
        <v>1703</v>
      </c>
      <c r="AU718" t="s">
        <v>1695</v>
      </c>
      <c r="AV718" t="s">
        <v>1711</v>
      </c>
      <c r="AW718" t="s">
        <v>1711</v>
      </c>
      <c r="AX718" t="s">
        <v>1704</v>
      </c>
      <c r="AY718" t="s">
        <v>1705</v>
      </c>
      <c r="AZ718" t="s">
        <v>1703</v>
      </c>
      <c r="BA718" t="s">
        <v>1700</v>
      </c>
      <c r="BB718" t="s">
        <v>1695</v>
      </c>
      <c r="BC718" t="s">
        <v>1711</v>
      </c>
      <c r="BD718" t="s">
        <v>1711</v>
      </c>
      <c r="BE718" t="s">
        <v>1695</v>
      </c>
      <c r="BF718" t="s">
        <v>1711</v>
      </c>
      <c r="BG718">
        <v>15</v>
      </c>
      <c r="BH718" s="12" t="s">
        <v>1708</v>
      </c>
      <c r="BI718" t="b">
        <v>0</v>
      </c>
      <c r="BJ718">
        <f t="shared" si="11"/>
        <v>0</v>
      </c>
    </row>
  </sheetData>
  <sortState xmlns:xlrd2="http://schemas.microsoft.com/office/spreadsheetml/2017/richdata2" ref="B2:BI718">
    <sortCondition ref="B2:B718"/>
  </sortState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9733-AB24-4963-9B08-9D5550A03BB1}">
  <dimension ref="A1:C687"/>
  <sheetViews>
    <sheetView workbookViewId="0">
      <selection activeCell="B79" sqref="B79"/>
    </sheetView>
  </sheetViews>
  <sheetFormatPr baseColWidth="10" defaultColWidth="8.83203125" defaultRowHeight="15" x14ac:dyDescent="0.2"/>
  <cols>
    <col min="1" max="1" width="24.6640625" bestFit="1" customWidth="1"/>
    <col min="2" max="2" width="121.5" customWidth="1"/>
    <col min="3" max="4" width="24.6640625" bestFit="1" customWidth="1"/>
    <col min="5" max="5" width="23" customWidth="1"/>
    <col min="6" max="6" width="9.83203125" bestFit="1" customWidth="1"/>
    <col min="7" max="7" width="14.5" bestFit="1" customWidth="1"/>
    <col min="8" max="8" width="9.83203125" bestFit="1" customWidth="1"/>
    <col min="9" max="9" width="14.5" bestFit="1" customWidth="1"/>
    <col min="10" max="10" width="11.1640625" bestFit="1" customWidth="1"/>
  </cols>
  <sheetData>
    <row r="1" spans="1:3" x14ac:dyDescent="0.2">
      <c r="A1" s="19" t="s">
        <v>1764</v>
      </c>
      <c r="B1" s="19" t="s">
        <v>1765</v>
      </c>
      <c r="C1" s="19" t="s">
        <v>1821</v>
      </c>
    </row>
    <row r="2" spans="1:3" x14ac:dyDescent="0.2">
      <c r="A2" s="1" t="s">
        <v>1</v>
      </c>
      <c r="B2" t="s">
        <v>1766</v>
      </c>
    </row>
    <row r="3" spans="1:3" x14ac:dyDescent="0.2">
      <c r="A3" s="2" t="s">
        <v>0</v>
      </c>
      <c r="B3" t="s">
        <v>1767</v>
      </c>
    </row>
    <row r="4" spans="1:3" x14ac:dyDescent="0.2">
      <c r="A4" s="3" t="s">
        <v>1760</v>
      </c>
      <c r="B4" t="s">
        <v>1768</v>
      </c>
      <c r="C4" t="s">
        <v>1822</v>
      </c>
    </row>
    <row r="5" spans="1:3" x14ac:dyDescent="0.2">
      <c r="A5" s="3" t="s">
        <v>1761</v>
      </c>
      <c r="B5" t="s">
        <v>1769</v>
      </c>
      <c r="C5" t="s">
        <v>1822</v>
      </c>
    </row>
    <row r="6" spans="1:3" x14ac:dyDescent="0.2">
      <c r="A6" s="16" t="s">
        <v>1762</v>
      </c>
      <c r="B6" t="s">
        <v>1770</v>
      </c>
      <c r="C6" t="s">
        <v>1823</v>
      </c>
    </row>
    <row r="7" spans="1:3" x14ac:dyDescent="0.2">
      <c r="A7" s="2" t="s">
        <v>1640</v>
      </c>
      <c r="B7" t="s">
        <v>1771</v>
      </c>
    </row>
    <row r="8" spans="1:3" x14ac:dyDescent="0.2">
      <c r="A8" t="s">
        <v>1639</v>
      </c>
      <c r="B8" t="s">
        <v>1772</v>
      </c>
    </row>
    <row r="9" spans="1:3" x14ac:dyDescent="0.2">
      <c r="A9" s="2" t="s">
        <v>1641</v>
      </c>
      <c r="B9" t="s">
        <v>1774</v>
      </c>
      <c r="C9" t="s">
        <v>1773</v>
      </c>
    </row>
    <row r="10" spans="1:3" x14ac:dyDescent="0.2">
      <c r="A10" s="2" t="s">
        <v>1642</v>
      </c>
      <c r="B10" t="s">
        <v>1775</v>
      </c>
    </row>
    <row r="11" spans="1:3" x14ac:dyDescent="0.2">
      <c r="A11" s="2" t="s">
        <v>1643</v>
      </c>
      <c r="B11" t="s">
        <v>1776</v>
      </c>
      <c r="C11" t="s">
        <v>1817</v>
      </c>
    </row>
    <row r="12" spans="1:3" x14ac:dyDescent="0.2">
      <c r="A12" s="2" t="s">
        <v>1644</v>
      </c>
      <c r="B12" t="s">
        <v>1777</v>
      </c>
      <c r="C12" t="s">
        <v>1817</v>
      </c>
    </row>
    <row r="13" spans="1:3" x14ac:dyDescent="0.2">
      <c r="A13" s="2" t="s">
        <v>1645</v>
      </c>
      <c r="B13" t="s">
        <v>1778</v>
      </c>
      <c r="C13" t="s">
        <v>1817</v>
      </c>
    </row>
    <row r="14" spans="1:3" x14ac:dyDescent="0.2">
      <c r="A14" s="2" t="s">
        <v>1646</v>
      </c>
      <c r="B14" t="s">
        <v>1779</v>
      </c>
      <c r="C14" t="s">
        <v>1820</v>
      </c>
    </row>
    <row r="15" spans="1:3" x14ac:dyDescent="0.2">
      <c r="A15" s="2" t="s">
        <v>1647</v>
      </c>
      <c r="B15" t="s">
        <v>1780</v>
      </c>
      <c r="C15" t="s">
        <v>1820</v>
      </c>
    </row>
    <row r="16" spans="1:3" x14ac:dyDescent="0.2">
      <c r="A16" s="2" t="s">
        <v>1648</v>
      </c>
      <c r="B16" t="s">
        <v>1781</v>
      </c>
      <c r="C16" t="s">
        <v>1820</v>
      </c>
    </row>
    <row r="17" spans="1:3" x14ac:dyDescent="0.2">
      <c r="A17" s="2" t="s">
        <v>1649</v>
      </c>
      <c r="B17" t="s">
        <v>1782</v>
      </c>
      <c r="C17" t="s">
        <v>1820</v>
      </c>
    </row>
    <row r="18" spans="1:3" x14ac:dyDescent="0.2">
      <c r="A18" s="2" t="s">
        <v>1650</v>
      </c>
      <c r="B18" t="s">
        <v>1783</v>
      </c>
      <c r="C18" t="s">
        <v>1820</v>
      </c>
    </row>
    <row r="19" spans="1:3" x14ac:dyDescent="0.2">
      <c r="A19" s="2" t="s">
        <v>1651</v>
      </c>
      <c r="B19" t="s">
        <v>1784</v>
      </c>
      <c r="C19" t="s">
        <v>1820</v>
      </c>
    </row>
    <row r="20" spans="1:3" x14ac:dyDescent="0.2">
      <c r="A20" s="2" t="s">
        <v>1652</v>
      </c>
      <c r="B20" t="s">
        <v>1787</v>
      </c>
      <c r="C20" t="s">
        <v>1817</v>
      </c>
    </row>
    <row r="21" spans="1:3" x14ac:dyDescent="0.2">
      <c r="A21" s="2" t="s">
        <v>1653</v>
      </c>
      <c r="B21" t="s">
        <v>1788</v>
      </c>
      <c r="C21" t="s">
        <v>1817</v>
      </c>
    </row>
    <row r="22" spans="1:3" x14ac:dyDescent="0.2">
      <c r="A22" s="2" t="s">
        <v>1654</v>
      </c>
      <c r="B22" t="s">
        <v>1785</v>
      </c>
      <c r="C22" t="s">
        <v>1817</v>
      </c>
    </row>
    <row r="23" spans="1:3" x14ac:dyDescent="0.2">
      <c r="A23" s="2" t="s">
        <v>1655</v>
      </c>
      <c r="B23" t="s">
        <v>1786</v>
      </c>
      <c r="C23" t="s">
        <v>1817</v>
      </c>
    </row>
    <row r="24" spans="1:3" x14ac:dyDescent="0.2">
      <c r="A24" s="2" t="s">
        <v>1656</v>
      </c>
      <c r="B24" t="s">
        <v>1789</v>
      </c>
      <c r="C24" t="s">
        <v>1817</v>
      </c>
    </row>
    <row r="25" spans="1:3" x14ac:dyDescent="0.2">
      <c r="A25" s="2" t="s">
        <v>1657</v>
      </c>
      <c r="B25" t="s">
        <v>1790</v>
      </c>
      <c r="C25" t="s">
        <v>1817</v>
      </c>
    </row>
    <row r="26" spans="1:3" x14ac:dyDescent="0.2">
      <c r="A26" s="2" t="s">
        <v>1659</v>
      </c>
      <c r="B26" t="s">
        <v>1791</v>
      </c>
      <c r="C26" t="s">
        <v>1817</v>
      </c>
    </row>
    <row r="27" spans="1:3" x14ac:dyDescent="0.2">
      <c r="A27" s="2" t="s">
        <v>1658</v>
      </c>
      <c r="B27" t="s">
        <v>1792</v>
      </c>
      <c r="C27" t="s">
        <v>1817</v>
      </c>
    </row>
    <row r="28" spans="1:3" x14ac:dyDescent="0.2">
      <c r="A28" s="2" t="s">
        <v>1660</v>
      </c>
      <c r="B28" t="s">
        <v>1793</v>
      </c>
    </row>
    <row r="29" spans="1:3" x14ac:dyDescent="0.2">
      <c r="A29" s="2" t="s">
        <v>1661</v>
      </c>
      <c r="B29" t="s">
        <v>1794</v>
      </c>
      <c r="C29" t="s">
        <v>1818</v>
      </c>
    </row>
    <row r="30" spans="1:3" x14ac:dyDescent="0.2">
      <c r="A30" s="2" t="s">
        <v>1662</v>
      </c>
      <c r="B30" t="s">
        <v>1795</v>
      </c>
      <c r="C30" t="s">
        <v>1819</v>
      </c>
    </row>
    <row r="31" spans="1:3" x14ac:dyDescent="0.2">
      <c r="A31" s="2" t="s">
        <v>1663</v>
      </c>
      <c r="B31" t="s">
        <v>1796</v>
      </c>
      <c r="C31" t="s">
        <v>1819</v>
      </c>
    </row>
    <row r="32" spans="1:3" x14ac:dyDescent="0.2">
      <c r="A32" s="2" t="s">
        <v>1665</v>
      </c>
      <c r="B32" t="s">
        <v>1797</v>
      </c>
      <c r="C32" t="s">
        <v>1817</v>
      </c>
    </row>
    <row r="33" spans="1:3" x14ac:dyDescent="0.2">
      <c r="A33" s="2" t="s">
        <v>1664</v>
      </c>
      <c r="B33" t="s">
        <v>1798</v>
      </c>
      <c r="C33" t="s">
        <v>1817</v>
      </c>
    </row>
    <row r="34" spans="1:3" x14ac:dyDescent="0.2">
      <c r="A34" s="2" t="s">
        <v>1666</v>
      </c>
      <c r="B34" t="s">
        <v>1799</v>
      </c>
      <c r="C34" t="s">
        <v>1824</v>
      </c>
    </row>
    <row r="35" spans="1:3" x14ac:dyDescent="0.2">
      <c r="A35" s="2" t="s">
        <v>1667</v>
      </c>
      <c r="B35" t="s">
        <v>1800</v>
      </c>
    </row>
    <row r="36" spans="1:3" x14ac:dyDescent="0.2">
      <c r="A36" s="2" t="s">
        <v>1668</v>
      </c>
      <c r="B36" t="s">
        <v>1801</v>
      </c>
    </row>
    <row r="37" spans="1:3" x14ac:dyDescent="0.2">
      <c r="A37" t="s">
        <v>1669</v>
      </c>
      <c r="B37" t="s">
        <v>1802</v>
      </c>
    </row>
    <row r="38" spans="1:3" x14ac:dyDescent="0.2">
      <c r="A38" t="s">
        <v>1670</v>
      </c>
      <c r="B38" t="s">
        <v>1807</v>
      </c>
    </row>
    <row r="39" spans="1:3" x14ac:dyDescent="0.2">
      <c r="A39" s="2" t="s">
        <v>1671</v>
      </c>
      <c r="B39" t="s">
        <v>1803</v>
      </c>
    </row>
    <row r="40" spans="1:3" x14ac:dyDescent="0.2">
      <c r="A40" s="2" t="s">
        <v>1672</v>
      </c>
      <c r="B40" t="s">
        <v>1812</v>
      </c>
    </row>
    <row r="41" spans="1:3" x14ac:dyDescent="0.2">
      <c r="A41" s="2" t="s">
        <v>1673</v>
      </c>
      <c r="B41" t="s">
        <v>1804</v>
      </c>
    </row>
    <row r="42" spans="1:3" x14ac:dyDescent="0.2">
      <c r="A42" s="2" t="s">
        <v>1674</v>
      </c>
      <c r="B42" t="s">
        <v>1806</v>
      </c>
    </row>
    <row r="43" spans="1:3" x14ac:dyDescent="0.2">
      <c r="A43" t="s">
        <v>1675</v>
      </c>
      <c r="B43" t="s">
        <v>1825</v>
      </c>
    </row>
    <row r="44" spans="1:3" x14ac:dyDescent="0.2">
      <c r="A44" t="s">
        <v>1676</v>
      </c>
      <c r="B44" t="s">
        <v>1826</v>
      </c>
    </row>
    <row r="45" spans="1:3" x14ac:dyDescent="0.2">
      <c r="A45" t="s">
        <v>1677</v>
      </c>
      <c r="B45" t="s">
        <v>1808</v>
      </c>
    </row>
    <row r="46" spans="1:3" x14ac:dyDescent="0.2">
      <c r="A46" t="s">
        <v>1678</v>
      </c>
      <c r="B46" t="s">
        <v>1805</v>
      </c>
    </row>
    <row r="47" spans="1:3" x14ac:dyDescent="0.2">
      <c r="A47" t="s">
        <v>1679</v>
      </c>
      <c r="B47" t="s">
        <v>1809</v>
      </c>
    </row>
    <row r="48" spans="1:3" x14ac:dyDescent="0.2">
      <c r="A48" t="s">
        <v>1680</v>
      </c>
      <c r="B48" t="s">
        <v>1827</v>
      </c>
    </row>
    <row r="49" spans="1:2" x14ac:dyDescent="0.2">
      <c r="A49" t="s">
        <v>1681</v>
      </c>
      <c r="B49" t="s">
        <v>1828</v>
      </c>
    </row>
    <row r="50" spans="1:2" x14ac:dyDescent="0.2">
      <c r="A50" t="s">
        <v>1682</v>
      </c>
      <c r="B50" t="s">
        <v>1810</v>
      </c>
    </row>
    <row r="51" spans="1:2" x14ac:dyDescent="0.2">
      <c r="A51" t="s">
        <v>1683</v>
      </c>
      <c r="B51" t="s">
        <v>1829</v>
      </c>
    </row>
    <row r="52" spans="1:2" x14ac:dyDescent="0.2">
      <c r="A52" t="s">
        <v>1684</v>
      </c>
      <c r="B52" t="s">
        <v>1830</v>
      </c>
    </row>
    <row r="53" spans="1:2" x14ac:dyDescent="0.2">
      <c r="A53" t="s">
        <v>1685</v>
      </c>
      <c r="B53" t="s">
        <v>1811</v>
      </c>
    </row>
    <row r="54" spans="1:2" x14ac:dyDescent="0.2">
      <c r="A54" t="s">
        <v>1686</v>
      </c>
      <c r="B54" t="s">
        <v>1813</v>
      </c>
    </row>
    <row r="55" spans="1:2" x14ac:dyDescent="0.2">
      <c r="A55" t="s">
        <v>1687</v>
      </c>
      <c r="B55" t="s">
        <v>1831</v>
      </c>
    </row>
    <row r="56" spans="1:2" x14ac:dyDescent="0.2">
      <c r="A56" t="s">
        <v>1688</v>
      </c>
      <c r="B56" t="s">
        <v>1832</v>
      </c>
    </row>
    <row r="57" spans="1:2" x14ac:dyDescent="0.2">
      <c r="A57" t="s">
        <v>1689</v>
      </c>
      <c r="B57" t="s">
        <v>1814</v>
      </c>
    </row>
    <row r="58" spans="1:2" x14ac:dyDescent="0.2">
      <c r="A58" t="s">
        <v>1690</v>
      </c>
      <c r="B58" t="s">
        <v>1833</v>
      </c>
    </row>
    <row r="59" spans="1:2" x14ac:dyDescent="0.2">
      <c r="A59" t="s">
        <v>1691</v>
      </c>
      <c r="B59" t="s">
        <v>1834</v>
      </c>
    </row>
    <row r="60" spans="1:2" x14ac:dyDescent="0.2">
      <c r="A60" t="s">
        <v>1692</v>
      </c>
      <c r="B60" t="s">
        <v>1815</v>
      </c>
    </row>
    <row r="61" spans="1:2" x14ac:dyDescent="0.2">
      <c r="A61" t="s">
        <v>1693</v>
      </c>
      <c r="B61" t="s">
        <v>1816</v>
      </c>
    </row>
    <row r="504" spans="1:1" x14ac:dyDescent="0.2">
      <c r="A504" s="15"/>
    </row>
    <row r="687" spans="1:1" x14ac:dyDescent="0.2">
      <c r="A687" s="4"/>
    </row>
  </sheetData>
  <sortState xmlns:xlrd2="http://schemas.microsoft.com/office/spreadsheetml/2017/richdata2" ref="I9:I21">
    <sortCondition ref="I9:I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AB16-9C24-4DD7-AD0E-C6033D9BB343}">
  <dimension ref="A1:C683"/>
  <sheetViews>
    <sheetView workbookViewId="0">
      <selection activeCell="A22" sqref="A22"/>
    </sheetView>
  </sheetViews>
  <sheetFormatPr baseColWidth="10" defaultColWidth="8.83203125" defaultRowHeight="15" x14ac:dyDescent="0.2"/>
  <cols>
    <col min="1" max="1" width="51.5" bestFit="1" customWidth="1"/>
    <col min="2" max="2" width="38.1640625" bestFit="1" customWidth="1"/>
    <col min="3" max="3" width="9.1640625" bestFit="1" customWidth="1"/>
  </cols>
  <sheetData>
    <row r="1" spans="1:3" x14ac:dyDescent="0.2">
      <c r="A1" t="s">
        <v>1334</v>
      </c>
      <c r="B1" t="s">
        <v>1335</v>
      </c>
      <c r="C1" t="s">
        <v>1045</v>
      </c>
    </row>
    <row r="2" spans="1:3" x14ac:dyDescent="0.2">
      <c r="A2" t="s">
        <v>399</v>
      </c>
      <c r="B2" t="s">
        <v>1444</v>
      </c>
      <c r="C2" t="s">
        <v>1027</v>
      </c>
    </row>
    <row r="3" spans="1:3" x14ac:dyDescent="0.2">
      <c r="A3" t="s">
        <v>168</v>
      </c>
      <c r="B3" t="s">
        <v>168</v>
      </c>
      <c r="C3" t="s">
        <v>893</v>
      </c>
    </row>
    <row r="4" spans="1:3" x14ac:dyDescent="0.2">
      <c r="A4" t="s">
        <v>556</v>
      </c>
      <c r="B4" t="s">
        <v>1513</v>
      </c>
      <c r="C4" t="s">
        <v>1137</v>
      </c>
    </row>
    <row r="5" spans="1:3" x14ac:dyDescent="0.2">
      <c r="A5" t="s">
        <v>559</v>
      </c>
      <c r="B5" t="s">
        <v>1516</v>
      </c>
      <c r="C5" t="s">
        <v>1140</v>
      </c>
    </row>
    <row r="6" spans="1:3" x14ac:dyDescent="0.2">
      <c r="A6" t="s">
        <v>555</v>
      </c>
      <c r="B6" t="s">
        <v>1517</v>
      </c>
      <c r="C6" t="s">
        <v>1518</v>
      </c>
    </row>
    <row r="7" spans="1:3" x14ac:dyDescent="0.2">
      <c r="A7" t="s">
        <v>557</v>
      </c>
      <c r="B7" t="s">
        <v>1514</v>
      </c>
      <c r="C7" t="s">
        <v>1138</v>
      </c>
    </row>
    <row r="8" spans="1:3" x14ac:dyDescent="0.2">
      <c r="A8" t="s">
        <v>558</v>
      </c>
      <c r="B8" t="s">
        <v>1515</v>
      </c>
      <c r="C8" t="s">
        <v>1139</v>
      </c>
    </row>
    <row r="9" spans="1:3" x14ac:dyDescent="0.2">
      <c r="A9" t="s">
        <v>171</v>
      </c>
      <c r="B9" t="s">
        <v>171</v>
      </c>
      <c r="C9" t="s">
        <v>894</v>
      </c>
    </row>
    <row r="10" spans="1:3" x14ac:dyDescent="0.2">
      <c r="A10" t="s">
        <v>172</v>
      </c>
      <c r="B10" t="s">
        <v>172</v>
      </c>
      <c r="C10" t="s">
        <v>895</v>
      </c>
    </row>
    <row r="11" spans="1:3" x14ac:dyDescent="0.2">
      <c r="A11" t="s">
        <v>403</v>
      </c>
      <c r="B11" t="s">
        <v>172</v>
      </c>
      <c r="C11" t="s">
        <v>895</v>
      </c>
    </row>
    <row r="12" spans="1:3" x14ac:dyDescent="0.2">
      <c r="A12" t="s">
        <v>173</v>
      </c>
      <c r="B12" t="s">
        <v>173</v>
      </c>
      <c r="C12" t="s">
        <v>1342</v>
      </c>
    </row>
    <row r="13" spans="1:3" x14ac:dyDescent="0.2">
      <c r="A13" t="s">
        <v>174</v>
      </c>
      <c r="B13" t="s">
        <v>174</v>
      </c>
      <c r="C13" t="s">
        <v>896</v>
      </c>
    </row>
    <row r="14" spans="1:3" x14ac:dyDescent="0.2">
      <c r="A14" t="s">
        <v>175</v>
      </c>
      <c r="B14" t="s">
        <v>175</v>
      </c>
      <c r="C14" t="s">
        <v>1343</v>
      </c>
    </row>
    <row r="15" spans="1:3" x14ac:dyDescent="0.2">
      <c r="A15" t="s">
        <v>176</v>
      </c>
      <c r="B15" t="s">
        <v>176</v>
      </c>
      <c r="C15" t="s">
        <v>897</v>
      </c>
    </row>
    <row r="16" spans="1:3" x14ac:dyDescent="0.2">
      <c r="A16" t="s">
        <v>177</v>
      </c>
      <c r="B16" t="s">
        <v>177</v>
      </c>
      <c r="C16" t="s">
        <v>898</v>
      </c>
    </row>
    <row r="17" spans="1:3" x14ac:dyDescent="0.2">
      <c r="A17" t="s">
        <v>178</v>
      </c>
      <c r="B17" t="s">
        <v>178</v>
      </c>
      <c r="C17" t="s">
        <v>899</v>
      </c>
    </row>
    <row r="18" spans="1:3" x14ac:dyDescent="0.2">
      <c r="A18" t="s">
        <v>179</v>
      </c>
      <c r="B18" t="s">
        <v>179</v>
      </c>
      <c r="C18" t="s">
        <v>1344</v>
      </c>
    </row>
    <row r="19" spans="1:3" x14ac:dyDescent="0.2">
      <c r="A19" t="s">
        <v>181</v>
      </c>
      <c r="B19" t="s">
        <v>1336</v>
      </c>
      <c r="C19" t="s">
        <v>1340</v>
      </c>
    </row>
    <row r="20" spans="1:3" x14ac:dyDescent="0.2">
      <c r="A20" t="s">
        <v>180</v>
      </c>
      <c r="B20" t="s">
        <v>889</v>
      </c>
      <c r="C20" t="s">
        <v>900</v>
      </c>
    </row>
    <row r="21" spans="1:3" x14ac:dyDescent="0.2">
      <c r="A21" t="s">
        <v>182</v>
      </c>
      <c r="B21" t="s">
        <v>182</v>
      </c>
      <c r="C21" t="s">
        <v>901</v>
      </c>
    </row>
    <row r="22" spans="1:3" x14ac:dyDescent="0.2">
      <c r="A22" t="s">
        <v>185</v>
      </c>
      <c r="B22" t="s">
        <v>185</v>
      </c>
      <c r="C22" t="s">
        <v>902</v>
      </c>
    </row>
    <row r="23" spans="1:3" x14ac:dyDescent="0.2">
      <c r="A23" t="s">
        <v>186</v>
      </c>
      <c r="B23" t="s">
        <v>186</v>
      </c>
      <c r="C23" t="s">
        <v>903</v>
      </c>
    </row>
    <row r="24" spans="1:3" x14ac:dyDescent="0.2">
      <c r="A24" t="s">
        <v>183</v>
      </c>
      <c r="B24" t="s">
        <v>183</v>
      </c>
      <c r="C24" t="s">
        <v>1348</v>
      </c>
    </row>
    <row r="25" spans="1:3" x14ac:dyDescent="0.2">
      <c r="A25" t="s">
        <v>187</v>
      </c>
      <c r="B25" t="s">
        <v>187</v>
      </c>
      <c r="C25" t="s">
        <v>904</v>
      </c>
    </row>
    <row r="26" spans="1:3" x14ac:dyDescent="0.2">
      <c r="A26" t="s">
        <v>188</v>
      </c>
      <c r="B26" t="s">
        <v>188</v>
      </c>
      <c r="C26" t="s">
        <v>905</v>
      </c>
    </row>
    <row r="27" spans="1:3" x14ac:dyDescent="0.2">
      <c r="A27" t="s">
        <v>189</v>
      </c>
      <c r="B27" t="s">
        <v>189</v>
      </c>
      <c r="C27" t="s">
        <v>906</v>
      </c>
    </row>
    <row r="28" spans="1:3" x14ac:dyDescent="0.2">
      <c r="A28" t="s">
        <v>190</v>
      </c>
      <c r="B28" t="s">
        <v>190</v>
      </c>
      <c r="C28" t="s">
        <v>907</v>
      </c>
    </row>
    <row r="29" spans="1:3" x14ac:dyDescent="0.2">
      <c r="A29" t="s">
        <v>184</v>
      </c>
      <c r="B29" t="s">
        <v>184</v>
      </c>
      <c r="C29" t="s">
        <v>1345</v>
      </c>
    </row>
    <row r="30" spans="1:3" x14ac:dyDescent="0.2">
      <c r="A30" t="s">
        <v>191</v>
      </c>
      <c r="B30" t="s">
        <v>191</v>
      </c>
      <c r="C30" t="s">
        <v>908</v>
      </c>
    </row>
    <row r="31" spans="1:3" x14ac:dyDescent="0.2">
      <c r="A31" t="s">
        <v>193</v>
      </c>
      <c r="B31" t="s">
        <v>193</v>
      </c>
      <c r="C31" t="s">
        <v>909</v>
      </c>
    </row>
    <row r="32" spans="1:3" x14ac:dyDescent="0.2">
      <c r="A32" t="s">
        <v>194</v>
      </c>
      <c r="B32" t="s">
        <v>194</v>
      </c>
      <c r="C32" t="s">
        <v>910</v>
      </c>
    </row>
    <row r="33" spans="1:3" x14ac:dyDescent="0.2">
      <c r="A33" t="s">
        <v>192</v>
      </c>
      <c r="B33" t="s">
        <v>192</v>
      </c>
      <c r="C33" t="s">
        <v>1346</v>
      </c>
    </row>
    <row r="34" spans="1:3" x14ac:dyDescent="0.2">
      <c r="A34" t="s">
        <v>195</v>
      </c>
      <c r="B34" t="s">
        <v>195</v>
      </c>
      <c r="C34" t="s">
        <v>1349</v>
      </c>
    </row>
    <row r="35" spans="1:3" x14ac:dyDescent="0.2">
      <c r="A35" t="s">
        <v>196</v>
      </c>
      <c r="B35" t="s">
        <v>196</v>
      </c>
      <c r="C35" t="s">
        <v>911</v>
      </c>
    </row>
    <row r="36" spans="1:3" x14ac:dyDescent="0.2">
      <c r="A36" t="s">
        <v>197</v>
      </c>
      <c r="B36" t="s">
        <v>197</v>
      </c>
      <c r="C36" t="s">
        <v>912</v>
      </c>
    </row>
    <row r="37" spans="1:3" x14ac:dyDescent="0.2">
      <c r="A37" t="s">
        <v>198</v>
      </c>
      <c r="B37" t="s">
        <v>198</v>
      </c>
      <c r="C37" t="s">
        <v>913</v>
      </c>
    </row>
    <row r="38" spans="1:3" x14ac:dyDescent="0.2">
      <c r="A38" t="s">
        <v>201</v>
      </c>
      <c r="B38" t="s">
        <v>201</v>
      </c>
      <c r="C38" t="s">
        <v>915</v>
      </c>
    </row>
    <row r="39" spans="1:3" x14ac:dyDescent="0.2">
      <c r="A39" t="s">
        <v>200</v>
      </c>
      <c r="B39" t="s">
        <v>200</v>
      </c>
      <c r="C39" t="s">
        <v>914</v>
      </c>
    </row>
    <row r="40" spans="1:3" x14ac:dyDescent="0.2">
      <c r="A40" t="s">
        <v>202</v>
      </c>
      <c r="B40" t="s">
        <v>202</v>
      </c>
      <c r="C40" t="s">
        <v>1350</v>
      </c>
    </row>
    <row r="41" spans="1:3" x14ac:dyDescent="0.2">
      <c r="A41" t="s">
        <v>203</v>
      </c>
      <c r="B41" t="s">
        <v>203</v>
      </c>
      <c r="C41" t="s">
        <v>916</v>
      </c>
    </row>
    <row r="42" spans="1:3" x14ac:dyDescent="0.2">
      <c r="A42" t="s">
        <v>204</v>
      </c>
      <c r="B42" t="s">
        <v>204</v>
      </c>
      <c r="C42" t="s">
        <v>1351</v>
      </c>
    </row>
    <row r="43" spans="1:3" x14ac:dyDescent="0.2">
      <c r="A43" t="s">
        <v>206</v>
      </c>
      <c r="B43" t="s">
        <v>206</v>
      </c>
      <c r="C43" t="s">
        <v>1352</v>
      </c>
    </row>
    <row r="44" spans="1:3" x14ac:dyDescent="0.2">
      <c r="A44" t="s">
        <v>207</v>
      </c>
      <c r="B44" t="s">
        <v>207</v>
      </c>
      <c r="C44" t="s">
        <v>1353</v>
      </c>
    </row>
    <row r="45" spans="1:3" x14ac:dyDescent="0.2">
      <c r="A45" t="s">
        <v>209</v>
      </c>
      <c r="B45" t="s">
        <v>209</v>
      </c>
      <c r="C45" t="s">
        <v>1354</v>
      </c>
    </row>
    <row r="46" spans="1:3" x14ac:dyDescent="0.2">
      <c r="A46" t="s">
        <v>213</v>
      </c>
      <c r="B46" t="s">
        <v>213</v>
      </c>
      <c r="C46" t="s">
        <v>917</v>
      </c>
    </row>
    <row r="47" spans="1:3" x14ac:dyDescent="0.2">
      <c r="A47" t="s">
        <v>214</v>
      </c>
      <c r="B47" t="s">
        <v>214</v>
      </c>
      <c r="C47" t="s">
        <v>918</v>
      </c>
    </row>
    <row r="48" spans="1:3" x14ac:dyDescent="0.2">
      <c r="A48" t="s">
        <v>212</v>
      </c>
      <c r="B48" t="s">
        <v>212</v>
      </c>
      <c r="C48" t="s">
        <v>1355</v>
      </c>
    </row>
    <row r="49" spans="1:3" x14ac:dyDescent="0.2">
      <c r="A49" t="s">
        <v>215</v>
      </c>
      <c r="B49" t="s">
        <v>215</v>
      </c>
      <c r="C49" t="s">
        <v>919</v>
      </c>
    </row>
    <row r="50" spans="1:3" x14ac:dyDescent="0.2">
      <c r="A50" t="s">
        <v>216</v>
      </c>
      <c r="B50" t="s">
        <v>216</v>
      </c>
      <c r="C50" t="s">
        <v>920</v>
      </c>
    </row>
    <row r="51" spans="1:3" x14ac:dyDescent="0.2">
      <c r="A51" t="s">
        <v>218</v>
      </c>
      <c r="B51" t="s">
        <v>218</v>
      </c>
      <c r="C51" t="s">
        <v>1356</v>
      </c>
    </row>
    <row r="52" spans="1:3" x14ac:dyDescent="0.2">
      <c r="A52" t="s">
        <v>219</v>
      </c>
      <c r="B52" t="s">
        <v>219</v>
      </c>
      <c r="C52" t="s">
        <v>922</v>
      </c>
    </row>
    <row r="53" spans="1:3" x14ac:dyDescent="0.2">
      <c r="A53" t="s">
        <v>217</v>
      </c>
      <c r="B53" t="s">
        <v>1339</v>
      </c>
      <c r="C53" t="s">
        <v>921</v>
      </c>
    </row>
    <row r="54" spans="1:3" x14ac:dyDescent="0.2">
      <c r="A54" t="s">
        <v>220</v>
      </c>
      <c r="B54" t="s">
        <v>220</v>
      </c>
      <c r="C54" t="s">
        <v>1357</v>
      </c>
    </row>
    <row r="55" spans="1:3" x14ac:dyDescent="0.2">
      <c r="A55" t="s">
        <v>221</v>
      </c>
      <c r="B55" t="s">
        <v>221</v>
      </c>
      <c r="C55" t="s">
        <v>923</v>
      </c>
    </row>
    <row r="56" spans="1:3" x14ac:dyDescent="0.2">
      <c r="A56" t="s">
        <v>222</v>
      </c>
      <c r="B56" t="s">
        <v>222</v>
      </c>
      <c r="C56" t="s">
        <v>1359</v>
      </c>
    </row>
    <row r="57" spans="1:3" x14ac:dyDescent="0.2">
      <c r="A57" t="s">
        <v>223</v>
      </c>
      <c r="B57" t="s">
        <v>223</v>
      </c>
      <c r="C57" t="s">
        <v>924</v>
      </c>
    </row>
    <row r="58" spans="1:3" x14ac:dyDescent="0.2">
      <c r="A58" t="s">
        <v>230</v>
      </c>
      <c r="B58" t="s">
        <v>891</v>
      </c>
      <c r="C58" t="s">
        <v>1341</v>
      </c>
    </row>
    <row r="59" spans="1:3" x14ac:dyDescent="0.2">
      <c r="A59" t="s">
        <v>227</v>
      </c>
      <c r="B59" t="s">
        <v>227</v>
      </c>
      <c r="C59" t="s">
        <v>925</v>
      </c>
    </row>
    <row r="60" spans="1:3" x14ac:dyDescent="0.2">
      <c r="A60" t="s">
        <v>225</v>
      </c>
      <c r="B60" t="s">
        <v>225</v>
      </c>
      <c r="C60" t="s">
        <v>1360</v>
      </c>
    </row>
    <row r="61" spans="1:3" x14ac:dyDescent="0.2">
      <c r="A61" t="s">
        <v>224</v>
      </c>
      <c r="B61" t="s">
        <v>224</v>
      </c>
      <c r="C61" t="s">
        <v>1363</v>
      </c>
    </row>
    <row r="62" spans="1:3" x14ac:dyDescent="0.2">
      <c r="A62" t="s">
        <v>228</v>
      </c>
      <c r="B62" t="s">
        <v>228</v>
      </c>
      <c r="C62" t="s">
        <v>926</v>
      </c>
    </row>
    <row r="63" spans="1:3" x14ac:dyDescent="0.2">
      <c r="A63" t="s">
        <v>226</v>
      </c>
      <c r="B63" t="s">
        <v>226</v>
      </c>
      <c r="C63" t="s">
        <v>1361</v>
      </c>
    </row>
    <row r="64" spans="1:3" x14ac:dyDescent="0.2">
      <c r="A64" t="s">
        <v>229</v>
      </c>
      <c r="B64" t="s">
        <v>229</v>
      </c>
      <c r="C64" t="s">
        <v>927</v>
      </c>
    </row>
    <row r="65" spans="1:3" x14ac:dyDescent="0.2">
      <c r="A65" t="s">
        <v>232</v>
      </c>
      <c r="B65" t="s">
        <v>232</v>
      </c>
      <c r="C65" t="s">
        <v>928</v>
      </c>
    </row>
    <row r="66" spans="1:3" x14ac:dyDescent="0.2">
      <c r="A66" t="s">
        <v>233</v>
      </c>
      <c r="B66" t="s">
        <v>233</v>
      </c>
      <c r="C66" t="s">
        <v>929</v>
      </c>
    </row>
    <row r="67" spans="1:3" x14ac:dyDescent="0.2">
      <c r="A67" t="s">
        <v>231</v>
      </c>
      <c r="B67" t="s">
        <v>231</v>
      </c>
      <c r="C67" t="s">
        <v>1362</v>
      </c>
    </row>
    <row r="68" spans="1:3" x14ac:dyDescent="0.2">
      <c r="A68" t="s">
        <v>234</v>
      </c>
      <c r="B68" t="s">
        <v>234</v>
      </c>
      <c r="C68" t="s">
        <v>930</v>
      </c>
    </row>
    <row r="69" spans="1:3" x14ac:dyDescent="0.2">
      <c r="A69" t="s">
        <v>235</v>
      </c>
      <c r="B69" t="s">
        <v>235</v>
      </c>
      <c r="C69" t="s">
        <v>931</v>
      </c>
    </row>
    <row r="70" spans="1:3" x14ac:dyDescent="0.2">
      <c r="A70" t="s">
        <v>236</v>
      </c>
      <c r="B70" t="s">
        <v>236</v>
      </c>
      <c r="C70" t="s">
        <v>932</v>
      </c>
    </row>
    <row r="71" spans="1:3" x14ac:dyDescent="0.2">
      <c r="A71" t="s">
        <v>237</v>
      </c>
      <c r="B71" t="s">
        <v>237</v>
      </c>
      <c r="C71" t="s">
        <v>1364</v>
      </c>
    </row>
    <row r="72" spans="1:3" x14ac:dyDescent="0.2">
      <c r="A72" t="s">
        <v>238</v>
      </c>
      <c r="B72" t="s">
        <v>1366</v>
      </c>
      <c r="C72" t="s">
        <v>1367</v>
      </c>
    </row>
    <row r="73" spans="1:3" x14ac:dyDescent="0.2">
      <c r="A73" t="s">
        <v>239</v>
      </c>
      <c r="B73" t="s">
        <v>1366</v>
      </c>
      <c r="C73" t="s">
        <v>1367</v>
      </c>
    </row>
    <row r="74" spans="1:3" x14ac:dyDescent="0.2">
      <c r="A74" t="s">
        <v>240</v>
      </c>
      <c r="B74" t="s">
        <v>240</v>
      </c>
      <c r="C74" t="s">
        <v>933</v>
      </c>
    </row>
    <row r="75" spans="1:3" x14ac:dyDescent="0.2">
      <c r="A75" t="s">
        <v>834</v>
      </c>
      <c r="B75" t="s">
        <v>1632</v>
      </c>
      <c r="C75" t="s">
        <v>1633</v>
      </c>
    </row>
    <row r="76" spans="1:3" x14ac:dyDescent="0.2">
      <c r="A76" t="s">
        <v>241</v>
      </c>
      <c r="B76" t="s">
        <v>241</v>
      </c>
      <c r="C76" t="s">
        <v>1365</v>
      </c>
    </row>
    <row r="77" spans="1:3" x14ac:dyDescent="0.2">
      <c r="A77" t="s">
        <v>242</v>
      </c>
      <c r="B77" t="s">
        <v>242</v>
      </c>
      <c r="C77" t="s">
        <v>934</v>
      </c>
    </row>
    <row r="78" spans="1:3" x14ac:dyDescent="0.2">
      <c r="A78" t="s">
        <v>243</v>
      </c>
      <c r="B78" t="s">
        <v>243</v>
      </c>
      <c r="C78" t="s">
        <v>935</v>
      </c>
    </row>
    <row r="79" spans="1:3" x14ac:dyDescent="0.2">
      <c r="A79" t="s">
        <v>244</v>
      </c>
      <c r="B79" t="s">
        <v>244</v>
      </c>
      <c r="C79" t="s">
        <v>936</v>
      </c>
    </row>
    <row r="80" spans="1:3" x14ac:dyDescent="0.2">
      <c r="A80" t="s">
        <v>246</v>
      </c>
      <c r="B80" t="s">
        <v>246</v>
      </c>
      <c r="C80" t="s">
        <v>937</v>
      </c>
    </row>
    <row r="81" spans="1:3" x14ac:dyDescent="0.2">
      <c r="A81" t="s">
        <v>247</v>
      </c>
      <c r="B81" t="s">
        <v>247</v>
      </c>
      <c r="C81" t="s">
        <v>938</v>
      </c>
    </row>
    <row r="82" spans="1:3" x14ac:dyDescent="0.2">
      <c r="A82" t="s">
        <v>245</v>
      </c>
      <c r="B82" t="s">
        <v>245</v>
      </c>
      <c r="C82" t="s">
        <v>1368</v>
      </c>
    </row>
    <row r="83" spans="1:3" x14ac:dyDescent="0.2">
      <c r="A83" t="s">
        <v>248</v>
      </c>
      <c r="B83" t="s">
        <v>1372</v>
      </c>
      <c r="C83" t="s">
        <v>1373</v>
      </c>
    </row>
    <row r="84" spans="1:3" x14ac:dyDescent="0.2">
      <c r="A84" t="s">
        <v>249</v>
      </c>
      <c r="B84" t="s">
        <v>249</v>
      </c>
      <c r="C84" t="s">
        <v>1369</v>
      </c>
    </row>
    <row r="85" spans="1:3" x14ac:dyDescent="0.2">
      <c r="A85" t="s">
        <v>251</v>
      </c>
      <c r="B85" t="s">
        <v>251</v>
      </c>
      <c r="C85" t="s">
        <v>939</v>
      </c>
    </row>
    <row r="86" spans="1:3" x14ac:dyDescent="0.2">
      <c r="A86" t="s">
        <v>252</v>
      </c>
      <c r="B86" t="s">
        <v>252</v>
      </c>
      <c r="C86" t="s">
        <v>940</v>
      </c>
    </row>
    <row r="87" spans="1:3" x14ac:dyDescent="0.2">
      <c r="A87" t="s">
        <v>250</v>
      </c>
      <c r="B87" t="s">
        <v>250</v>
      </c>
      <c r="C87" t="s">
        <v>1370</v>
      </c>
    </row>
    <row r="88" spans="1:3" x14ac:dyDescent="0.2">
      <c r="A88" t="s">
        <v>253</v>
      </c>
      <c r="B88" t="s">
        <v>253</v>
      </c>
      <c r="C88" t="s">
        <v>941</v>
      </c>
    </row>
    <row r="89" spans="1:3" x14ac:dyDescent="0.2">
      <c r="A89" t="s">
        <v>255</v>
      </c>
      <c r="B89" t="s">
        <v>255</v>
      </c>
      <c r="C89" t="s">
        <v>943</v>
      </c>
    </row>
    <row r="90" spans="1:3" x14ac:dyDescent="0.2">
      <c r="A90" t="s">
        <v>261</v>
      </c>
      <c r="B90" t="s">
        <v>261</v>
      </c>
      <c r="C90" t="s">
        <v>1377</v>
      </c>
    </row>
    <row r="91" spans="1:3" x14ac:dyDescent="0.2">
      <c r="A91" t="s">
        <v>257</v>
      </c>
      <c r="B91" t="s">
        <v>257</v>
      </c>
      <c r="C91" t="s">
        <v>944</v>
      </c>
    </row>
    <row r="92" spans="1:3" x14ac:dyDescent="0.2">
      <c r="A92" t="s">
        <v>258</v>
      </c>
      <c r="B92" t="s">
        <v>258</v>
      </c>
      <c r="C92" t="s">
        <v>945</v>
      </c>
    </row>
    <row r="93" spans="1:3" x14ac:dyDescent="0.2">
      <c r="A93" t="s">
        <v>259</v>
      </c>
      <c r="B93" t="s">
        <v>259</v>
      </c>
      <c r="C93" t="s">
        <v>946</v>
      </c>
    </row>
    <row r="94" spans="1:3" x14ac:dyDescent="0.2">
      <c r="A94" t="s">
        <v>254</v>
      </c>
      <c r="B94" t="s">
        <v>1375</v>
      </c>
      <c r="C94" t="s">
        <v>942</v>
      </c>
    </row>
    <row r="95" spans="1:3" x14ac:dyDescent="0.2">
      <c r="A95" t="s">
        <v>256</v>
      </c>
      <c r="B95" t="s">
        <v>256</v>
      </c>
      <c r="C95" t="s">
        <v>1371</v>
      </c>
    </row>
    <row r="96" spans="1:3" x14ac:dyDescent="0.2">
      <c r="A96" t="s">
        <v>260</v>
      </c>
      <c r="B96" t="s">
        <v>260</v>
      </c>
      <c r="C96" t="s">
        <v>947</v>
      </c>
    </row>
    <row r="97" spans="1:3" x14ac:dyDescent="0.2">
      <c r="A97" t="s">
        <v>262</v>
      </c>
      <c r="B97" t="s">
        <v>262</v>
      </c>
      <c r="C97" t="s">
        <v>1374</v>
      </c>
    </row>
    <row r="98" spans="1:3" x14ac:dyDescent="0.2">
      <c r="A98" t="s">
        <v>263</v>
      </c>
      <c r="B98" t="s">
        <v>263</v>
      </c>
      <c r="C98" t="s">
        <v>948</v>
      </c>
    </row>
    <row r="99" spans="1:3" x14ac:dyDescent="0.2">
      <c r="A99" t="s">
        <v>265</v>
      </c>
      <c r="B99" t="s">
        <v>265</v>
      </c>
      <c r="C99" t="s">
        <v>949</v>
      </c>
    </row>
    <row r="100" spans="1:3" x14ac:dyDescent="0.2">
      <c r="A100" t="s">
        <v>266</v>
      </c>
      <c r="B100" t="s">
        <v>266</v>
      </c>
      <c r="C100" t="s">
        <v>950</v>
      </c>
    </row>
    <row r="101" spans="1:3" x14ac:dyDescent="0.2">
      <c r="A101" t="s">
        <v>267</v>
      </c>
      <c r="B101" t="s">
        <v>267</v>
      </c>
      <c r="C101" t="s">
        <v>951</v>
      </c>
    </row>
    <row r="102" spans="1:3" x14ac:dyDescent="0.2">
      <c r="A102" t="s">
        <v>268</v>
      </c>
      <c r="B102" t="s">
        <v>268</v>
      </c>
      <c r="C102" t="s">
        <v>952</v>
      </c>
    </row>
    <row r="103" spans="1:3" x14ac:dyDescent="0.2">
      <c r="A103" t="s">
        <v>264</v>
      </c>
      <c r="B103" t="s">
        <v>264</v>
      </c>
      <c r="C103" t="s">
        <v>1376</v>
      </c>
    </row>
    <row r="104" spans="1:3" x14ac:dyDescent="0.2">
      <c r="A104" t="s">
        <v>269</v>
      </c>
      <c r="B104" t="s">
        <v>269</v>
      </c>
      <c r="C104" t="s">
        <v>953</v>
      </c>
    </row>
    <row r="105" spans="1:3" x14ac:dyDescent="0.2">
      <c r="A105" t="s">
        <v>270</v>
      </c>
      <c r="B105" t="s">
        <v>270</v>
      </c>
      <c r="C105" t="s">
        <v>1378</v>
      </c>
    </row>
    <row r="106" spans="1:3" x14ac:dyDescent="0.2">
      <c r="A106" t="s">
        <v>271</v>
      </c>
      <c r="B106" t="s">
        <v>271</v>
      </c>
      <c r="C106" t="s">
        <v>1379</v>
      </c>
    </row>
    <row r="107" spans="1:3" x14ac:dyDescent="0.2">
      <c r="A107" t="s">
        <v>273</v>
      </c>
      <c r="B107" t="s">
        <v>273</v>
      </c>
      <c r="C107" t="s">
        <v>954</v>
      </c>
    </row>
    <row r="108" spans="1:3" x14ac:dyDescent="0.2">
      <c r="A108" t="s">
        <v>274</v>
      </c>
      <c r="B108" t="s">
        <v>274</v>
      </c>
      <c r="C108" t="s">
        <v>1380</v>
      </c>
    </row>
    <row r="109" spans="1:3" x14ac:dyDescent="0.2">
      <c r="A109" t="s">
        <v>277</v>
      </c>
      <c r="B109" t="s">
        <v>277</v>
      </c>
      <c r="C109" t="s">
        <v>957</v>
      </c>
    </row>
    <row r="110" spans="1:3" x14ac:dyDescent="0.2">
      <c r="A110" t="s">
        <v>275</v>
      </c>
      <c r="B110" t="s">
        <v>275</v>
      </c>
      <c r="C110" t="s">
        <v>955</v>
      </c>
    </row>
    <row r="111" spans="1:3" x14ac:dyDescent="0.2">
      <c r="A111" t="s">
        <v>276</v>
      </c>
      <c r="B111" t="s">
        <v>276</v>
      </c>
      <c r="C111" t="s">
        <v>956</v>
      </c>
    </row>
    <row r="112" spans="1:3" x14ac:dyDescent="0.2">
      <c r="A112" t="s">
        <v>667</v>
      </c>
      <c r="B112" t="s">
        <v>276</v>
      </c>
      <c r="C112" t="s">
        <v>956</v>
      </c>
    </row>
    <row r="113" spans="1:3" x14ac:dyDescent="0.2">
      <c r="A113" t="s">
        <v>278</v>
      </c>
      <c r="B113" t="s">
        <v>278</v>
      </c>
      <c r="C113" t="s">
        <v>958</v>
      </c>
    </row>
    <row r="114" spans="1:3" x14ac:dyDescent="0.2">
      <c r="A114" t="s">
        <v>283</v>
      </c>
      <c r="B114" t="s">
        <v>1386</v>
      </c>
      <c r="C114" t="s">
        <v>959</v>
      </c>
    </row>
    <row r="115" spans="1:3" x14ac:dyDescent="0.2">
      <c r="A115" t="s">
        <v>279</v>
      </c>
      <c r="B115" t="s">
        <v>279</v>
      </c>
      <c r="C115" t="s">
        <v>1381</v>
      </c>
    </row>
    <row r="116" spans="1:3" x14ac:dyDescent="0.2">
      <c r="A116" t="s">
        <v>284</v>
      </c>
      <c r="B116" t="s">
        <v>1387</v>
      </c>
      <c r="C116" t="s">
        <v>960</v>
      </c>
    </row>
    <row r="117" spans="1:3" x14ac:dyDescent="0.2">
      <c r="A117" t="s">
        <v>285</v>
      </c>
      <c r="B117" t="s">
        <v>285</v>
      </c>
      <c r="C117" t="s">
        <v>1388</v>
      </c>
    </row>
    <row r="118" spans="1:3" x14ac:dyDescent="0.2">
      <c r="A118" t="s">
        <v>287</v>
      </c>
      <c r="B118" t="s">
        <v>287</v>
      </c>
      <c r="C118" t="s">
        <v>961</v>
      </c>
    </row>
    <row r="119" spans="1:3" x14ac:dyDescent="0.2">
      <c r="A119" t="s">
        <v>286</v>
      </c>
      <c r="B119" t="s">
        <v>1389</v>
      </c>
      <c r="C119" t="s">
        <v>1390</v>
      </c>
    </row>
    <row r="120" spans="1:3" x14ac:dyDescent="0.2">
      <c r="A120" t="s">
        <v>289</v>
      </c>
      <c r="B120" t="s">
        <v>289</v>
      </c>
      <c r="C120" t="s">
        <v>963</v>
      </c>
    </row>
    <row r="121" spans="1:3" x14ac:dyDescent="0.2">
      <c r="A121" t="s">
        <v>288</v>
      </c>
      <c r="B121" t="s">
        <v>288</v>
      </c>
      <c r="C121" t="s">
        <v>962</v>
      </c>
    </row>
    <row r="122" spans="1:3" x14ac:dyDescent="0.2">
      <c r="A122" t="s">
        <v>291</v>
      </c>
      <c r="B122" t="s">
        <v>291</v>
      </c>
      <c r="C122" t="s">
        <v>965</v>
      </c>
    </row>
    <row r="123" spans="1:3" x14ac:dyDescent="0.2">
      <c r="A123" t="s">
        <v>293</v>
      </c>
      <c r="B123" t="s">
        <v>293</v>
      </c>
      <c r="C123" t="s">
        <v>966</v>
      </c>
    </row>
    <row r="124" spans="1:3" x14ac:dyDescent="0.2">
      <c r="A124" t="s">
        <v>290</v>
      </c>
      <c r="B124" t="s">
        <v>290</v>
      </c>
      <c r="C124" t="s">
        <v>964</v>
      </c>
    </row>
    <row r="125" spans="1:3" x14ac:dyDescent="0.2">
      <c r="A125" t="s">
        <v>292</v>
      </c>
      <c r="B125" t="s">
        <v>292</v>
      </c>
      <c r="C125" t="s">
        <v>1391</v>
      </c>
    </row>
    <row r="126" spans="1:3" x14ac:dyDescent="0.2">
      <c r="A126" t="s">
        <v>294</v>
      </c>
      <c r="B126" t="s">
        <v>294</v>
      </c>
      <c r="C126" t="s">
        <v>967</v>
      </c>
    </row>
    <row r="127" spans="1:3" x14ac:dyDescent="0.2">
      <c r="A127" t="s">
        <v>295</v>
      </c>
      <c r="B127" t="s">
        <v>295</v>
      </c>
      <c r="C127" t="s">
        <v>968</v>
      </c>
    </row>
    <row r="128" spans="1:3" x14ac:dyDescent="0.2">
      <c r="A128" t="s">
        <v>296</v>
      </c>
      <c r="B128" t="s">
        <v>296</v>
      </c>
      <c r="C128" t="s">
        <v>969</v>
      </c>
    </row>
    <row r="129" spans="1:3" x14ac:dyDescent="0.2">
      <c r="A129" t="s">
        <v>656</v>
      </c>
      <c r="B129" t="s">
        <v>1562</v>
      </c>
      <c r="C129" t="s">
        <v>1392</v>
      </c>
    </row>
    <row r="130" spans="1:3" x14ac:dyDescent="0.2">
      <c r="A130" t="s">
        <v>299</v>
      </c>
      <c r="B130" t="s">
        <v>299</v>
      </c>
      <c r="C130" t="s">
        <v>1205</v>
      </c>
    </row>
    <row r="131" spans="1:3" x14ac:dyDescent="0.2">
      <c r="A131" t="s">
        <v>657</v>
      </c>
      <c r="B131" t="s">
        <v>299</v>
      </c>
      <c r="C131" t="s">
        <v>1205</v>
      </c>
    </row>
    <row r="132" spans="1:3" x14ac:dyDescent="0.2">
      <c r="A132" t="s">
        <v>300</v>
      </c>
      <c r="B132" t="s">
        <v>300</v>
      </c>
      <c r="C132" t="s">
        <v>970</v>
      </c>
    </row>
    <row r="133" spans="1:3" x14ac:dyDescent="0.2">
      <c r="A133" t="s">
        <v>658</v>
      </c>
      <c r="B133" t="s">
        <v>1561</v>
      </c>
      <c r="C133" t="s">
        <v>1206</v>
      </c>
    </row>
    <row r="134" spans="1:3" x14ac:dyDescent="0.2">
      <c r="A134" t="s">
        <v>301</v>
      </c>
      <c r="B134" t="s">
        <v>301</v>
      </c>
      <c r="C134" t="s">
        <v>971</v>
      </c>
    </row>
    <row r="135" spans="1:3" x14ac:dyDescent="0.2">
      <c r="A135" t="s">
        <v>302</v>
      </c>
      <c r="B135" t="s">
        <v>302</v>
      </c>
      <c r="C135" t="s">
        <v>972</v>
      </c>
    </row>
    <row r="136" spans="1:3" x14ac:dyDescent="0.2">
      <c r="A136" t="s">
        <v>304</v>
      </c>
      <c r="B136" t="s">
        <v>304</v>
      </c>
      <c r="C136" t="s">
        <v>1397</v>
      </c>
    </row>
    <row r="137" spans="1:3" x14ac:dyDescent="0.2">
      <c r="A137" t="s">
        <v>307</v>
      </c>
      <c r="B137" t="s">
        <v>307</v>
      </c>
      <c r="C137" t="s">
        <v>973</v>
      </c>
    </row>
    <row r="138" spans="1:3" x14ac:dyDescent="0.2">
      <c r="A138" t="s">
        <v>303</v>
      </c>
      <c r="B138" t="s">
        <v>303</v>
      </c>
      <c r="C138" t="s">
        <v>1398</v>
      </c>
    </row>
    <row r="139" spans="1:3" x14ac:dyDescent="0.2">
      <c r="A139" t="s">
        <v>305</v>
      </c>
      <c r="B139" t="s">
        <v>305</v>
      </c>
      <c r="C139" t="s">
        <v>974</v>
      </c>
    </row>
    <row r="140" spans="1:3" x14ac:dyDescent="0.2">
      <c r="A140" t="s">
        <v>308</v>
      </c>
      <c r="B140" t="s">
        <v>1399</v>
      </c>
      <c r="C140" t="s">
        <v>976</v>
      </c>
    </row>
    <row r="141" spans="1:3" x14ac:dyDescent="0.2">
      <c r="A141" t="s">
        <v>306</v>
      </c>
      <c r="B141" t="s">
        <v>306</v>
      </c>
      <c r="C141" t="s">
        <v>975</v>
      </c>
    </row>
    <row r="142" spans="1:3" x14ac:dyDescent="0.2">
      <c r="A142" t="s">
        <v>324</v>
      </c>
      <c r="B142" t="s">
        <v>324</v>
      </c>
      <c r="C142" t="s">
        <v>977</v>
      </c>
    </row>
    <row r="143" spans="1:3" x14ac:dyDescent="0.2">
      <c r="A143" t="s">
        <v>325</v>
      </c>
      <c r="B143" t="s">
        <v>325</v>
      </c>
      <c r="C143" t="s">
        <v>978</v>
      </c>
    </row>
    <row r="144" spans="1:3" x14ac:dyDescent="0.2">
      <c r="A144" t="s">
        <v>326</v>
      </c>
      <c r="B144" t="s">
        <v>326</v>
      </c>
      <c r="C144" t="s">
        <v>979</v>
      </c>
    </row>
    <row r="145" spans="1:3" x14ac:dyDescent="0.2">
      <c r="A145" t="s">
        <v>322</v>
      </c>
      <c r="B145" t="s">
        <v>322</v>
      </c>
      <c r="C145" t="s">
        <v>1409</v>
      </c>
    </row>
    <row r="146" spans="1:3" x14ac:dyDescent="0.2">
      <c r="A146" t="s">
        <v>327</v>
      </c>
      <c r="B146" t="s">
        <v>327</v>
      </c>
      <c r="C146" t="s">
        <v>980</v>
      </c>
    </row>
    <row r="147" spans="1:3" x14ac:dyDescent="0.2">
      <c r="A147" t="s">
        <v>328</v>
      </c>
      <c r="B147" t="s">
        <v>328</v>
      </c>
      <c r="C147" t="s">
        <v>981</v>
      </c>
    </row>
    <row r="148" spans="1:3" x14ac:dyDescent="0.2">
      <c r="A148" t="s">
        <v>323</v>
      </c>
      <c r="B148" t="s">
        <v>323</v>
      </c>
      <c r="C148" t="s">
        <v>1410</v>
      </c>
    </row>
    <row r="149" spans="1:3" x14ac:dyDescent="0.2">
      <c r="A149" t="s">
        <v>329</v>
      </c>
      <c r="B149" t="s">
        <v>329</v>
      </c>
      <c r="C149" t="s">
        <v>982</v>
      </c>
    </row>
    <row r="150" spans="1:3" x14ac:dyDescent="0.2">
      <c r="A150" t="s">
        <v>330</v>
      </c>
      <c r="B150" t="s">
        <v>330</v>
      </c>
      <c r="C150" t="s">
        <v>983</v>
      </c>
    </row>
    <row r="151" spans="1:3" x14ac:dyDescent="0.2">
      <c r="A151" t="s">
        <v>332</v>
      </c>
      <c r="B151" t="s">
        <v>332</v>
      </c>
      <c r="C151" t="s">
        <v>984</v>
      </c>
    </row>
    <row r="152" spans="1:3" x14ac:dyDescent="0.2">
      <c r="A152" t="s">
        <v>331</v>
      </c>
      <c r="B152" t="s">
        <v>331</v>
      </c>
      <c r="C152" t="s">
        <v>1411</v>
      </c>
    </row>
    <row r="153" spans="1:3" x14ac:dyDescent="0.2">
      <c r="A153" t="s">
        <v>282</v>
      </c>
      <c r="B153" t="s">
        <v>1385</v>
      </c>
      <c r="C153" t="s">
        <v>985</v>
      </c>
    </row>
    <row r="154" spans="1:3" x14ac:dyDescent="0.2">
      <c r="A154" t="s">
        <v>335</v>
      </c>
      <c r="B154" t="s">
        <v>335</v>
      </c>
      <c r="C154" t="s">
        <v>986</v>
      </c>
    </row>
    <row r="155" spans="1:3" x14ac:dyDescent="0.2">
      <c r="A155" t="s">
        <v>334</v>
      </c>
      <c r="B155" t="s">
        <v>334</v>
      </c>
      <c r="C155" t="s">
        <v>1412</v>
      </c>
    </row>
    <row r="156" spans="1:3" x14ac:dyDescent="0.2">
      <c r="A156" t="s">
        <v>336</v>
      </c>
      <c r="B156" t="s">
        <v>1417</v>
      </c>
      <c r="C156" t="s">
        <v>1418</v>
      </c>
    </row>
    <row r="157" spans="1:3" x14ac:dyDescent="0.2">
      <c r="A157" t="s">
        <v>337</v>
      </c>
      <c r="B157" t="s">
        <v>1419</v>
      </c>
      <c r="C157" t="s">
        <v>1420</v>
      </c>
    </row>
    <row r="158" spans="1:3" x14ac:dyDescent="0.2">
      <c r="A158" t="s">
        <v>833</v>
      </c>
      <c r="B158" t="s">
        <v>1631</v>
      </c>
      <c r="C158" t="s">
        <v>1324</v>
      </c>
    </row>
    <row r="159" spans="1:3" x14ac:dyDescent="0.2">
      <c r="A159" t="s">
        <v>338</v>
      </c>
      <c r="B159" t="s">
        <v>338</v>
      </c>
      <c r="C159" t="s">
        <v>987</v>
      </c>
    </row>
    <row r="160" spans="1:3" x14ac:dyDescent="0.2">
      <c r="A160" t="s">
        <v>341</v>
      </c>
      <c r="B160" t="s">
        <v>341</v>
      </c>
      <c r="C160" t="s">
        <v>988</v>
      </c>
    </row>
    <row r="161" spans="1:3" x14ac:dyDescent="0.2">
      <c r="A161" t="s">
        <v>493</v>
      </c>
      <c r="B161" t="s">
        <v>1486</v>
      </c>
      <c r="C161" t="s">
        <v>1097</v>
      </c>
    </row>
    <row r="162" spans="1:3" x14ac:dyDescent="0.2">
      <c r="A162" t="s">
        <v>342</v>
      </c>
      <c r="B162" t="s">
        <v>989</v>
      </c>
      <c r="C162" t="s">
        <v>1422</v>
      </c>
    </row>
    <row r="163" spans="1:3" x14ac:dyDescent="0.2">
      <c r="A163" t="s">
        <v>340</v>
      </c>
      <c r="B163" t="s">
        <v>340</v>
      </c>
      <c r="C163" t="s">
        <v>1413</v>
      </c>
    </row>
    <row r="164" spans="1:3" x14ac:dyDescent="0.2">
      <c r="A164" t="s">
        <v>346</v>
      </c>
      <c r="B164" t="s">
        <v>346</v>
      </c>
      <c r="C164" t="s">
        <v>1415</v>
      </c>
    </row>
    <row r="165" spans="1:3" x14ac:dyDescent="0.2">
      <c r="A165" t="s">
        <v>347</v>
      </c>
      <c r="B165" t="s">
        <v>347</v>
      </c>
      <c r="C165" t="s">
        <v>990</v>
      </c>
    </row>
    <row r="166" spans="1:3" x14ac:dyDescent="0.2">
      <c r="A166" t="s">
        <v>348</v>
      </c>
      <c r="B166" t="s">
        <v>348</v>
      </c>
      <c r="C166" t="s">
        <v>1416</v>
      </c>
    </row>
    <row r="167" spans="1:3" x14ac:dyDescent="0.2">
      <c r="A167" t="s">
        <v>349</v>
      </c>
      <c r="B167" t="s">
        <v>349</v>
      </c>
      <c r="C167" t="s">
        <v>991</v>
      </c>
    </row>
    <row r="168" spans="1:3" x14ac:dyDescent="0.2">
      <c r="A168" t="s">
        <v>350</v>
      </c>
      <c r="B168" t="s">
        <v>350</v>
      </c>
      <c r="C168" t="s">
        <v>992</v>
      </c>
    </row>
    <row r="169" spans="1:3" x14ac:dyDescent="0.2">
      <c r="A169" t="s">
        <v>500</v>
      </c>
      <c r="B169" t="s">
        <v>1490</v>
      </c>
      <c r="C169" t="s">
        <v>1099</v>
      </c>
    </row>
    <row r="170" spans="1:3" x14ac:dyDescent="0.2">
      <c r="A170" t="s">
        <v>352</v>
      </c>
      <c r="B170" t="s">
        <v>351</v>
      </c>
      <c r="C170" t="s">
        <v>994</v>
      </c>
    </row>
    <row r="171" spans="1:3" x14ac:dyDescent="0.2">
      <c r="A171" t="s">
        <v>351</v>
      </c>
      <c r="B171" t="s">
        <v>1426</v>
      </c>
      <c r="C171" t="s">
        <v>993</v>
      </c>
    </row>
    <row r="172" spans="1:3" x14ac:dyDescent="0.2">
      <c r="A172" t="s">
        <v>353</v>
      </c>
      <c r="B172" t="s">
        <v>1427</v>
      </c>
      <c r="C172" t="s">
        <v>995</v>
      </c>
    </row>
    <row r="173" spans="1:3" x14ac:dyDescent="0.2">
      <c r="A173" t="s">
        <v>356</v>
      </c>
      <c r="B173" t="s">
        <v>356</v>
      </c>
      <c r="C173" t="s">
        <v>997</v>
      </c>
    </row>
    <row r="174" spans="1:3" x14ac:dyDescent="0.2">
      <c r="A174" t="s">
        <v>362</v>
      </c>
      <c r="B174" t="s">
        <v>362</v>
      </c>
      <c r="C174" t="s">
        <v>1002</v>
      </c>
    </row>
    <row r="175" spans="1:3" x14ac:dyDescent="0.2">
      <c r="A175" t="s">
        <v>357</v>
      </c>
      <c r="B175" t="s">
        <v>357</v>
      </c>
      <c r="C175" t="s">
        <v>998</v>
      </c>
    </row>
    <row r="176" spans="1:3" x14ac:dyDescent="0.2">
      <c r="A176" t="s">
        <v>358</v>
      </c>
      <c r="B176" t="s">
        <v>358</v>
      </c>
      <c r="C176" t="s">
        <v>999</v>
      </c>
    </row>
    <row r="177" spans="1:3" x14ac:dyDescent="0.2">
      <c r="A177" t="s">
        <v>360</v>
      </c>
      <c r="B177" t="s">
        <v>360</v>
      </c>
      <c r="C177" t="s">
        <v>1000</v>
      </c>
    </row>
    <row r="178" spans="1:3" x14ac:dyDescent="0.2">
      <c r="A178" t="s">
        <v>354</v>
      </c>
      <c r="B178" t="s">
        <v>354</v>
      </c>
      <c r="C178" t="s">
        <v>1425</v>
      </c>
    </row>
    <row r="179" spans="1:3" x14ac:dyDescent="0.2">
      <c r="A179" t="s">
        <v>361</v>
      </c>
      <c r="B179" t="s">
        <v>361</v>
      </c>
      <c r="C179" t="s">
        <v>1001</v>
      </c>
    </row>
    <row r="180" spans="1:3" x14ac:dyDescent="0.2">
      <c r="A180" t="s">
        <v>363</v>
      </c>
      <c r="B180" t="s">
        <v>363</v>
      </c>
      <c r="C180" t="s">
        <v>1429</v>
      </c>
    </row>
    <row r="181" spans="1:3" x14ac:dyDescent="0.2">
      <c r="A181" t="s">
        <v>364</v>
      </c>
      <c r="B181" t="s">
        <v>364</v>
      </c>
      <c r="C181" t="s">
        <v>1430</v>
      </c>
    </row>
    <row r="182" spans="1:3" x14ac:dyDescent="0.2">
      <c r="A182" t="s">
        <v>205</v>
      </c>
      <c r="B182" t="s">
        <v>365</v>
      </c>
      <c r="C182" t="s">
        <v>1003</v>
      </c>
    </row>
    <row r="183" spans="1:3" x14ac:dyDescent="0.2">
      <c r="A183" t="s">
        <v>333</v>
      </c>
      <c r="B183" t="s">
        <v>365</v>
      </c>
      <c r="C183" t="s">
        <v>1003</v>
      </c>
    </row>
    <row r="184" spans="1:3" x14ac:dyDescent="0.2">
      <c r="A184" t="s">
        <v>365</v>
      </c>
      <c r="B184" t="s">
        <v>365</v>
      </c>
      <c r="C184" t="s">
        <v>1003</v>
      </c>
    </row>
    <row r="185" spans="1:3" x14ac:dyDescent="0.2">
      <c r="A185" t="s">
        <v>748</v>
      </c>
      <c r="B185" t="s">
        <v>1599</v>
      </c>
      <c r="C185" t="s">
        <v>1600</v>
      </c>
    </row>
    <row r="186" spans="1:3" x14ac:dyDescent="0.2">
      <c r="A186" t="s">
        <v>367</v>
      </c>
      <c r="B186" t="s">
        <v>367</v>
      </c>
      <c r="C186" t="s">
        <v>1004</v>
      </c>
    </row>
    <row r="187" spans="1:3" x14ac:dyDescent="0.2">
      <c r="A187" t="s">
        <v>366</v>
      </c>
      <c r="B187" t="s">
        <v>366</v>
      </c>
      <c r="C187" t="s">
        <v>1431</v>
      </c>
    </row>
    <row r="188" spans="1:3" x14ac:dyDescent="0.2">
      <c r="A188" t="s">
        <v>370</v>
      </c>
      <c r="B188" t="s">
        <v>370</v>
      </c>
      <c r="C188" t="s">
        <v>1005</v>
      </c>
    </row>
    <row r="189" spans="1:3" x14ac:dyDescent="0.2">
      <c r="A189" t="s">
        <v>368</v>
      </c>
      <c r="B189" t="s">
        <v>368</v>
      </c>
      <c r="C189" t="s">
        <v>1434</v>
      </c>
    </row>
    <row r="190" spans="1:3" x14ac:dyDescent="0.2">
      <c r="A190" t="s">
        <v>369</v>
      </c>
      <c r="B190" t="s">
        <v>369</v>
      </c>
      <c r="C190" t="s">
        <v>1433</v>
      </c>
    </row>
    <row r="191" spans="1:3" x14ac:dyDescent="0.2">
      <c r="A191" t="s">
        <v>371</v>
      </c>
      <c r="B191" t="s">
        <v>371</v>
      </c>
      <c r="C191" t="s">
        <v>1006</v>
      </c>
    </row>
    <row r="192" spans="1:3" x14ac:dyDescent="0.2">
      <c r="A192" t="s">
        <v>372</v>
      </c>
      <c r="B192" t="s">
        <v>372</v>
      </c>
      <c r="C192" t="s">
        <v>1436</v>
      </c>
    </row>
    <row r="193" spans="1:3" x14ac:dyDescent="0.2">
      <c r="A193" t="s">
        <v>373</v>
      </c>
      <c r="B193" t="s">
        <v>373</v>
      </c>
      <c r="C193" t="s">
        <v>1007</v>
      </c>
    </row>
    <row r="194" spans="1:3" x14ac:dyDescent="0.2">
      <c r="A194" t="s">
        <v>375</v>
      </c>
      <c r="B194" t="s">
        <v>375</v>
      </c>
      <c r="C194" t="s">
        <v>1009</v>
      </c>
    </row>
    <row r="195" spans="1:3" x14ac:dyDescent="0.2">
      <c r="A195" t="s">
        <v>374</v>
      </c>
      <c r="B195" t="s">
        <v>374</v>
      </c>
      <c r="C195" t="s">
        <v>1008</v>
      </c>
    </row>
    <row r="196" spans="1:3" x14ac:dyDescent="0.2">
      <c r="A196" t="s">
        <v>376</v>
      </c>
      <c r="B196" t="s">
        <v>376</v>
      </c>
      <c r="C196" t="s">
        <v>1010</v>
      </c>
    </row>
    <row r="197" spans="1:3" x14ac:dyDescent="0.2">
      <c r="A197" t="s">
        <v>378</v>
      </c>
      <c r="B197" t="s">
        <v>378</v>
      </c>
      <c r="C197" t="s">
        <v>1011</v>
      </c>
    </row>
    <row r="198" spans="1:3" x14ac:dyDescent="0.2">
      <c r="A198" t="s">
        <v>379</v>
      </c>
      <c r="B198" t="s">
        <v>379</v>
      </c>
      <c r="C198" t="s">
        <v>1012</v>
      </c>
    </row>
    <row r="199" spans="1:3" x14ac:dyDescent="0.2">
      <c r="A199" t="s">
        <v>380</v>
      </c>
      <c r="B199" t="s">
        <v>380</v>
      </c>
      <c r="C199" t="s">
        <v>1013</v>
      </c>
    </row>
    <row r="200" spans="1:3" x14ac:dyDescent="0.2">
      <c r="A200" t="s">
        <v>381</v>
      </c>
      <c r="B200" t="s">
        <v>381</v>
      </c>
      <c r="C200" t="s">
        <v>1014</v>
      </c>
    </row>
    <row r="201" spans="1:3" x14ac:dyDescent="0.2">
      <c r="A201" t="s">
        <v>339</v>
      </c>
      <c r="B201" t="s">
        <v>1421</v>
      </c>
      <c r="C201" t="s">
        <v>1015</v>
      </c>
    </row>
    <row r="202" spans="1:3" x14ac:dyDescent="0.2">
      <c r="A202" t="s">
        <v>383</v>
      </c>
      <c r="B202" t="s">
        <v>383</v>
      </c>
      <c r="C202" t="s">
        <v>1016</v>
      </c>
    </row>
    <row r="203" spans="1:3" x14ac:dyDescent="0.2">
      <c r="A203" t="s">
        <v>382</v>
      </c>
      <c r="B203" t="s">
        <v>382</v>
      </c>
      <c r="C203" t="s">
        <v>1435</v>
      </c>
    </row>
    <row r="204" spans="1:3" x14ac:dyDescent="0.2">
      <c r="A204" t="s">
        <v>384</v>
      </c>
      <c r="B204" t="s">
        <v>384</v>
      </c>
      <c r="C204" t="s">
        <v>1438</v>
      </c>
    </row>
    <row r="205" spans="1:3" x14ac:dyDescent="0.2">
      <c r="A205" t="s">
        <v>385</v>
      </c>
      <c r="B205" t="s">
        <v>385</v>
      </c>
      <c r="C205" t="s">
        <v>1017</v>
      </c>
    </row>
    <row r="206" spans="1:3" x14ac:dyDescent="0.2">
      <c r="A206" t="s">
        <v>386</v>
      </c>
      <c r="B206" t="s">
        <v>386</v>
      </c>
      <c r="C206" t="s">
        <v>1018</v>
      </c>
    </row>
    <row r="207" spans="1:3" x14ac:dyDescent="0.2">
      <c r="A207" t="s">
        <v>387</v>
      </c>
      <c r="B207" t="s">
        <v>387</v>
      </c>
      <c r="C207" t="s">
        <v>1439</v>
      </c>
    </row>
    <row r="208" spans="1:3" x14ac:dyDescent="0.2">
      <c r="A208" t="s">
        <v>447</v>
      </c>
      <c r="B208" t="s">
        <v>1459</v>
      </c>
      <c r="C208" t="s">
        <v>1073</v>
      </c>
    </row>
    <row r="209" spans="1:3" x14ac:dyDescent="0.2">
      <c r="A209" t="s">
        <v>388</v>
      </c>
      <c r="B209" t="s">
        <v>388</v>
      </c>
      <c r="C209" t="s">
        <v>1019</v>
      </c>
    </row>
    <row r="210" spans="1:3" x14ac:dyDescent="0.2">
      <c r="A210" t="s">
        <v>389</v>
      </c>
      <c r="B210" t="s">
        <v>1442</v>
      </c>
      <c r="C210" t="s">
        <v>1020</v>
      </c>
    </row>
    <row r="211" spans="1:3" x14ac:dyDescent="0.2">
      <c r="A211" t="s">
        <v>390</v>
      </c>
      <c r="B211" t="s">
        <v>390</v>
      </c>
      <c r="C211" t="s">
        <v>1440</v>
      </c>
    </row>
    <row r="212" spans="1:3" x14ac:dyDescent="0.2">
      <c r="A212" t="s">
        <v>391</v>
      </c>
      <c r="B212" t="s">
        <v>391</v>
      </c>
      <c r="C212" t="s">
        <v>1021</v>
      </c>
    </row>
    <row r="213" spans="1:3" x14ac:dyDescent="0.2">
      <c r="A213" t="s">
        <v>392</v>
      </c>
      <c r="B213" t="s">
        <v>392</v>
      </c>
      <c r="C213" t="s">
        <v>1022</v>
      </c>
    </row>
    <row r="214" spans="1:3" x14ac:dyDescent="0.2">
      <c r="A214" t="s">
        <v>393</v>
      </c>
      <c r="B214" t="s">
        <v>393</v>
      </c>
      <c r="C214" t="s">
        <v>1023</v>
      </c>
    </row>
    <row r="215" spans="1:3" x14ac:dyDescent="0.2">
      <c r="A215" t="s">
        <v>395</v>
      </c>
      <c r="B215" t="s">
        <v>395</v>
      </c>
      <c r="C215" t="s">
        <v>1441</v>
      </c>
    </row>
    <row r="216" spans="1:3" x14ac:dyDescent="0.2">
      <c r="A216" t="s">
        <v>396</v>
      </c>
      <c r="B216" t="s">
        <v>396</v>
      </c>
      <c r="C216" t="s">
        <v>1025</v>
      </c>
    </row>
    <row r="217" spans="1:3" x14ac:dyDescent="0.2">
      <c r="A217" t="s">
        <v>394</v>
      </c>
      <c r="B217" t="s">
        <v>394</v>
      </c>
      <c r="C217" t="s">
        <v>1024</v>
      </c>
    </row>
    <row r="218" spans="1:3" x14ac:dyDescent="0.2">
      <c r="A218" t="s">
        <v>526</v>
      </c>
      <c r="B218" t="s">
        <v>1120</v>
      </c>
      <c r="C218" t="s">
        <v>1500</v>
      </c>
    </row>
    <row r="219" spans="1:3" x14ac:dyDescent="0.2">
      <c r="A219" t="s">
        <v>528</v>
      </c>
      <c r="B219" t="s">
        <v>1120</v>
      </c>
      <c r="C219" t="s">
        <v>1500</v>
      </c>
    </row>
    <row r="220" spans="1:3" x14ac:dyDescent="0.2">
      <c r="A220" t="s">
        <v>525</v>
      </c>
      <c r="B220" t="s">
        <v>1499</v>
      </c>
      <c r="C220" t="s">
        <v>1118</v>
      </c>
    </row>
    <row r="221" spans="1:3" x14ac:dyDescent="0.2">
      <c r="A221" t="s">
        <v>210</v>
      </c>
      <c r="B221" t="s">
        <v>397</v>
      </c>
      <c r="C221" t="s">
        <v>1638</v>
      </c>
    </row>
    <row r="222" spans="1:3" x14ac:dyDescent="0.2">
      <c r="A222" t="s">
        <v>397</v>
      </c>
      <c r="B222" t="s">
        <v>397</v>
      </c>
      <c r="C222" t="s">
        <v>1638</v>
      </c>
    </row>
    <row r="223" spans="1:3" x14ac:dyDescent="0.2">
      <c r="A223" t="s">
        <v>211</v>
      </c>
      <c r="B223" t="s">
        <v>1338</v>
      </c>
      <c r="C223" t="s">
        <v>1026</v>
      </c>
    </row>
    <row r="224" spans="1:3" x14ac:dyDescent="0.2">
      <c r="A224" t="s">
        <v>398</v>
      </c>
      <c r="B224" t="s">
        <v>1338</v>
      </c>
      <c r="C224" t="s">
        <v>1026</v>
      </c>
    </row>
    <row r="225" spans="1:3" x14ac:dyDescent="0.2">
      <c r="A225" t="s">
        <v>401</v>
      </c>
      <c r="B225" t="s">
        <v>401</v>
      </c>
      <c r="C225" t="s">
        <v>1028</v>
      </c>
    </row>
    <row r="226" spans="1:3" x14ac:dyDescent="0.2">
      <c r="A226" t="s">
        <v>402</v>
      </c>
      <c r="B226" t="s">
        <v>402</v>
      </c>
      <c r="C226" t="s">
        <v>1443</v>
      </c>
    </row>
    <row r="227" spans="1:3" x14ac:dyDescent="0.2">
      <c r="A227" t="s">
        <v>404</v>
      </c>
      <c r="B227" t="s">
        <v>404</v>
      </c>
      <c r="C227" t="s">
        <v>1029</v>
      </c>
    </row>
    <row r="228" spans="1:3" x14ac:dyDescent="0.2">
      <c r="A228" t="s">
        <v>406</v>
      </c>
      <c r="B228" t="s">
        <v>406</v>
      </c>
      <c r="C228" t="s">
        <v>1030</v>
      </c>
    </row>
    <row r="229" spans="1:3" x14ac:dyDescent="0.2">
      <c r="A229" t="s">
        <v>407</v>
      </c>
      <c r="B229" t="s">
        <v>407</v>
      </c>
      <c r="C229" t="s">
        <v>1031</v>
      </c>
    </row>
    <row r="230" spans="1:3" x14ac:dyDescent="0.2">
      <c r="A230" t="s">
        <v>408</v>
      </c>
      <c r="B230" t="s">
        <v>408</v>
      </c>
      <c r="C230" t="s">
        <v>1032</v>
      </c>
    </row>
    <row r="231" spans="1:3" x14ac:dyDescent="0.2">
      <c r="A231" t="s">
        <v>409</v>
      </c>
      <c r="B231" t="s">
        <v>409</v>
      </c>
      <c r="C231" t="s">
        <v>1033</v>
      </c>
    </row>
    <row r="232" spans="1:3" x14ac:dyDescent="0.2">
      <c r="A232" t="s">
        <v>410</v>
      </c>
      <c r="B232" t="s">
        <v>410</v>
      </c>
      <c r="C232" t="s">
        <v>1034</v>
      </c>
    </row>
    <row r="233" spans="1:3" x14ac:dyDescent="0.2">
      <c r="A233" t="s">
        <v>411</v>
      </c>
      <c r="B233" t="s">
        <v>411</v>
      </c>
      <c r="C233" t="s">
        <v>1035</v>
      </c>
    </row>
    <row r="234" spans="1:3" x14ac:dyDescent="0.2">
      <c r="A234" t="s">
        <v>412</v>
      </c>
      <c r="B234" t="s">
        <v>412</v>
      </c>
      <c r="C234" t="s">
        <v>1036</v>
      </c>
    </row>
    <row r="235" spans="1:3" x14ac:dyDescent="0.2">
      <c r="A235" t="s">
        <v>281</v>
      </c>
      <c r="B235" t="s">
        <v>1384</v>
      </c>
      <c r="C235" t="s">
        <v>1038</v>
      </c>
    </row>
    <row r="236" spans="1:3" x14ac:dyDescent="0.2">
      <c r="A236" t="s">
        <v>359</v>
      </c>
      <c r="B236" t="s">
        <v>1432</v>
      </c>
      <c r="C236" t="s">
        <v>1037</v>
      </c>
    </row>
    <row r="237" spans="1:3" x14ac:dyDescent="0.2">
      <c r="A237" t="s">
        <v>420</v>
      </c>
      <c r="B237" t="s">
        <v>420</v>
      </c>
      <c r="C237" t="s">
        <v>1044</v>
      </c>
    </row>
    <row r="238" spans="1:3" x14ac:dyDescent="0.2">
      <c r="A238" t="s">
        <v>413</v>
      </c>
      <c r="B238" t="s">
        <v>413</v>
      </c>
      <c r="C238" t="s">
        <v>1445</v>
      </c>
    </row>
    <row r="239" spans="1:3" x14ac:dyDescent="0.2">
      <c r="A239" t="s">
        <v>344</v>
      </c>
      <c r="B239" t="s">
        <v>416</v>
      </c>
      <c r="C239" t="s">
        <v>1041</v>
      </c>
    </row>
    <row r="240" spans="1:3" x14ac:dyDescent="0.2">
      <c r="A240" t="s">
        <v>416</v>
      </c>
      <c r="B240" t="s">
        <v>416</v>
      </c>
      <c r="C240" t="s">
        <v>1041</v>
      </c>
    </row>
    <row r="241" spans="1:3" x14ac:dyDescent="0.2">
      <c r="A241" t="s">
        <v>345</v>
      </c>
      <c r="B241" t="s">
        <v>417</v>
      </c>
      <c r="C241" t="s">
        <v>1042</v>
      </c>
    </row>
    <row r="242" spans="1:3" x14ac:dyDescent="0.2">
      <c r="A242" t="s">
        <v>417</v>
      </c>
      <c r="B242" t="s">
        <v>417</v>
      </c>
      <c r="C242" t="s">
        <v>1042</v>
      </c>
    </row>
    <row r="243" spans="1:3" x14ac:dyDescent="0.2">
      <c r="A243" t="s">
        <v>422</v>
      </c>
      <c r="B243" t="s">
        <v>422</v>
      </c>
      <c r="C243" t="s">
        <v>1046</v>
      </c>
    </row>
    <row r="244" spans="1:3" x14ac:dyDescent="0.2">
      <c r="A244" t="s">
        <v>414</v>
      </c>
      <c r="B244" t="s">
        <v>414</v>
      </c>
      <c r="C244" t="s">
        <v>1039</v>
      </c>
    </row>
    <row r="245" spans="1:3" x14ac:dyDescent="0.2">
      <c r="A245" t="s">
        <v>415</v>
      </c>
      <c r="B245" t="s">
        <v>415</v>
      </c>
      <c r="C245" t="s">
        <v>1040</v>
      </c>
    </row>
    <row r="246" spans="1:3" x14ac:dyDescent="0.2">
      <c r="A246" t="s">
        <v>343</v>
      </c>
      <c r="B246" t="s">
        <v>1423</v>
      </c>
      <c r="C246" t="s">
        <v>1424</v>
      </c>
    </row>
    <row r="247" spans="1:3" x14ac:dyDescent="0.2">
      <c r="A247" t="s">
        <v>423</v>
      </c>
      <c r="B247" t="s">
        <v>423</v>
      </c>
      <c r="C247" t="s">
        <v>1047</v>
      </c>
    </row>
    <row r="248" spans="1:3" x14ac:dyDescent="0.2">
      <c r="A248" t="s">
        <v>427</v>
      </c>
      <c r="B248" t="s">
        <v>427</v>
      </c>
      <c r="C248" t="s">
        <v>1050</v>
      </c>
    </row>
    <row r="249" spans="1:3" x14ac:dyDescent="0.2">
      <c r="A249" t="s">
        <v>419</v>
      </c>
      <c r="B249" t="s">
        <v>419</v>
      </c>
      <c r="C249" t="s">
        <v>1043</v>
      </c>
    </row>
    <row r="250" spans="1:3" x14ac:dyDescent="0.2">
      <c r="A250" t="s">
        <v>421</v>
      </c>
      <c r="B250" t="s">
        <v>421</v>
      </c>
      <c r="C250" t="s">
        <v>1447</v>
      </c>
    </row>
    <row r="251" spans="1:3" x14ac:dyDescent="0.2">
      <c r="A251" t="s">
        <v>426</v>
      </c>
      <c r="B251" t="s">
        <v>426</v>
      </c>
      <c r="C251" t="s">
        <v>1449</v>
      </c>
    </row>
    <row r="252" spans="1:3" x14ac:dyDescent="0.2">
      <c r="A252" t="s">
        <v>424</v>
      </c>
      <c r="B252" t="s">
        <v>424</v>
      </c>
      <c r="C252" t="s">
        <v>1048</v>
      </c>
    </row>
    <row r="253" spans="1:3" x14ac:dyDescent="0.2">
      <c r="A253" t="s">
        <v>428</v>
      </c>
      <c r="B253" t="s">
        <v>428</v>
      </c>
      <c r="C253" t="s">
        <v>1051</v>
      </c>
    </row>
    <row r="254" spans="1:3" x14ac:dyDescent="0.2">
      <c r="A254" t="s">
        <v>425</v>
      </c>
      <c r="B254" t="s">
        <v>425</v>
      </c>
      <c r="C254" t="s">
        <v>1049</v>
      </c>
    </row>
    <row r="255" spans="1:3" x14ac:dyDescent="0.2">
      <c r="A255" t="s">
        <v>430</v>
      </c>
      <c r="B255" t="s">
        <v>430</v>
      </c>
      <c r="C255" t="s">
        <v>1052</v>
      </c>
    </row>
    <row r="256" spans="1:3" x14ac:dyDescent="0.2">
      <c r="A256" t="s">
        <v>429</v>
      </c>
      <c r="B256" t="s">
        <v>429</v>
      </c>
      <c r="C256" t="s">
        <v>1450</v>
      </c>
    </row>
    <row r="257" spans="1:3" x14ac:dyDescent="0.2">
      <c r="A257" t="s">
        <v>431</v>
      </c>
      <c r="B257" t="s">
        <v>431</v>
      </c>
      <c r="C257" t="s">
        <v>1053</v>
      </c>
    </row>
    <row r="258" spans="1:3" x14ac:dyDescent="0.2">
      <c r="A258" t="s">
        <v>272</v>
      </c>
      <c r="B258" t="s">
        <v>1382</v>
      </c>
      <c r="C258" t="s">
        <v>1054</v>
      </c>
    </row>
    <row r="259" spans="1:3" x14ac:dyDescent="0.2">
      <c r="A259" t="s">
        <v>433</v>
      </c>
      <c r="B259" t="s">
        <v>433</v>
      </c>
      <c r="C259" t="s">
        <v>1055</v>
      </c>
    </row>
    <row r="260" spans="1:3" x14ac:dyDescent="0.2">
      <c r="A260" t="s">
        <v>432</v>
      </c>
      <c r="B260" t="s">
        <v>432</v>
      </c>
      <c r="C260" t="s">
        <v>1451</v>
      </c>
    </row>
    <row r="261" spans="1:3" x14ac:dyDescent="0.2">
      <c r="A261" t="s">
        <v>434</v>
      </c>
      <c r="B261" t="s">
        <v>434</v>
      </c>
      <c r="C261" t="s">
        <v>1056</v>
      </c>
    </row>
    <row r="262" spans="1:3" x14ac:dyDescent="0.2">
      <c r="A262" t="s">
        <v>436</v>
      </c>
      <c r="B262" t="s">
        <v>436</v>
      </c>
      <c r="C262" t="s">
        <v>1057</v>
      </c>
    </row>
    <row r="263" spans="1:3" x14ac:dyDescent="0.2">
      <c r="A263" t="s">
        <v>437</v>
      </c>
      <c r="B263" t="s">
        <v>437</v>
      </c>
      <c r="C263" t="s">
        <v>1058</v>
      </c>
    </row>
    <row r="264" spans="1:3" x14ac:dyDescent="0.2">
      <c r="A264" t="s">
        <v>435</v>
      </c>
      <c r="B264" t="s">
        <v>435</v>
      </c>
      <c r="C264" t="s">
        <v>1452</v>
      </c>
    </row>
    <row r="265" spans="1:3" x14ac:dyDescent="0.2">
      <c r="A265" t="s">
        <v>280</v>
      </c>
      <c r="B265" t="s">
        <v>1383</v>
      </c>
      <c r="C265" t="s">
        <v>1059</v>
      </c>
    </row>
    <row r="266" spans="1:3" x14ac:dyDescent="0.2">
      <c r="A266" t="s">
        <v>310</v>
      </c>
      <c r="B266" t="s">
        <v>1400</v>
      </c>
      <c r="C266" t="s">
        <v>1060</v>
      </c>
    </row>
    <row r="267" spans="1:3" x14ac:dyDescent="0.2">
      <c r="A267" t="s">
        <v>311</v>
      </c>
      <c r="B267" t="s">
        <v>1401</v>
      </c>
      <c r="C267" t="s">
        <v>1061</v>
      </c>
    </row>
    <row r="268" spans="1:3" x14ac:dyDescent="0.2">
      <c r="A268" t="s">
        <v>312</v>
      </c>
      <c r="B268" t="s">
        <v>1402</v>
      </c>
      <c r="C268" t="s">
        <v>1062</v>
      </c>
    </row>
    <row r="269" spans="1:3" x14ac:dyDescent="0.2">
      <c r="A269" t="s">
        <v>313</v>
      </c>
      <c r="B269" t="s">
        <v>439</v>
      </c>
      <c r="C269" t="s">
        <v>1063</v>
      </c>
    </row>
    <row r="270" spans="1:3" x14ac:dyDescent="0.2">
      <c r="A270" t="s">
        <v>439</v>
      </c>
      <c r="B270" t="s">
        <v>439</v>
      </c>
      <c r="C270" t="s">
        <v>1063</v>
      </c>
    </row>
    <row r="271" spans="1:3" x14ac:dyDescent="0.2">
      <c r="A271" t="s">
        <v>319</v>
      </c>
      <c r="B271" t="s">
        <v>1456</v>
      </c>
      <c r="C271" t="s">
        <v>1071</v>
      </c>
    </row>
    <row r="272" spans="1:3" x14ac:dyDescent="0.2">
      <c r="A272" t="s">
        <v>444</v>
      </c>
      <c r="B272" t="s">
        <v>1456</v>
      </c>
      <c r="C272" t="s">
        <v>1071</v>
      </c>
    </row>
    <row r="273" spans="1:3" x14ac:dyDescent="0.2">
      <c r="A273" t="s">
        <v>446</v>
      </c>
      <c r="B273" t="s">
        <v>446</v>
      </c>
      <c r="C273" t="s">
        <v>1457</v>
      </c>
    </row>
    <row r="274" spans="1:3" x14ac:dyDescent="0.2">
      <c r="A274" t="s">
        <v>440</v>
      </c>
      <c r="B274" t="s">
        <v>440</v>
      </c>
      <c r="C274" t="s">
        <v>1064</v>
      </c>
    </row>
    <row r="275" spans="1:3" x14ac:dyDescent="0.2">
      <c r="A275" t="s">
        <v>309</v>
      </c>
      <c r="B275" t="s">
        <v>438</v>
      </c>
      <c r="C275" t="s">
        <v>1414</v>
      </c>
    </row>
    <row r="276" spans="1:3" x14ac:dyDescent="0.2">
      <c r="A276" t="s">
        <v>438</v>
      </c>
      <c r="B276" t="s">
        <v>438</v>
      </c>
      <c r="C276" t="s">
        <v>1414</v>
      </c>
    </row>
    <row r="277" spans="1:3" x14ac:dyDescent="0.2">
      <c r="A277" t="s">
        <v>314</v>
      </c>
      <c r="B277" t="s">
        <v>1403</v>
      </c>
      <c r="C277" t="s">
        <v>1065</v>
      </c>
    </row>
    <row r="278" spans="1:3" x14ac:dyDescent="0.2">
      <c r="A278" t="s">
        <v>315</v>
      </c>
      <c r="B278" t="s">
        <v>441</v>
      </c>
      <c r="C278" t="s">
        <v>1066</v>
      </c>
    </row>
    <row r="279" spans="1:3" x14ac:dyDescent="0.2">
      <c r="A279" t="s">
        <v>441</v>
      </c>
      <c r="B279" t="s">
        <v>441</v>
      </c>
      <c r="C279" t="s">
        <v>1066</v>
      </c>
    </row>
    <row r="280" spans="1:3" x14ac:dyDescent="0.2">
      <c r="A280" t="s">
        <v>445</v>
      </c>
      <c r="B280" t="s">
        <v>441</v>
      </c>
      <c r="C280" t="s">
        <v>1066</v>
      </c>
    </row>
    <row r="281" spans="1:3" x14ac:dyDescent="0.2">
      <c r="A281" t="s">
        <v>316</v>
      </c>
      <c r="B281" t="s">
        <v>1404</v>
      </c>
      <c r="C281" t="s">
        <v>1067</v>
      </c>
    </row>
    <row r="282" spans="1:3" x14ac:dyDescent="0.2">
      <c r="A282" t="s">
        <v>317</v>
      </c>
      <c r="B282" t="s">
        <v>1405</v>
      </c>
      <c r="C282" t="s">
        <v>1068</v>
      </c>
    </row>
    <row r="283" spans="1:3" x14ac:dyDescent="0.2">
      <c r="A283" t="s">
        <v>442</v>
      </c>
      <c r="B283" t="s">
        <v>442</v>
      </c>
      <c r="C283" t="s">
        <v>1069</v>
      </c>
    </row>
    <row r="284" spans="1:3" x14ac:dyDescent="0.2">
      <c r="A284" t="s">
        <v>318</v>
      </c>
      <c r="B284" t="s">
        <v>443</v>
      </c>
      <c r="C284" t="s">
        <v>1070</v>
      </c>
    </row>
    <row r="285" spans="1:3" x14ac:dyDescent="0.2">
      <c r="A285" t="s">
        <v>443</v>
      </c>
      <c r="B285" t="s">
        <v>443</v>
      </c>
      <c r="C285" t="s">
        <v>1070</v>
      </c>
    </row>
    <row r="286" spans="1:3" x14ac:dyDescent="0.2">
      <c r="A286" t="s">
        <v>320</v>
      </c>
      <c r="B286" t="s">
        <v>1406</v>
      </c>
      <c r="C286" t="s">
        <v>1072</v>
      </c>
    </row>
    <row r="287" spans="1:3" x14ac:dyDescent="0.2">
      <c r="A287" t="s">
        <v>448</v>
      </c>
      <c r="B287" t="s">
        <v>448</v>
      </c>
      <c r="C287" t="s">
        <v>1453</v>
      </c>
    </row>
    <row r="288" spans="1:3" x14ac:dyDescent="0.2">
      <c r="A288" t="s">
        <v>405</v>
      </c>
      <c r="B288" t="s">
        <v>1446</v>
      </c>
      <c r="C288" t="s">
        <v>1074</v>
      </c>
    </row>
    <row r="289" spans="1:3" x14ac:dyDescent="0.2">
      <c r="A289" t="s">
        <v>840</v>
      </c>
      <c r="B289" t="s">
        <v>1634</v>
      </c>
      <c r="C289" t="s">
        <v>1327</v>
      </c>
    </row>
    <row r="290" spans="1:3" x14ac:dyDescent="0.2">
      <c r="A290" t="s">
        <v>841</v>
      </c>
      <c r="B290" t="s">
        <v>1635</v>
      </c>
      <c r="C290" t="s">
        <v>1328</v>
      </c>
    </row>
    <row r="291" spans="1:3" x14ac:dyDescent="0.2">
      <c r="A291" t="s">
        <v>449</v>
      </c>
      <c r="B291" t="s">
        <v>449</v>
      </c>
      <c r="C291" t="s">
        <v>1454</v>
      </c>
    </row>
    <row r="292" spans="1:3" x14ac:dyDescent="0.2">
      <c r="A292" t="s">
        <v>451</v>
      </c>
      <c r="B292" t="s">
        <v>451</v>
      </c>
      <c r="C292" t="s">
        <v>1075</v>
      </c>
    </row>
    <row r="293" spans="1:3" x14ac:dyDescent="0.2">
      <c r="A293" t="s">
        <v>452</v>
      </c>
      <c r="B293" t="s">
        <v>452</v>
      </c>
      <c r="C293" t="s">
        <v>1455</v>
      </c>
    </row>
    <row r="294" spans="1:3" x14ac:dyDescent="0.2">
      <c r="A294" t="s">
        <v>453</v>
      </c>
      <c r="B294" t="s">
        <v>453</v>
      </c>
      <c r="C294" t="s">
        <v>1463</v>
      </c>
    </row>
    <row r="295" spans="1:3" x14ac:dyDescent="0.2">
      <c r="A295" t="s">
        <v>454</v>
      </c>
      <c r="B295" t="s">
        <v>454</v>
      </c>
      <c r="C295" t="s">
        <v>1076</v>
      </c>
    </row>
    <row r="296" spans="1:3" x14ac:dyDescent="0.2">
      <c r="A296" t="s">
        <v>749</v>
      </c>
      <c r="B296" t="s">
        <v>454</v>
      </c>
      <c r="C296" t="s">
        <v>1076</v>
      </c>
    </row>
    <row r="297" spans="1:3" x14ac:dyDescent="0.2">
      <c r="A297" t="s">
        <v>455</v>
      </c>
      <c r="B297" t="s">
        <v>455</v>
      </c>
      <c r="C297" t="s">
        <v>1458</v>
      </c>
    </row>
    <row r="298" spans="1:3" x14ac:dyDescent="0.2">
      <c r="A298" t="s">
        <v>456</v>
      </c>
      <c r="B298" t="s">
        <v>456</v>
      </c>
      <c r="C298" t="s">
        <v>1460</v>
      </c>
    </row>
    <row r="299" spans="1:3" x14ac:dyDescent="0.2">
      <c r="A299" t="s">
        <v>457</v>
      </c>
      <c r="B299" t="s">
        <v>457</v>
      </c>
      <c r="C299" t="s">
        <v>1461</v>
      </c>
    </row>
    <row r="300" spans="1:3" x14ac:dyDescent="0.2">
      <c r="A300" t="s">
        <v>459</v>
      </c>
      <c r="B300" t="s">
        <v>459</v>
      </c>
      <c r="C300" t="s">
        <v>1077</v>
      </c>
    </row>
    <row r="301" spans="1:3" x14ac:dyDescent="0.2">
      <c r="A301" t="s">
        <v>458</v>
      </c>
      <c r="B301" t="s">
        <v>458</v>
      </c>
      <c r="C301" t="s">
        <v>1464</v>
      </c>
    </row>
    <row r="302" spans="1:3" x14ac:dyDescent="0.2">
      <c r="A302" t="s">
        <v>460</v>
      </c>
      <c r="B302" t="s">
        <v>460</v>
      </c>
      <c r="C302" t="s">
        <v>1078</v>
      </c>
    </row>
    <row r="303" spans="1:3" x14ac:dyDescent="0.2">
      <c r="A303" t="s">
        <v>463</v>
      </c>
      <c r="B303" t="s">
        <v>463</v>
      </c>
      <c r="C303" t="s">
        <v>1462</v>
      </c>
    </row>
    <row r="304" spans="1:3" x14ac:dyDescent="0.2">
      <c r="A304" t="s">
        <v>464</v>
      </c>
      <c r="B304" t="s">
        <v>464</v>
      </c>
      <c r="C304" t="s">
        <v>1079</v>
      </c>
    </row>
    <row r="305" spans="1:3" x14ac:dyDescent="0.2">
      <c r="A305" t="s">
        <v>465</v>
      </c>
      <c r="B305" t="s">
        <v>465</v>
      </c>
      <c r="C305" t="s">
        <v>1080</v>
      </c>
    </row>
    <row r="306" spans="1:3" x14ac:dyDescent="0.2">
      <c r="A306" t="s">
        <v>579</v>
      </c>
      <c r="B306" t="s">
        <v>1527</v>
      </c>
      <c r="C306" t="s">
        <v>1153</v>
      </c>
    </row>
    <row r="307" spans="1:3" x14ac:dyDescent="0.2">
      <c r="A307" t="s">
        <v>467</v>
      </c>
      <c r="B307" t="s">
        <v>467</v>
      </c>
      <c r="C307" t="s">
        <v>1082</v>
      </c>
    </row>
    <row r="308" spans="1:3" x14ac:dyDescent="0.2">
      <c r="A308" t="s">
        <v>466</v>
      </c>
      <c r="B308" t="s">
        <v>466</v>
      </c>
      <c r="C308" t="s">
        <v>1081</v>
      </c>
    </row>
    <row r="309" spans="1:3" x14ac:dyDescent="0.2">
      <c r="A309" t="s">
        <v>468</v>
      </c>
      <c r="B309" t="s">
        <v>1469</v>
      </c>
      <c r="C309" t="s">
        <v>1083</v>
      </c>
    </row>
    <row r="310" spans="1:3" x14ac:dyDescent="0.2">
      <c r="A310" t="s">
        <v>470</v>
      </c>
      <c r="B310" t="s">
        <v>470</v>
      </c>
      <c r="C310" t="s">
        <v>1084</v>
      </c>
    </row>
    <row r="311" spans="1:3" x14ac:dyDescent="0.2">
      <c r="A311" t="s">
        <v>471</v>
      </c>
      <c r="B311" t="s">
        <v>1470</v>
      </c>
      <c r="C311" t="s">
        <v>1473</v>
      </c>
    </row>
    <row r="312" spans="1:3" x14ac:dyDescent="0.2">
      <c r="A312" t="s">
        <v>473</v>
      </c>
      <c r="B312" t="s">
        <v>473</v>
      </c>
      <c r="C312" t="s">
        <v>1086</v>
      </c>
    </row>
    <row r="313" spans="1:3" x14ac:dyDescent="0.2">
      <c r="A313" t="s">
        <v>469</v>
      </c>
      <c r="B313" t="s">
        <v>469</v>
      </c>
      <c r="C313" t="s">
        <v>1467</v>
      </c>
    </row>
    <row r="314" spans="1:3" x14ac:dyDescent="0.2">
      <c r="A314" t="s">
        <v>472</v>
      </c>
      <c r="B314" t="s">
        <v>1085</v>
      </c>
      <c r="C314" t="s">
        <v>1474</v>
      </c>
    </row>
    <row r="315" spans="1:3" x14ac:dyDescent="0.2">
      <c r="A315" t="s">
        <v>474</v>
      </c>
      <c r="B315" t="s">
        <v>474</v>
      </c>
      <c r="C315" t="s">
        <v>1087</v>
      </c>
    </row>
    <row r="316" spans="1:3" x14ac:dyDescent="0.2">
      <c r="A316" t="s">
        <v>475</v>
      </c>
      <c r="B316" t="s">
        <v>475</v>
      </c>
      <c r="C316" t="s">
        <v>1088</v>
      </c>
    </row>
    <row r="317" spans="1:3" x14ac:dyDescent="0.2">
      <c r="A317" t="s">
        <v>476</v>
      </c>
      <c r="B317" t="s">
        <v>476</v>
      </c>
      <c r="C317" t="s">
        <v>1468</v>
      </c>
    </row>
    <row r="318" spans="1:3" x14ac:dyDescent="0.2">
      <c r="A318" t="s">
        <v>478</v>
      </c>
      <c r="B318" t="s">
        <v>478</v>
      </c>
      <c r="C318" t="s">
        <v>1471</v>
      </c>
    </row>
    <row r="319" spans="1:3" x14ac:dyDescent="0.2">
      <c r="A319" t="s">
        <v>702</v>
      </c>
      <c r="B319" t="s">
        <v>478</v>
      </c>
      <c r="C319" t="s">
        <v>1471</v>
      </c>
    </row>
    <row r="320" spans="1:3" x14ac:dyDescent="0.2">
      <c r="A320" t="s">
        <v>479</v>
      </c>
      <c r="B320" t="s">
        <v>479</v>
      </c>
      <c r="C320" t="s">
        <v>1089</v>
      </c>
    </row>
    <row r="321" spans="1:3" x14ac:dyDescent="0.2">
      <c r="A321" t="s">
        <v>703</v>
      </c>
      <c r="B321" t="s">
        <v>479</v>
      </c>
      <c r="C321" t="s">
        <v>1089</v>
      </c>
    </row>
    <row r="322" spans="1:3" x14ac:dyDescent="0.2">
      <c r="A322" t="s">
        <v>480</v>
      </c>
      <c r="B322" t="s">
        <v>480</v>
      </c>
      <c r="C322" t="s">
        <v>1090</v>
      </c>
    </row>
    <row r="323" spans="1:3" x14ac:dyDescent="0.2">
      <c r="A323" t="s">
        <v>704</v>
      </c>
      <c r="B323" t="s">
        <v>480</v>
      </c>
      <c r="C323" t="s">
        <v>1090</v>
      </c>
    </row>
    <row r="324" spans="1:3" x14ac:dyDescent="0.2">
      <c r="A324" t="s">
        <v>481</v>
      </c>
      <c r="B324" t="s">
        <v>481</v>
      </c>
      <c r="C324" t="s">
        <v>1472</v>
      </c>
    </row>
    <row r="325" spans="1:3" x14ac:dyDescent="0.2">
      <c r="A325" t="s">
        <v>482</v>
      </c>
      <c r="B325" t="s">
        <v>483</v>
      </c>
      <c r="C325" t="s">
        <v>1091</v>
      </c>
    </row>
    <row r="326" spans="1:3" x14ac:dyDescent="0.2">
      <c r="A326" t="s">
        <v>483</v>
      </c>
      <c r="B326" t="s">
        <v>483</v>
      </c>
      <c r="C326" t="s">
        <v>1091</v>
      </c>
    </row>
    <row r="327" spans="1:3" x14ac:dyDescent="0.2">
      <c r="A327" t="s">
        <v>484</v>
      </c>
      <c r="B327" t="s">
        <v>484</v>
      </c>
      <c r="C327" t="s">
        <v>1476</v>
      </c>
    </row>
    <row r="328" spans="1:3" x14ac:dyDescent="0.2">
      <c r="A328" t="s">
        <v>486</v>
      </c>
      <c r="B328" t="s">
        <v>1484</v>
      </c>
      <c r="C328" t="s">
        <v>1485</v>
      </c>
    </row>
    <row r="329" spans="1:3" x14ac:dyDescent="0.2">
      <c r="A329" t="s">
        <v>485</v>
      </c>
      <c r="B329" t="s">
        <v>485</v>
      </c>
      <c r="C329" t="s">
        <v>1092</v>
      </c>
    </row>
    <row r="330" spans="1:3" x14ac:dyDescent="0.2">
      <c r="A330" t="s">
        <v>489</v>
      </c>
      <c r="B330" t="s">
        <v>489</v>
      </c>
      <c r="C330" t="s">
        <v>1095</v>
      </c>
    </row>
    <row r="331" spans="1:3" x14ac:dyDescent="0.2">
      <c r="A331" t="s">
        <v>487</v>
      </c>
      <c r="B331" t="s">
        <v>487</v>
      </c>
      <c r="C331" t="s">
        <v>1093</v>
      </c>
    </row>
    <row r="332" spans="1:3" x14ac:dyDescent="0.2">
      <c r="A332" t="s">
        <v>488</v>
      </c>
      <c r="B332" t="s">
        <v>488</v>
      </c>
      <c r="C332" t="s">
        <v>1094</v>
      </c>
    </row>
    <row r="333" spans="1:3" x14ac:dyDescent="0.2">
      <c r="A333" t="s">
        <v>490</v>
      </c>
      <c r="B333" t="s">
        <v>490</v>
      </c>
      <c r="C333" t="s">
        <v>1477</v>
      </c>
    </row>
    <row r="334" spans="1:3" x14ac:dyDescent="0.2">
      <c r="A334" t="s">
        <v>491</v>
      </c>
      <c r="B334" t="s">
        <v>491</v>
      </c>
      <c r="C334" t="s">
        <v>1478</v>
      </c>
    </row>
    <row r="335" spans="1:3" x14ac:dyDescent="0.2">
      <c r="A335" t="s">
        <v>492</v>
      </c>
      <c r="B335" t="s">
        <v>492</v>
      </c>
      <c r="C335" t="s">
        <v>1096</v>
      </c>
    </row>
    <row r="336" spans="1:3" x14ac:dyDescent="0.2">
      <c r="A336" t="s">
        <v>494</v>
      </c>
      <c r="B336" t="s">
        <v>494</v>
      </c>
      <c r="C336" t="s">
        <v>1479</v>
      </c>
    </row>
    <row r="337" spans="1:3" x14ac:dyDescent="0.2">
      <c r="A337" t="s">
        <v>495</v>
      </c>
      <c r="B337" t="s">
        <v>495</v>
      </c>
      <c r="C337" t="s">
        <v>1487</v>
      </c>
    </row>
    <row r="338" spans="1:3" x14ac:dyDescent="0.2">
      <c r="A338" t="s">
        <v>496</v>
      </c>
      <c r="B338" t="s">
        <v>496</v>
      </c>
      <c r="C338" t="s">
        <v>1488</v>
      </c>
    </row>
    <row r="339" spans="1:3" x14ac:dyDescent="0.2">
      <c r="A339" t="s">
        <v>497</v>
      </c>
      <c r="B339" t="s">
        <v>497</v>
      </c>
      <c r="C339" t="s">
        <v>1098</v>
      </c>
    </row>
    <row r="340" spans="1:3" x14ac:dyDescent="0.2">
      <c r="A340" t="s">
        <v>498</v>
      </c>
      <c r="B340" t="s">
        <v>498</v>
      </c>
      <c r="C340" t="s">
        <v>1480</v>
      </c>
    </row>
    <row r="341" spans="1:3" x14ac:dyDescent="0.2">
      <c r="A341" t="s">
        <v>499</v>
      </c>
      <c r="B341" t="s">
        <v>499</v>
      </c>
      <c r="C341" t="s">
        <v>1481</v>
      </c>
    </row>
    <row r="342" spans="1:3" x14ac:dyDescent="0.2">
      <c r="A342" t="s">
        <v>501</v>
      </c>
      <c r="B342" t="s">
        <v>501</v>
      </c>
      <c r="C342" t="s">
        <v>1100</v>
      </c>
    </row>
    <row r="343" spans="1:3" x14ac:dyDescent="0.2">
      <c r="A343" t="s">
        <v>355</v>
      </c>
      <c r="B343" t="s">
        <v>1428</v>
      </c>
      <c r="C343" t="s">
        <v>1101</v>
      </c>
    </row>
    <row r="344" spans="1:3" x14ac:dyDescent="0.2">
      <c r="A344" t="s">
        <v>502</v>
      </c>
      <c r="B344" t="s">
        <v>502</v>
      </c>
      <c r="C344" t="s">
        <v>1102</v>
      </c>
    </row>
    <row r="345" spans="1:3" x14ac:dyDescent="0.2">
      <c r="A345" t="s">
        <v>504</v>
      </c>
      <c r="B345" t="s">
        <v>504</v>
      </c>
      <c r="C345" t="s">
        <v>1482</v>
      </c>
    </row>
    <row r="346" spans="1:3" x14ac:dyDescent="0.2">
      <c r="A346" t="s">
        <v>418</v>
      </c>
      <c r="B346" t="s">
        <v>1448</v>
      </c>
      <c r="C346" t="s">
        <v>1104</v>
      </c>
    </row>
    <row r="347" spans="1:3" x14ac:dyDescent="0.2">
      <c r="A347" t="s">
        <v>506</v>
      </c>
      <c r="B347" t="s">
        <v>506</v>
      </c>
      <c r="C347" t="s">
        <v>1105</v>
      </c>
    </row>
    <row r="348" spans="1:3" x14ac:dyDescent="0.2">
      <c r="A348" t="s">
        <v>505</v>
      </c>
      <c r="B348" t="s">
        <v>505</v>
      </c>
      <c r="C348" t="s">
        <v>1483</v>
      </c>
    </row>
    <row r="349" spans="1:3" x14ac:dyDescent="0.2">
      <c r="A349" t="s">
        <v>507</v>
      </c>
      <c r="B349" t="s">
        <v>507</v>
      </c>
      <c r="C349" t="s">
        <v>1106</v>
      </c>
    </row>
    <row r="350" spans="1:3" x14ac:dyDescent="0.2">
      <c r="A350" t="s">
        <v>509</v>
      </c>
      <c r="B350" t="s">
        <v>509</v>
      </c>
      <c r="C350" t="s">
        <v>1107</v>
      </c>
    </row>
    <row r="351" spans="1:3" x14ac:dyDescent="0.2">
      <c r="A351" t="s">
        <v>508</v>
      </c>
      <c r="B351" t="s">
        <v>508</v>
      </c>
      <c r="C351" t="s">
        <v>1489</v>
      </c>
    </row>
    <row r="352" spans="1:3" x14ac:dyDescent="0.2">
      <c r="A352" t="s">
        <v>510</v>
      </c>
      <c r="B352" t="s">
        <v>510</v>
      </c>
      <c r="C352" t="s">
        <v>1492</v>
      </c>
    </row>
    <row r="353" spans="1:3" x14ac:dyDescent="0.2">
      <c r="A353" t="s">
        <v>512</v>
      </c>
      <c r="B353" t="s">
        <v>512</v>
      </c>
      <c r="C353" t="s">
        <v>1108</v>
      </c>
    </row>
    <row r="354" spans="1:3" x14ac:dyDescent="0.2">
      <c r="A354" t="s">
        <v>513</v>
      </c>
      <c r="B354" t="s">
        <v>1109</v>
      </c>
      <c r="C354" t="s">
        <v>1497</v>
      </c>
    </row>
    <row r="355" spans="1:3" x14ac:dyDescent="0.2">
      <c r="A355" t="s">
        <v>511</v>
      </c>
      <c r="B355" t="s">
        <v>511</v>
      </c>
      <c r="C355" t="s">
        <v>1493</v>
      </c>
    </row>
    <row r="356" spans="1:3" x14ac:dyDescent="0.2">
      <c r="A356" t="s">
        <v>514</v>
      </c>
      <c r="B356" t="s">
        <v>514</v>
      </c>
      <c r="C356" t="s">
        <v>1110</v>
      </c>
    </row>
    <row r="357" spans="1:3" x14ac:dyDescent="0.2">
      <c r="A357" t="s">
        <v>692</v>
      </c>
      <c r="B357" t="s">
        <v>1572</v>
      </c>
      <c r="C357" t="s">
        <v>1228</v>
      </c>
    </row>
    <row r="358" spans="1:3" x14ac:dyDescent="0.2">
      <c r="A358" t="s">
        <v>515</v>
      </c>
      <c r="B358" t="s">
        <v>515</v>
      </c>
      <c r="C358" t="s">
        <v>1494</v>
      </c>
    </row>
    <row r="359" spans="1:3" x14ac:dyDescent="0.2">
      <c r="A359" t="s">
        <v>516</v>
      </c>
      <c r="B359" t="s">
        <v>516</v>
      </c>
      <c r="C359" t="s">
        <v>1111</v>
      </c>
    </row>
    <row r="360" spans="1:3" x14ac:dyDescent="0.2">
      <c r="A360" t="s">
        <v>529</v>
      </c>
      <c r="B360" t="s">
        <v>529</v>
      </c>
      <c r="C360" t="s">
        <v>1121</v>
      </c>
    </row>
    <row r="361" spans="1:3" x14ac:dyDescent="0.2">
      <c r="A361" t="s">
        <v>518</v>
      </c>
      <c r="B361" t="s">
        <v>518</v>
      </c>
      <c r="C361" t="s">
        <v>1112</v>
      </c>
    </row>
    <row r="362" spans="1:3" x14ac:dyDescent="0.2">
      <c r="A362" t="s">
        <v>519</v>
      </c>
      <c r="B362" t="s">
        <v>519</v>
      </c>
      <c r="C362" t="s">
        <v>1113</v>
      </c>
    </row>
    <row r="363" spans="1:3" x14ac:dyDescent="0.2">
      <c r="A363" t="s">
        <v>517</v>
      </c>
      <c r="B363" t="s">
        <v>517</v>
      </c>
      <c r="C363" t="s">
        <v>1495</v>
      </c>
    </row>
    <row r="364" spans="1:3" x14ac:dyDescent="0.2">
      <c r="A364" t="s">
        <v>520</v>
      </c>
      <c r="B364" t="s">
        <v>520</v>
      </c>
      <c r="C364" t="s">
        <v>1114</v>
      </c>
    </row>
    <row r="365" spans="1:3" x14ac:dyDescent="0.2">
      <c r="A365" t="s">
        <v>521</v>
      </c>
      <c r="B365" t="s">
        <v>521</v>
      </c>
      <c r="C365" t="s">
        <v>1115</v>
      </c>
    </row>
    <row r="366" spans="1:3" x14ac:dyDescent="0.2">
      <c r="A366" t="s">
        <v>527</v>
      </c>
      <c r="B366" t="s">
        <v>527</v>
      </c>
      <c r="C366" t="s">
        <v>1119</v>
      </c>
    </row>
    <row r="367" spans="1:3" x14ac:dyDescent="0.2">
      <c r="A367" t="s">
        <v>524</v>
      </c>
      <c r="B367" t="s">
        <v>524</v>
      </c>
      <c r="C367" t="s">
        <v>1496</v>
      </c>
    </row>
    <row r="368" spans="1:3" x14ac:dyDescent="0.2">
      <c r="A368" t="s">
        <v>523</v>
      </c>
      <c r="B368" t="s">
        <v>523</v>
      </c>
      <c r="C368" t="s">
        <v>1117</v>
      </c>
    </row>
    <row r="369" spans="1:3" x14ac:dyDescent="0.2">
      <c r="A369" t="s">
        <v>522</v>
      </c>
      <c r="B369" t="s">
        <v>1116</v>
      </c>
      <c r="C369" t="s">
        <v>1498</v>
      </c>
    </row>
    <row r="370" spans="1:3" x14ac:dyDescent="0.2">
      <c r="A370" t="s">
        <v>535</v>
      </c>
      <c r="B370" t="s">
        <v>535</v>
      </c>
      <c r="C370" t="s">
        <v>1122</v>
      </c>
    </row>
    <row r="371" spans="1:3" x14ac:dyDescent="0.2">
      <c r="A371" t="s">
        <v>534</v>
      </c>
      <c r="B371" t="s">
        <v>534</v>
      </c>
      <c r="C371" t="s">
        <v>1501</v>
      </c>
    </row>
    <row r="372" spans="1:3" x14ac:dyDescent="0.2">
      <c r="A372" t="s">
        <v>536</v>
      </c>
      <c r="B372" t="s">
        <v>536</v>
      </c>
      <c r="C372" t="s">
        <v>1123</v>
      </c>
    </row>
    <row r="373" spans="1:3" x14ac:dyDescent="0.2">
      <c r="A373" t="s">
        <v>537</v>
      </c>
      <c r="B373" t="s">
        <v>537</v>
      </c>
      <c r="C373" t="s">
        <v>1502</v>
      </c>
    </row>
    <row r="374" spans="1:3" x14ac:dyDescent="0.2">
      <c r="A374" t="s">
        <v>538</v>
      </c>
      <c r="B374" t="s">
        <v>538</v>
      </c>
      <c r="C374" t="s">
        <v>1503</v>
      </c>
    </row>
    <row r="375" spans="1:3" x14ac:dyDescent="0.2">
      <c r="A375" t="s">
        <v>539</v>
      </c>
      <c r="B375" t="s">
        <v>539</v>
      </c>
      <c r="C375" t="s">
        <v>1124</v>
      </c>
    </row>
    <row r="376" spans="1:3" x14ac:dyDescent="0.2">
      <c r="A376" t="s">
        <v>540</v>
      </c>
      <c r="B376" t="s">
        <v>540</v>
      </c>
      <c r="C376" t="s">
        <v>1125</v>
      </c>
    </row>
    <row r="377" spans="1:3" x14ac:dyDescent="0.2">
      <c r="A377" t="s">
        <v>541</v>
      </c>
      <c r="B377" t="s">
        <v>541</v>
      </c>
      <c r="C377" t="s">
        <v>1126</v>
      </c>
    </row>
    <row r="378" spans="1:3" x14ac:dyDescent="0.2">
      <c r="A378" t="s">
        <v>542</v>
      </c>
      <c r="B378" t="s">
        <v>542</v>
      </c>
      <c r="C378" t="s">
        <v>1127</v>
      </c>
    </row>
    <row r="379" spans="1:3" x14ac:dyDescent="0.2">
      <c r="A379" t="s">
        <v>543</v>
      </c>
      <c r="B379" t="s">
        <v>543</v>
      </c>
      <c r="C379" t="s">
        <v>1509</v>
      </c>
    </row>
    <row r="380" spans="1:3" x14ac:dyDescent="0.2">
      <c r="A380" t="s">
        <v>544</v>
      </c>
      <c r="B380" t="s">
        <v>544</v>
      </c>
      <c r="C380" t="s">
        <v>1128</v>
      </c>
    </row>
    <row r="381" spans="1:3" x14ac:dyDescent="0.2">
      <c r="A381" t="s">
        <v>545</v>
      </c>
      <c r="B381" t="s">
        <v>545</v>
      </c>
      <c r="C381" t="s">
        <v>1129</v>
      </c>
    </row>
    <row r="382" spans="1:3" x14ac:dyDescent="0.2">
      <c r="A382" t="s">
        <v>546</v>
      </c>
      <c r="B382" t="s">
        <v>1510</v>
      </c>
      <c r="C382" t="s">
        <v>1511</v>
      </c>
    </row>
    <row r="383" spans="1:3" x14ac:dyDescent="0.2">
      <c r="A383" t="s">
        <v>548</v>
      </c>
      <c r="B383" t="s">
        <v>548</v>
      </c>
      <c r="C383" t="s">
        <v>1131</v>
      </c>
    </row>
    <row r="384" spans="1:3" x14ac:dyDescent="0.2">
      <c r="A384" t="s">
        <v>547</v>
      </c>
      <c r="B384" t="s">
        <v>547</v>
      </c>
      <c r="C384" t="s">
        <v>1130</v>
      </c>
    </row>
    <row r="385" spans="1:3" x14ac:dyDescent="0.2">
      <c r="A385" t="s">
        <v>450</v>
      </c>
      <c r="B385" t="s">
        <v>549</v>
      </c>
      <c r="C385" t="s">
        <v>1132</v>
      </c>
    </row>
    <row r="386" spans="1:3" x14ac:dyDescent="0.2">
      <c r="A386" t="s">
        <v>549</v>
      </c>
      <c r="B386" t="s">
        <v>549</v>
      </c>
      <c r="C386" t="s">
        <v>1132</v>
      </c>
    </row>
    <row r="387" spans="1:3" x14ac:dyDescent="0.2">
      <c r="A387" t="s">
        <v>550</v>
      </c>
      <c r="B387" t="s">
        <v>550</v>
      </c>
      <c r="C387" t="s">
        <v>1133</v>
      </c>
    </row>
    <row r="388" spans="1:3" x14ac:dyDescent="0.2">
      <c r="A388" t="s">
        <v>551</v>
      </c>
      <c r="B388" t="s">
        <v>551</v>
      </c>
      <c r="C388" t="s">
        <v>1508</v>
      </c>
    </row>
    <row r="389" spans="1:3" x14ac:dyDescent="0.2">
      <c r="A389" t="s">
        <v>552</v>
      </c>
      <c r="B389" t="s">
        <v>552</v>
      </c>
      <c r="C389" t="s">
        <v>1134</v>
      </c>
    </row>
    <row r="390" spans="1:3" x14ac:dyDescent="0.2">
      <c r="A390" t="s">
        <v>553</v>
      </c>
      <c r="B390" t="s">
        <v>553</v>
      </c>
      <c r="C390" t="s">
        <v>1135</v>
      </c>
    </row>
    <row r="391" spans="1:3" x14ac:dyDescent="0.2">
      <c r="A391" t="s">
        <v>554</v>
      </c>
      <c r="B391" t="s">
        <v>554</v>
      </c>
      <c r="C391" t="s">
        <v>1136</v>
      </c>
    </row>
    <row r="392" spans="1:3" x14ac:dyDescent="0.2">
      <c r="A392" t="s">
        <v>561</v>
      </c>
      <c r="B392" t="s">
        <v>561</v>
      </c>
      <c r="C392" t="s">
        <v>1141</v>
      </c>
    </row>
    <row r="393" spans="1:3" x14ac:dyDescent="0.2">
      <c r="A393" t="s">
        <v>562</v>
      </c>
      <c r="B393" t="s">
        <v>562</v>
      </c>
      <c r="C393" t="s">
        <v>1142</v>
      </c>
    </row>
    <row r="394" spans="1:3" x14ac:dyDescent="0.2">
      <c r="A394" t="s">
        <v>560</v>
      </c>
      <c r="B394" t="s">
        <v>560</v>
      </c>
      <c r="C394" t="s">
        <v>1519</v>
      </c>
    </row>
    <row r="395" spans="1:3" x14ac:dyDescent="0.2">
      <c r="A395" t="s">
        <v>563</v>
      </c>
      <c r="B395" t="s">
        <v>563</v>
      </c>
      <c r="C395" t="s">
        <v>1143</v>
      </c>
    </row>
    <row r="396" spans="1:3" x14ac:dyDescent="0.2">
      <c r="A396" t="s">
        <v>565</v>
      </c>
      <c r="B396" t="s">
        <v>565</v>
      </c>
      <c r="C396" t="s">
        <v>1512</v>
      </c>
    </row>
    <row r="397" spans="1:3" x14ac:dyDescent="0.2">
      <c r="A397" t="s">
        <v>564</v>
      </c>
      <c r="B397" t="s">
        <v>564</v>
      </c>
      <c r="C397" t="s">
        <v>1144</v>
      </c>
    </row>
    <row r="398" spans="1:3" x14ac:dyDescent="0.2">
      <c r="A398" t="s">
        <v>199</v>
      </c>
      <c r="B398" t="s">
        <v>1337</v>
      </c>
      <c r="C398" t="s">
        <v>1145</v>
      </c>
    </row>
    <row r="399" spans="1:3" x14ac:dyDescent="0.2">
      <c r="A399" t="s">
        <v>566</v>
      </c>
      <c r="B399" t="s">
        <v>566</v>
      </c>
      <c r="C399" t="s">
        <v>1146</v>
      </c>
    </row>
    <row r="400" spans="1:3" x14ac:dyDescent="0.2">
      <c r="A400" t="s">
        <v>567</v>
      </c>
      <c r="B400" t="s">
        <v>567</v>
      </c>
      <c r="C400" t="s">
        <v>1147</v>
      </c>
    </row>
    <row r="401" spans="1:3" x14ac:dyDescent="0.2">
      <c r="A401" t="s">
        <v>568</v>
      </c>
      <c r="B401" t="s">
        <v>568</v>
      </c>
      <c r="C401" t="s">
        <v>1520</v>
      </c>
    </row>
    <row r="402" spans="1:3" x14ac:dyDescent="0.2">
      <c r="A402" t="s">
        <v>570</v>
      </c>
      <c r="B402" t="s">
        <v>570</v>
      </c>
      <c r="C402" t="s">
        <v>1148</v>
      </c>
    </row>
    <row r="403" spans="1:3" x14ac:dyDescent="0.2">
      <c r="A403" t="s">
        <v>572</v>
      </c>
      <c r="B403" t="s">
        <v>572</v>
      </c>
      <c r="C403" t="s">
        <v>1149</v>
      </c>
    </row>
    <row r="404" spans="1:3" x14ac:dyDescent="0.2">
      <c r="A404" t="s">
        <v>573</v>
      </c>
      <c r="B404" t="s">
        <v>573</v>
      </c>
      <c r="C404" t="s">
        <v>1150</v>
      </c>
    </row>
    <row r="405" spans="1:3" x14ac:dyDescent="0.2">
      <c r="A405" t="s">
        <v>574</v>
      </c>
      <c r="B405" t="s">
        <v>574</v>
      </c>
      <c r="C405" t="s">
        <v>1521</v>
      </c>
    </row>
    <row r="406" spans="1:3" x14ac:dyDescent="0.2">
      <c r="A406" t="s">
        <v>571</v>
      </c>
      <c r="B406" t="s">
        <v>571</v>
      </c>
      <c r="C406" t="s">
        <v>1526</v>
      </c>
    </row>
    <row r="407" spans="1:3" x14ac:dyDescent="0.2">
      <c r="A407" t="s">
        <v>575</v>
      </c>
      <c r="B407" t="s">
        <v>575</v>
      </c>
      <c r="C407" t="s">
        <v>1151</v>
      </c>
    </row>
    <row r="408" spans="1:3" x14ac:dyDescent="0.2">
      <c r="A408" t="s">
        <v>578</v>
      </c>
      <c r="B408" t="s">
        <v>578</v>
      </c>
      <c r="C408" t="s">
        <v>1152</v>
      </c>
    </row>
    <row r="409" spans="1:3" x14ac:dyDescent="0.2">
      <c r="A409" t="s">
        <v>576</v>
      </c>
      <c r="B409" t="s">
        <v>576</v>
      </c>
      <c r="C409" t="s">
        <v>1522</v>
      </c>
    </row>
    <row r="410" spans="1:3" x14ac:dyDescent="0.2">
      <c r="A410" t="s">
        <v>577</v>
      </c>
      <c r="B410" t="s">
        <v>577</v>
      </c>
      <c r="C410" t="s">
        <v>1523</v>
      </c>
    </row>
    <row r="411" spans="1:3" x14ac:dyDescent="0.2">
      <c r="A411" t="s">
        <v>533</v>
      </c>
      <c r="B411" t="s">
        <v>1507</v>
      </c>
      <c r="C411" t="s">
        <v>1154</v>
      </c>
    </row>
    <row r="412" spans="1:3" x14ac:dyDescent="0.2">
      <c r="A412" t="s">
        <v>580</v>
      </c>
      <c r="B412" t="s">
        <v>580</v>
      </c>
      <c r="C412" t="s">
        <v>1524</v>
      </c>
    </row>
    <row r="413" spans="1:3" x14ac:dyDescent="0.2">
      <c r="A413" t="s">
        <v>582</v>
      </c>
      <c r="B413" t="s">
        <v>582</v>
      </c>
      <c r="C413" t="s">
        <v>1155</v>
      </c>
    </row>
    <row r="414" spans="1:3" x14ac:dyDescent="0.2">
      <c r="A414" t="s">
        <v>581</v>
      </c>
      <c r="B414" t="s">
        <v>583</v>
      </c>
      <c r="C414" t="s">
        <v>1156</v>
      </c>
    </row>
    <row r="415" spans="1:3" x14ac:dyDescent="0.2">
      <c r="A415" t="s">
        <v>583</v>
      </c>
      <c r="B415" t="s">
        <v>583</v>
      </c>
      <c r="C415" t="s">
        <v>1156</v>
      </c>
    </row>
    <row r="416" spans="1:3" x14ac:dyDescent="0.2">
      <c r="A416" t="s">
        <v>584</v>
      </c>
      <c r="B416" t="s">
        <v>584</v>
      </c>
      <c r="C416" t="s">
        <v>1157</v>
      </c>
    </row>
    <row r="417" spans="1:3" x14ac:dyDescent="0.2">
      <c r="A417" t="s">
        <v>585</v>
      </c>
      <c r="B417" t="s">
        <v>585</v>
      </c>
      <c r="C417" t="s">
        <v>1525</v>
      </c>
    </row>
    <row r="418" spans="1:3" x14ac:dyDescent="0.2">
      <c r="A418" t="s">
        <v>586</v>
      </c>
      <c r="B418" t="s">
        <v>586</v>
      </c>
      <c r="C418" t="s">
        <v>1158</v>
      </c>
    </row>
    <row r="419" spans="1:3" x14ac:dyDescent="0.2">
      <c r="A419" t="s">
        <v>589</v>
      </c>
      <c r="B419" t="s">
        <v>589</v>
      </c>
      <c r="C419" t="s">
        <v>1160</v>
      </c>
    </row>
    <row r="420" spans="1:3" x14ac:dyDescent="0.2">
      <c r="A420" t="s">
        <v>590</v>
      </c>
      <c r="B420" t="s">
        <v>590</v>
      </c>
      <c r="C420" t="s">
        <v>1161</v>
      </c>
    </row>
    <row r="421" spans="1:3" x14ac:dyDescent="0.2">
      <c r="A421" t="s">
        <v>591</v>
      </c>
      <c r="B421" t="s">
        <v>591</v>
      </c>
      <c r="C421" t="s">
        <v>1162</v>
      </c>
    </row>
    <row r="422" spans="1:3" x14ac:dyDescent="0.2">
      <c r="A422" t="s">
        <v>592</v>
      </c>
      <c r="B422" t="s">
        <v>592</v>
      </c>
      <c r="C422" t="s">
        <v>1163</v>
      </c>
    </row>
    <row r="423" spans="1:3" x14ac:dyDescent="0.2">
      <c r="A423" t="s">
        <v>593</v>
      </c>
      <c r="B423" t="s">
        <v>593</v>
      </c>
      <c r="C423" t="s">
        <v>1164</v>
      </c>
    </row>
    <row r="424" spans="1:3" x14ac:dyDescent="0.2">
      <c r="A424" t="s">
        <v>594</v>
      </c>
      <c r="B424" t="s">
        <v>594</v>
      </c>
      <c r="C424" t="s">
        <v>1165</v>
      </c>
    </row>
    <row r="425" spans="1:3" x14ac:dyDescent="0.2">
      <c r="A425" t="s">
        <v>587</v>
      </c>
      <c r="B425" t="s">
        <v>587</v>
      </c>
      <c r="C425" t="s">
        <v>1159</v>
      </c>
    </row>
    <row r="426" spans="1:3" x14ac:dyDescent="0.2">
      <c r="A426" t="s">
        <v>588</v>
      </c>
      <c r="B426" t="s">
        <v>588</v>
      </c>
      <c r="C426" t="s">
        <v>1528</v>
      </c>
    </row>
    <row r="427" spans="1:3" x14ac:dyDescent="0.2">
      <c r="A427" t="s">
        <v>596</v>
      </c>
      <c r="B427" t="s">
        <v>596</v>
      </c>
      <c r="C427" t="s">
        <v>1166</v>
      </c>
    </row>
    <row r="428" spans="1:3" x14ac:dyDescent="0.2">
      <c r="A428" t="s">
        <v>595</v>
      </c>
      <c r="B428" t="s">
        <v>595</v>
      </c>
      <c r="C428" t="s">
        <v>1529</v>
      </c>
    </row>
    <row r="429" spans="1:3" x14ac:dyDescent="0.2">
      <c r="A429" t="s">
        <v>597</v>
      </c>
      <c r="B429" t="s">
        <v>597</v>
      </c>
      <c r="C429" t="s">
        <v>1530</v>
      </c>
    </row>
    <row r="430" spans="1:3" x14ac:dyDescent="0.2">
      <c r="A430" t="s">
        <v>598</v>
      </c>
      <c r="B430" t="s">
        <v>598</v>
      </c>
      <c r="C430" t="s">
        <v>1167</v>
      </c>
    </row>
    <row r="431" spans="1:3" x14ac:dyDescent="0.2">
      <c r="A431" t="s">
        <v>599</v>
      </c>
      <c r="B431" t="s">
        <v>599</v>
      </c>
      <c r="C431" t="s">
        <v>1534</v>
      </c>
    </row>
    <row r="432" spans="1:3" x14ac:dyDescent="0.2">
      <c r="A432" t="s">
        <v>600</v>
      </c>
      <c r="B432" t="s">
        <v>600</v>
      </c>
      <c r="C432" t="s">
        <v>1168</v>
      </c>
    </row>
    <row r="433" spans="1:3" x14ac:dyDescent="0.2">
      <c r="A433" t="s">
        <v>604</v>
      </c>
      <c r="B433" t="s">
        <v>604</v>
      </c>
      <c r="C433" t="s">
        <v>1170</v>
      </c>
    </row>
    <row r="434" spans="1:3" x14ac:dyDescent="0.2">
      <c r="A434" t="s">
        <v>603</v>
      </c>
      <c r="B434" t="s">
        <v>603</v>
      </c>
      <c r="C434" t="s">
        <v>1169</v>
      </c>
    </row>
    <row r="435" spans="1:3" x14ac:dyDescent="0.2">
      <c r="A435" t="s">
        <v>601</v>
      </c>
      <c r="B435" t="s">
        <v>601</v>
      </c>
      <c r="C435" t="s">
        <v>1531</v>
      </c>
    </row>
    <row r="436" spans="1:3" x14ac:dyDescent="0.2">
      <c r="A436" t="s">
        <v>602</v>
      </c>
      <c r="B436" t="s">
        <v>602</v>
      </c>
      <c r="C436" t="s">
        <v>1532</v>
      </c>
    </row>
    <row r="437" spans="1:3" x14ac:dyDescent="0.2">
      <c r="A437" t="s">
        <v>605</v>
      </c>
      <c r="B437" t="s">
        <v>605</v>
      </c>
      <c r="C437" t="s">
        <v>1171</v>
      </c>
    </row>
    <row r="438" spans="1:3" x14ac:dyDescent="0.2">
      <c r="A438" t="s">
        <v>606</v>
      </c>
      <c r="B438" t="s">
        <v>606</v>
      </c>
      <c r="C438" t="s">
        <v>1533</v>
      </c>
    </row>
    <row r="439" spans="1:3" x14ac:dyDescent="0.2">
      <c r="A439" t="s">
        <v>607</v>
      </c>
      <c r="B439" t="s">
        <v>607</v>
      </c>
      <c r="C439" t="s">
        <v>1172</v>
      </c>
    </row>
    <row r="440" spans="1:3" x14ac:dyDescent="0.2">
      <c r="A440" t="s">
        <v>377</v>
      </c>
      <c r="B440" t="s">
        <v>1437</v>
      </c>
      <c r="C440" t="s">
        <v>1173</v>
      </c>
    </row>
    <row r="441" spans="1:3" x14ac:dyDescent="0.2">
      <c r="A441" t="s">
        <v>608</v>
      </c>
      <c r="B441" t="s">
        <v>608</v>
      </c>
      <c r="C441" t="s">
        <v>1174</v>
      </c>
    </row>
    <row r="442" spans="1:3" x14ac:dyDescent="0.2">
      <c r="A442" t="s">
        <v>609</v>
      </c>
      <c r="B442" t="s">
        <v>609</v>
      </c>
      <c r="C442" t="s">
        <v>1175</v>
      </c>
    </row>
    <row r="443" spans="1:3" x14ac:dyDescent="0.2">
      <c r="A443" t="s">
        <v>610</v>
      </c>
      <c r="B443" t="s">
        <v>1538</v>
      </c>
      <c r="C443" t="s">
        <v>1539</v>
      </c>
    </row>
    <row r="444" spans="1:3" x14ac:dyDescent="0.2">
      <c r="A444" t="s">
        <v>321</v>
      </c>
      <c r="B444" t="s">
        <v>1407</v>
      </c>
      <c r="C444" t="s">
        <v>1408</v>
      </c>
    </row>
    <row r="445" spans="1:3" x14ac:dyDescent="0.2">
      <c r="A445" t="s">
        <v>611</v>
      </c>
      <c r="B445" t="s">
        <v>1540</v>
      </c>
      <c r="C445" t="s">
        <v>1176</v>
      </c>
    </row>
    <row r="446" spans="1:3" x14ac:dyDescent="0.2">
      <c r="A446" t="s">
        <v>612</v>
      </c>
      <c r="B446" t="s">
        <v>1541</v>
      </c>
      <c r="C446" t="s">
        <v>1177</v>
      </c>
    </row>
    <row r="447" spans="1:3" x14ac:dyDescent="0.2">
      <c r="A447" t="s">
        <v>718</v>
      </c>
      <c r="B447" t="s">
        <v>1582</v>
      </c>
      <c r="C447" t="s">
        <v>1243</v>
      </c>
    </row>
    <row r="448" spans="1:3" x14ac:dyDescent="0.2">
      <c r="A448" t="s">
        <v>719</v>
      </c>
      <c r="B448" t="s">
        <v>1583</v>
      </c>
      <c r="C448" t="s">
        <v>1244</v>
      </c>
    </row>
    <row r="449" spans="1:3" x14ac:dyDescent="0.2">
      <c r="A449" t="s">
        <v>720</v>
      </c>
      <c r="B449" t="s">
        <v>1584</v>
      </c>
      <c r="C449" t="s">
        <v>1245</v>
      </c>
    </row>
    <row r="450" spans="1:3" x14ac:dyDescent="0.2">
      <c r="A450" t="s">
        <v>721</v>
      </c>
      <c r="B450" t="s">
        <v>1585</v>
      </c>
      <c r="C450" t="s">
        <v>1246</v>
      </c>
    </row>
    <row r="451" spans="1:3" x14ac:dyDescent="0.2">
      <c r="A451" t="s">
        <v>722</v>
      </c>
      <c r="B451" t="s">
        <v>1585</v>
      </c>
      <c r="C451" t="s">
        <v>1246</v>
      </c>
    </row>
    <row r="452" spans="1:3" x14ac:dyDescent="0.2">
      <c r="A452" t="s">
        <v>613</v>
      </c>
      <c r="B452" t="s">
        <v>613</v>
      </c>
      <c r="C452" t="s">
        <v>1178</v>
      </c>
    </row>
    <row r="453" spans="1:3" x14ac:dyDescent="0.2">
      <c r="A453" t="s">
        <v>614</v>
      </c>
      <c r="B453" t="s">
        <v>1542</v>
      </c>
      <c r="C453" t="s">
        <v>1543</v>
      </c>
    </row>
    <row r="454" spans="1:3" x14ac:dyDescent="0.2">
      <c r="A454" t="s">
        <v>615</v>
      </c>
      <c r="B454" t="s">
        <v>615</v>
      </c>
      <c r="C454" t="s">
        <v>1535</v>
      </c>
    </row>
    <row r="455" spans="1:3" x14ac:dyDescent="0.2">
      <c r="A455" t="s">
        <v>616</v>
      </c>
      <c r="B455" t="s">
        <v>616</v>
      </c>
      <c r="C455" t="s">
        <v>1179</v>
      </c>
    </row>
    <row r="456" spans="1:3" x14ac:dyDescent="0.2">
      <c r="A456" t="s">
        <v>617</v>
      </c>
      <c r="B456" t="s">
        <v>616</v>
      </c>
      <c r="C456" t="s">
        <v>1179</v>
      </c>
    </row>
    <row r="457" spans="1:3" x14ac:dyDescent="0.2">
      <c r="A457" t="s">
        <v>618</v>
      </c>
      <c r="B457" t="s">
        <v>618</v>
      </c>
      <c r="C457" t="s">
        <v>1180</v>
      </c>
    </row>
    <row r="458" spans="1:3" x14ac:dyDescent="0.2">
      <c r="A458" t="s">
        <v>619</v>
      </c>
      <c r="B458" t="s">
        <v>619</v>
      </c>
      <c r="C458" t="s">
        <v>1181</v>
      </c>
    </row>
    <row r="459" spans="1:3" x14ac:dyDescent="0.2">
      <c r="A459" t="s">
        <v>620</v>
      </c>
      <c r="B459" t="s">
        <v>620</v>
      </c>
      <c r="C459" t="s">
        <v>1182</v>
      </c>
    </row>
    <row r="460" spans="1:3" x14ac:dyDescent="0.2">
      <c r="A460" t="s">
        <v>621</v>
      </c>
      <c r="B460" t="s">
        <v>621</v>
      </c>
      <c r="C460" t="s">
        <v>1536</v>
      </c>
    </row>
    <row r="461" spans="1:3" x14ac:dyDescent="0.2">
      <c r="A461" t="s">
        <v>622</v>
      </c>
      <c r="B461" t="s">
        <v>622</v>
      </c>
      <c r="C461" t="s">
        <v>1537</v>
      </c>
    </row>
    <row r="462" spans="1:3" x14ac:dyDescent="0.2">
      <c r="A462" t="s">
        <v>623</v>
      </c>
      <c r="B462" t="s">
        <v>623</v>
      </c>
      <c r="C462" t="s">
        <v>1183</v>
      </c>
    </row>
    <row r="463" spans="1:3" x14ac:dyDescent="0.2">
      <c r="A463" t="s">
        <v>625</v>
      </c>
      <c r="B463" t="s">
        <v>625</v>
      </c>
      <c r="C463" t="s">
        <v>1184</v>
      </c>
    </row>
    <row r="464" spans="1:3" x14ac:dyDescent="0.2">
      <c r="A464" t="s">
        <v>626</v>
      </c>
      <c r="B464" t="s">
        <v>626</v>
      </c>
      <c r="C464" t="s">
        <v>1185</v>
      </c>
    </row>
    <row r="465" spans="1:3" x14ac:dyDescent="0.2">
      <c r="A465" t="s">
        <v>624</v>
      </c>
      <c r="B465" t="s">
        <v>624</v>
      </c>
      <c r="C465" t="s">
        <v>1544</v>
      </c>
    </row>
    <row r="466" spans="1:3" x14ac:dyDescent="0.2">
      <c r="A466" t="s">
        <v>627</v>
      </c>
      <c r="B466" t="s">
        <v>627</v>
      </c>
      <c r="C466" t="s">
        <v>1186</v>
      </c>
    </row>
    <row r="467" spans="1:3" x14ac:dyDescent="0.2">
      <c r="A467" t="s">
        <v>628</v>
      </c>
      <c r="B467" t="s">
        <v>628</v>
      </c>
      <c r="C467" t="s">
        <v>1187</v>
      </c>
    </row>
    <row r="468" spans="1:3" x14ac:dyDescent="0.2">
      <c r="A468" t="s">
        <v>629</v>
      </c>
      <c r="B468" t="s">
        <v>629</v>
      </c>
      <c r="C468" t="s">
        <v>1188</v>
      </c>
    </row>
    <row r="469" spans="1:3" x14ac:dyDescent="0.2">
      <c r="A469" t="s">
        <v>630</v>
      </c>
      <c r="B469" t="s">
        <v>630</v>
      </c>
      <c r="C469" t="s">
        <v>1545</v>
      </c>
    </row>
    <row r="470" spans="1:3" x14ac:dyDescent="0.2">
      <c r="A470" t="s">
        <v>631</v>
      </c>
      <c r="B470" t="s">
        <v>631</v>
      </c>
      <c r="C470" t="s">
        <v>1189</v>
      </c>
    </row>
    <row r="471" spans="1:3" x14ac:dyDescent="0.2">
      <c r="A471" t="s">
        <v>632</v>
      </c>
      <c r="B471" t="s">
        <v>632</v>
      </c>
      <c r="C471" t="s">
        <v>1546</v>
      </c>
    </row>
    <row r="472" spans="1:3" x14ac:dyDescent="0.2">
      <c r="A472" t="s">
        <v>633</v>
      </c>
      <c r="B472" t="s">
        <v>633</v>
      </c>
      <c r="C472" t="s">
        <v>1190</v>
      </c>
    </row>
    <row r="473" spans="1:3" x14ac:dyDescent="0.2">
      <c r="A473" t="s">
        <v>634</v>
      </c>
      <c r="B473" t="s">
        <v>634</v>
      </c>
      <c r="C473" t="s">
        <v>1191</v>
      </c>
    </row>
    <row r="474" spans="1:3" x14ac:dyDescent="0.2">
      <c r="A474" t="s">
        <v>636</v>
      </c>
      <c r="B474" t="s">
        <v>636</v>
      </c>
      <c r="C474" t="s">
        <v>1192</v>
      </c>
    </row>
    <row r="475" spans="1:3" x14ac:dyDescent="0.2">
      <c r="A475" t="s">
        <v>637</v>
      </c>
      <c r="B475" t="s">
        <v>637</v>
      </c>
      <c r="C475" t="s">
        <v>1193</v>
      </c>
    </row>
    <row r="476" spans="1:3" x14ac:dyDescent="0.2">
      <c r="A476" t="s">
        <v>635</v>
      </c>
      <c r="B476" t="s">
        <v>635</v>
      </c>
      <c r="C476" t="s">
        <v>1547</v>
      </c>
    </row>
    <row r="477" spans="1:3" x14ac:dyDescent="0.2">
      <c r="A477" t="s">
        <v>638</v>
      </c>
      <c r="B477" t="s">
        <v>638</v>
      </c>
      <c r="C477" t="s">
        <v>1194</v>
      </c>
    </row>
    <row r="478" spans="1:3" x14ac:dyDescent="0.2">
      <c r="A478" t="s">
        <v>639</v>
      </c>
      <c r="B478" t="s">
        <v>639</v>
      </c>
      <c r="C478" t="s">
        <v>1195</v>
      </c>
    </row>
    <row r="479" spans="1:3" x14ac:dyDescent="0.2">
      <c r="A479" t="s">
        <v>640</v>
      </c>
      <c r="B479" t="s">
        <v>640</v>
      </c>
      <c r="C479" t="s">
        <v>1548</v>
      </c>
    </row>
    <row r="480" spans="1:3" x14ac:dyDescent="0.2">
      <c r="A480" t="s">
        <v>641</v>
      </c>
      <c r="B480" t="s">
        <v>641</v>
      </c>
      <c r="C480" t="s">
        <v>1196</v>
      </c>
    </row>
    <row r="481" spans="1:3" x14ac:dyDescent="0.2">
      <c r="A481" t="s">
        <v>642</v>
      </c>
      <c r="B481" t="s">
        <v>642</v>
      </c>
      <c r="C481" t="s">
        <v>1197</v>
      </c>
    </row>
    <row r="482" spans="1:3" x14ac:dyDescent="0.2">
      <c r="A482" t="s">
        <v>643</v>
      </c>
      <c r="B482" t="s">
        <v>643</v>
      </c>
      <c r="C482" t="s">
        <v>1549</v>
      </c>
    </row>
    <row r="483" spans="1:3" x14ac:dyDescent="0.2">
      <c r="A483" t="s">
        <v>644</v>
      </c>
      <c r="B483" t="s">
        <v>644</v>
      </c>
      <c r="C483" t="s">
        <v>1198</v>
      </c>
    </row>
    <row r="484" spans="1:3" x14ac:dyDescent="0.2">
      <c r="A484" t="s">
        <v>645</v>
      </c>
      <c r="B484" t="s">
        <v>645</v>
      </c>
      <c r="C484" t="s">
        <v>1550</v>
      </c>
    </row>
    <row r="485" spans="1:3" x14ac:dyDescent="0.2">
      <c r="A485" t="s">
        <v>649</v>
      </c>
      <c r="B485" t="s">
        <v>1555</v>
      </c>
      <c r="C485" t="s">
        <v>1200</v>
      </c>
    </row>
    <row r="486" spans="1:3" x14ac:dyDescent="0.2">
      <c r="A486" t="s">
        <v>646</v>
      </c>
      <c r="B486" t="s">
        <v>646</v>
      </c>
      <c r="C486" t="s">
        <v>1554</v>
      </c>
    </row>
    <row r="487" spans="1:3" x14ac:dyDescent="0.2">
      <c r="A487" t="s">
        <v>650</v>
      </c>
      <c r="B487" t="s">
        <v>650</v>
      </c>
      <c r="C487" t="s">
        <v>1201</v>
      </c>
    </row>
    <row r="488" spans="1:3" x14ac:dyDescent="0.2">
      <c r="A488" t="s">
        <v>647</v>
      </c>
      <c r="B488" t="s">
        <v>647</v>
      </c>
      <c r="C488" t="s">
        <v>1199</v>
      </c>
    </row>
    <row r="489" spans="1:3" x14ac:dyDescent="0.2">
      <c r="A489" t="s">
        <v>651</v>
      </c>
      <c r="B489" t="s">
        <v>651</v>
      </c>
      <c r="C489" t="s">
        <v>1202</v>
      </c>
    </row>
    <row r="490" spans="1:3" x14ac:dyDescent="0.2">
      <c r="A490" t="s">
        <v>652</v>
      </c>
      <c r="B490" t="s">
        <v>652</v>
      </c>
      <c r="C490" t="s">
        <v>1203</v>
      </c>
    </row>
    <row r="491" spans="1:3" x14ac:dyDescent="0.2">
      <c r="A491" t="s">
        <v>653</v>
      </c>
      <c r="B491" t="s">
        <v>653</v>
      </c>
      <c r="C491" t="s">
        <v>1204</v>
      </c>
    </row>
    <row r="492" spans="1:3" x14ac:dyDescent="0.2">
      <c r="A492" t="s">
        <v>648</v>
      </c>
      <c r="B492" t="s">
        <v>648</v>
      </c>
      <c r="C492" t="s">
        <v>1551</v>
      </c>
    </row>
    <row r="493" spans="1:3" x14ac:dyDescent="0.2">
      <c r="A493" t="s">
        <v>654</v>
      </c>
      <c r="B493" t="s">
        <v>654</v>
      </c>
      <c r="C493" t="s">
        <v>1552</v>
      </c>
    </row>
    <row r="494" spans="1:3" x14ac:dyDescent="0.2">
      <c r="A494" t="s">
        <v>655</v>
      </c>
      <c r="B494" t="s">
        <v>1559</v>
      </c>
      <c r="C494" t="s">
        <v>1560</v>
      </c>
    </row>
    <row r="495" spans="1:3" x14ac:dyDescent="0.2">
      <c r="A495" t="s">
        <v>659</v>
      </c>
      <c r="B495" t="s">
        <v>659</v>
      </c>
      <c r="C495" t="s">
        <v>1553</v>
      </c>
    </row>
    <row r="496" spans="1:3" x14ac:dyDescent="0.2">
      <c r="A496" t="s">
        <v>660</v>
      </c>
      <c r="B496" t="s">
        <v>660</v>
      </c>
      <c r="C496" t="s">
        <v>1207</v>
      </c>
    </row>
    <row r="497" spans="1:3" x14ac:dyDescent="0.2">
      <c r="A497" t="s">
        <v>661</v>
      </c>
      <c r="B497" t="s">
        <v>661</v>
      </c>
      <c r="C497" t="s">
        <v>1208</v>
      </c>
    </row>
    <row r="498" spans="1:3" x14ac:dyDescent="0.2">
      <c r="A498" t="s">
        <v>662</v>
      </c>
      <c r="B498" t="s">
        <v>662</v>
      </c>
      <c r="C498" t="s">
        <v>1209</v>
      </c>
    </row>
    <row r="499" spans="1:3" x14ac:dyDescent="0.2">
      <c r="A499" t="s">
        <v>665</v>
      </c>
      <c r="B499" t="s">
        <v>665</v>
      </c>
      <c r="C499" t="s">
        <v>1211</v>
      </c>
    </row>
    <row r="500" spans="1:3" x14ac:dyDescent="0.2">
      <c r="A500" t="s">
        <v>664</v>
      </c>
      <c r="B500" t="s">
        <v>664</v>
      </c>
      <c r="C500" t="s">
        <v>1556</v>
      </c>
    </row>
    <row r="501" spans="1:3" x14ac:dyDescent="0.2">
      <c r="A501" t="s">
        <v>663</v>
      </c>
      <c r="B501" t="s">
        <v>663</v>
      </c>
      <c r="C501" t="s">
        <v>1210</v>
      </c>
    </row>
    <row r="502" spans="1:3" x14ac:dyDescent="0.2">
      <c r="A502" t="s">
        <v>666</v>
      </c>
      <c r="B502" t="s">
        <v>666</v>
      </c>
      <c r="C502" t="s">
        <v>1557</v>
      </c>
    </row>
    <row r="503" spans="1:3" x14ac:dyDescent="0.2">
      <c r="A503" t="s">
        <v>668</v>
      </c>
      <c r="B503" t="s">
        <v>668</v>
      </c>
      <c r="C503" t="s">
        <v>1564</v>
      </c>
    </row>
    <row r="504" spans="1:3" x14ac:dyDescent="0.2">
      <c r="A504" t="s">
        <v>669</v>
      </c>
      <c r="B504" t="s">
        <v>668</v>
      </c>
      <c r="C504" t="s">
        <v>1564</v>
      </c>
    </row>
    <row r="505" spans="1:3" x14ac:dyDescent="0.2">
      <c r="A505" t="s">
        <v>671</v>
      </c>
      <c r="B505" t="s">
        <v>671</v>
      </c>
      <c r="C505" t="s">
        <v>1212</v>
      </c>
    </row>
    <row r="506" spans="1:3" x14ac:dyDescent="0.2">
      <c r="A506" t="s">
        <v>672</v>
      </c>
      <c r="B506" t="s">
        <v>996</v>
      </c>
      <c r="C506" t="s">
        <v>1566</v>
      </c>
    </row>
    <row r="507" spans="1:3" x14ac:dyDescent="0.2">
      <c r="A507" t="s">
        <v>674</v>
      </c>
      <c r="B507" t="s">
        <v>996</v>
      </c>
      <c r="C507" t="s">
        <v>1566</v>
      </c>
    </row>
    <row r="508" spans="1:3" x14ac:dyDescent="0.2">
      <c r="A508" t="s">
        <v>679</v>
      </c>
      <c r="B508" t="s">
        <v>679</v>
      </c>
      <c r="C508" t="s">
        <v>1217</v>
      </c>
    </row>
    <row r="509" spans="1:3" x14ac:dyDescent="0.2">
      <c r="A509" t="s">
        <v>680</v>
      </c>
      <c r="B509" t="s">
        <v>680</v>
      </c>
      <c r="C509" t="s">
        <v>1218</v>
      </c>
    </row>
    <row r="510" spans="1:3" x14ac:dyDescent="0.2">
      <c r="A510" t="s">
        <v>670</v>
      </c>
      <c r="B510" t="s">
        <v>670</v>
      </c>
      <c r="C510" t="s">
        <v>1558</v>
      </c>
    </row>
    <row r="511" spans="1:3" x14ac:dyDescent="0.2">
      <c r="A511" t="s">
        <v>673</v>
      </c>
      <c r="B511" t="s">
        <v>673</v>
      </c>
      <c r="C511" t="s">
        <v>1213</v>
      </c>
    </row>
    <row r="512" spans="1:3" x14ac:dyDescent="0.2">
      <c r="A512" t="s">
        <v>675</v>
      </c>
      <c r="B512" t="s">
        <v>675</v>
      </c>
      <c r="C512" t="s">
        <v>1214</v>
      </c>
    </row>
    <row r="513" spans="1:3" x14ac:dyDescent="0.2">
      <c r="A513" t="s">
        <v>676</v>
      </c>
      <c r="B513" t="s">
        <v>676</v>
      </c>
      <c r="C513" t="s">
        <v>1215</v>
      </c>
    </row>
    <row r="514" spans="1:3" x14ac:dyDescent="0.2">
      <c r="A514" t="s">
        <v>678</v>
      </c>
      <c r="B514" t="s">
        <v>678</v>
      </c>
      <c r="C514" t="s">
        <v>1563</v>
      </c>
    </row>
    <row r="515" spans="1:3" x14ac:dyDescent="0.2">
      <c r="A515" t="s">
        <v>681</v>
      </c>
      <c r="B515" t="s">
        <v>681</v>
      </c>
      <c r="C515" t="s">
        <v>1219</v>
      </c>
    </row>
    <row r="516" spans="1:3" x14ac:dyDescent="0.2">
      <c r="A516" t="s">
        <v>677</v>
      </c>
      <c r="B516" t="s">
        <v>677</v>
      </c>
      <c r="C516" t="s">
        <v>1216</v>
      </c>
    </row>
    <row r="517" spans="1:3" x14ac:dyDescent="0.2">
      <c r="A517" t="s">
        <v>682</v>
      </c>
      <c r="B517" t="s">
        <v>682</v>
      </c>
      <c r="C517" t="s">
        <v>1220</v>
      </c>
    </row>
    <row r="518" spans="1:3" x14ac:dyDescent="0.2">
      <c r="A518" t="s">
        <v>683</v>
      </c>
      <c r="B518" t="s">
        <v>683</v>
      </c>
      <c r="C518" t="s">
        <v>1221</v>
      </c>
    </row>
    <row r="519" spans="1:3" x14ac:dyDescent="0.2">
      <c r="A519" t="s">
        <v>684</v>
      </c>
      <c r="B519" t="s">
        <v>684</v>
      </c>
      <c r="C519" t="s">
        <v>1569</v>
      </c>
    </row>
    <row r="520" spans="1:3" x14ac:dyDescent="0.2">
      <c r="A520" t="s">
        <v>687</v>
      </c>
      <c r="B520" t="s">
        <v>1570</v>
      </c>
      <c r="C520" t="s">
        <v>1571</v>
      </c>
    </row>
    <row r="521" spans="1:3" x14ac:dyDescent="0.2">
      <c r="A521" t="s">
        <v>688</v>
      </c>
      <c r="B521" t="s">
        <v>688</v>
      </c>
      <c r="C521" t="s">
        <v>1223</v>
      </c>
    </row>
    <row r="522" spans="1:3" x14ac:dyDescent="0.2">
      <c r="A522" t="s">
        <v>531</v>
      </c>
      <c r="B522" t="s">
        <v>1504</v>
      </c>
      <c r="C522" t="s">
        <v>1224</v>
      </c>
    </row>
    <row r="523" spans="1:3" x14ac:dyDescent="0.2">
      <c r="A523" t="s">
        <v>685</v>
      </c>
      <c r="B523" t="s">
        <v>685</v>
      </c>
      <c r="C523" t="s">
        <v>1222</v>
      </c>
    </row>
    <row r="524" spans="1:3" x14ac:dyDescent="0.2">
      <c r="A524" t="s">
        <v>686</v>
      </c>
      <c r="B524" t="s">
        <v>686</v>
      </c>
      <c r="C524" t="s">
        <v>1565</v>
      </c>
    </row>
    <row r="525" spans="1:3" x14ac:dyDescent="0.2">
      <c r="A525" t="s">
        <v>530</v>
      </c>
      <c r="B525" t="s">
        <v>1505</v>
      </c>
      <c r="C525" t="s">
        <v>1506</v>
      </c>
    </row>
    <row r="526" spans="1:3" x14ac:dyDescent="0.2">
      <c r="A526" t="s">
        <v>532</v>
      </c>
      <c r="B526" t="s">
        <v>689</v>
      </c>
      <c r="C526" t="s">
        <v>1225</v>
      </c>
    </row>
    <row r="527" spans="1:3" x14ac:dyDescent="0.2">
      <c r="A527" t="s">
        <v>689</v>
      </c>
      <c r="B527" t="s">
        <v>689</v>
      </c>
      <c r="C527" t="s">
        <v>1225</v>
      </c>
    </row>
    <row r="528" spans="1:3" x14ac:dyDescent="0.2">
      <c r="A528" t="s">
        <v>690</v>
      </c>
      <c r="B528" t="s">
        <v>690</v>
      </c>
      <c r="C528" t="s">
        <v>1226</v>
      </c>
    </row>
    <row r="529" spans="1:3" x14ac:dyDescent="0.2">
      <c r="A529" t="s">
        <v>691</v>
      </c>
      <c r="B529" t="s">
        <v>691</v>
      </c>
      <c r="C529" t="s">
        <v>1227</v>
      </c>
    </row>
    <row r="530" spans="1:3" x14ac:dyDescent="0.2">
      <c r="A530" t="s">
        <v>693</v>
      </c>
      <c r="B530" t="s">
        <v>693</v>
      </c>
      <c r="C530" t="s">
        <v>1567</v>
      </c>
    </row>
    <row r="531" spans="1:3" x14ac:dyDescent="0.2">
      <c r="A531" t="s">
        <v>697</v>
      </c>
      <c r="B531" t="s">
        <v>697</v>
      </c>
      <c r="C531" t="s">
        <v>1577</v>
      </c>
    </row>
    <row r="532" spans="1:3" x14ac:dyDescent="0.2">
      <c r="A532" t="s">
        <v>694</v>
      </c>
      <c r="B532" t="s">
        <v>694</v>
      </c>
      <c r="C532" t="s">
        <v>1229</v>
      </c>
    </row>
    <row r="533" spans="1:3" x14ac:dyDescent="0.2">
      <c r="A533" t="s">
        <v>698</v>
      </c>
      <c r="B533" t="s">
        <v>698</v>
      </c>
      <c r="C533" t="s">
        <v>1231</v>
      </c>
    </row>
    <row r="534" spans="1:3" x14ac:dyDescent="0.2">
      <c r="A534" t="s">
        <v>696</v>
      </c>
      <c r="B534" t="s">
        <v>696</v>
      </c>
      <c r="C534" t="s">
        <v>1568</v>
      </c>
    </row>
    <row r="535" spans="1:3" x14ac:dyDescent="0.2">
      <c r="A535" t="s">
        <v>699</v>
      </c>
      <c r="B535" t="s">
        <v>699</v>
      </c>
      <c r="C535" t="s">
        <v>1232</v>
      </c>
    </row>
    <row r="536" spans="1:3" x14ac:dyDescent="0.2">
      <c r="A536" t="s">
        <v>700</v>
      </c>
      <c r="B536" t="s">
        <v>700</v>
      </c>
      <c r="C536" t="s">
        <v>1233</v>
      </c>
    </row>
    <row r="537" spans="1:3" x14ac:dyDescent="0.2">
      <c r="A537" t="s">
        <v>695</v>
      </c>
      <c r="B537" t="s">
        <v>695</v>
      </c>
      <c r="C537" t="s">
        <v>1230</v>
      </c>
    </row>
    <row r="538" spans="1:3" x14ac:dyDescent="0.2">
      <c r="A538" t="s">
        <v>701</v>
      </c>
      <c r="B538" t="s">
        <v>701</v>
      </c>
      <c r="C538" t="s">
        <v>1234</v>
      </c>
    </row>
    <row r="539" spans="1:3" x14ac:dyDescent="0.2">
      <c r="A539" t="s">
        <v>706</v>
      </c>
      <c r="B539" t="s">
        <v>706</v>
      </c>
      <c r="C539" t="s">
        <v>1235</v>
      </c>
    </row>
    <row r="540" spans="1:3" x14ac:dyDescent="0.2">
      <c r="A540" t="s">
        <v>707</v>
      </c>
      <c r="B540" t="s">
        <v>707</v>
      </c>
      <c r="C540" t="s">
        <v>1236</v>
      </c>
    </row>
    <row r="541" spans="1:3" x14ac:dyDescent="0.2">
      <c r="A541" t="s">
        <v>708</v>
      </c>
      <c r="B541" t="s">
        <v>708</v>
      </c>
      <c r="C541" t="s">
        <v>1573</v>
      </c>
    </row>
    <row r="542" spans="1:3" x14ac:dyDescent="0.2">
      <c r="A542" t="s">
        <v>705</v>
      </c>
      <c r="B542" t="s">
        <v>705</v>
      </c>
      <c r="C542" t="s">
        <v>1578</v>
      </c>
    </row>
    <row r="543" spans="1:3" x14ac:dyDescent="0.2">
      <c r="A543" t="s">
        <v>503</v>
      </c>
      <c r="B543" t="s">
        <v>1103</v>
      </c>
      <c r="C543" t="s">
        <v>1491</v>
      </c>
    </row>
    <row r="544" spans="1:3" x14ac:dyDescent="0.2">
      <c r="A544" t="s">
        <v>711</v>
      </c>
      <c r="B544" t="s">
        <v>711</v>
      </c>
      <c r="C544" t="s">
        <v>1237</v>
      </c>
    </row>
    <row r="545" spans="1:3" x14ac:dyDescent="0.2">
      <c r="A545" t="s">
        <v>712</v>
      </c>
      <c r="B545" t="s">
        <v>712</v>
      </c>
      <c r="C545" t="s">
        <v>1238</v>
      </c>
    </row>
    <row r="546" spans="1:3" x14ac:dyDescent="0.2">
      <c r="A546" t="s">
        <v>709</v>
      </c>
      <c r="B546" t="s">
        <v>709</v>
      </c>
      <c r="C546" t="s">
        <v>1574</v>
      </c>
    </row>
    <row r="547" spans="1:3" x14ac:dyDescent="0.2">
      <c r="A547" t="s">
        <v>713</v>
      </c>
      <c r="B547" t="s">
        <v>713</v>
      </c>
      <c r="C547" t="s">
        <v>1239</v>
      </c>
    </row>
    <row r="548" spans="1:3" x14ac:dyDescent="0.2">
      <c r="A548" t="s">
        <v>710</v>
      </c>
      <c r="B548" t="s">
        <v>710</v>
      </c>
      <c r="C548" t="s">
        <v>1575</v>
      </c>
    </row>
    <row r="549" spans="1:3" x14ac:dyDescent="0.2">
      <c r="A549" t="s">
        <v>715</v>
      </c>
      <c r="B549" t="s">
        <v>715</v>
      </c>
      <c r="C549" t="s">
        <v>1240</v>
      </c>
    </row>
    <row r="550" spans="1:3" x14ac:dyDescent="0.2">
      <c r="A550" t="s">
        <v>716</v>
      </c>
      <c r="B550" t="s">
        <v>716</v>
      </c>
      <c r="C550" t="s">
        <v>1241</v>
      </c>
    </row>
    <row r="551" spans="1:3" x14ac:dyDescent="0.2">
      <c r="A551" t="s">
        <v>717</v>
      </c>
      <c r="B551" t="s">
        <v>717</v>
      </c>
      <c r="C551" t="s">
        <v>1242</v>
      </c>
    </row>
    <row r="552" spans="1:3" x14ac:dyDescent="0.2">
      <c r="A552" t="s">
        <v>714</v>
      </c>
      <c r="B552" t="s">
        <v>714</v>
      </c>
      <c r="C552" t="s">
        <v>1576</v>
      </c>
    </row>
    <row r="553" spans="1:3" x14ac:dyDescent="0.2">
      <c r="A553" t="s">
        <v>724</v>
      </c>
      <c r="B553" t="s">
        <v>724</v>
      </c>
      <c r="C553" t="s">
        <v>1247</v>
      </c>
    </row>
    <row r="554" spans="1:3" x14ac:dyDescent="0.2">
      <c r="A554" t="s">
        <v>723</v>
      </c>
      <c r="B554" t="s">
        <v>723</v>
      </c>
      <c r="C554" t="s">
        <v>1579</v>
      </c>
    </row>
    <row r="555" spans="1:3" x14ac:dyDescent="0.2">
      <c r="A555" t="s">
        <v>726</v>
      </c>
      <c r="B555" t="s">
        <v>726</v>
      </c>
      <c r="C555" t="s">
        <v>1248</v>
      </c>
    </row>
    <row r="556" spans="1:3" x14ac:dyDescent="0.2">
      <c r="A556" t="s">
        <v>725</v>
      </c>
      <c r="B556" t="s">
        <v>725</v>
      </c>
      <c r="C556" t="s">
        <v>1580</v>
      </c>
    </row>
    <row r="557" spans="1:3" x14ac:dyDescent="0.2">
      <c r="A557" t="s">
        <v>727</v>
      </c>
      <c r="B557" t="s">
        <v>727</v>
      </c>
      <c r="C557" t="s">
        <v>1581</v>
      </c>
    </row>
    <row r="558" spans="1:3" x14ac:dyDescent="0.2">
      <c r="A558" t="s">
        <v>728</v>
      </c>
      <c r="B558" t="s">
        <v>728</v>
      </c>
      <c r="C558" t="s">
        <v>1249</v>
      </c>
    </row>
    <row r="559" spans="1:3" x14ac:dyDescent="0.2">
      <c r="A559" t="s">
        <v>729</v>
      </c>
      <c r="B559" t="s">
        <v>729</v>
      </c>
      <c r="C559" t="s">
        <v>1250</v>
      </c>
    </row>
    <row r="560" spans="1:3" x14ac:dyDescent="0.2">
      <c r="A560" t="s">
        <v>731</v>
      </c>
      <c r="B560" t="s">
        <v>731</v>
      </c>
      <c r="C560" t="s">
        <v>1251</v>
      </c>
    </row>
    <row r="561" spans="1:3" x14ac:dyDescent="0.2">
      <c r="A561" t="s">
        <v>730</v>
      </c>
      <c r="B561" t="s">
        <v>730</v>
      </c>
      <c r="C561" t="s">
        <v>1586</v>
      </c>
    </row>
    <row r="562" spans="1:3" x14ac:dyDescent="0.2">
      <c r="A562" t="s">
        <v>735</v>
      </c>
      <c r="B562" t="s">
        <v>1252</v>
      </c>
      <c r="C562" t="s">
        <v>1590</v>
      </c>
    </row>
    <row r="563" spans="1:3" x14ac:dyDescent="0.2">
      <c r="A563" t="s">
        <v>734</v>
      </c>
      <c r="B563" t="s">
        <v>1589</v>
      </c>
      <c r="C563" t="s">
        <v>1253</v>
      </c>
    </row>
    <row r="564" spans="1:3" x14ac:dyDescent="0.2">
      <c r="A564" t="s">
        <v>737</v>
      </c>
      <c r="B564" t="s">
        <v>737</v>
      </c>
      <c r="C564" t="s">
        <v>1254</v>
      </c>
    </row>
    <row r="565" spans="1:3" x14ac:dyDescent="0.2">
      <c r="A565" t="s">
        <v>738</v>
      </c>
      <c r="B565" t="s">
        <v>738</v>
      </c>
      <c r="C565" t="s">
        <v>1255</v>
      </c>
    </row>
    <row r="566" spans="1:3" x14ac:dyDescent="0.2">
      <c r="A566" t="s">
        <v>736</v>
      </c>
      <c r="B566" t="s">
        <v>736</v>
      </c>
      <c r="C566" t="s">
        <v>1591</v>
      </c>
    </row>
    <row r="567" spans="1:3" x14ac:dyDescent="0.2">
      <c r="A567" t="s">
        <v>739</v>
      </c>
      <c r="B567" t="s">
        <v>739</v>
      </c>
      <c r="C567" t="s">
        <v>1256</v>
      </c>
    </row>
    <row r="568" spans="1:3" x14ac:dyDescent="0.2">
      <c r="A568" t="s">
        <v>744</v>
      </c>
      <c r="B568" t="s">
        <v>744</v>
      </c>
      <c r="C568" t="s">
        <v>1259</v>
      </c>
    </row>
    <row r="569" spans="1:3" x14ac:dyDescent="0.2">
      <c r="A569" t="s">
        <v>745</v>
      </c>
      <c r="B569" t="s">
        <v>745</v>
      </c>
      <c r="C569" t="s">
        <v>1260</v>
      </c>
    </row>
    <row r="570" spans="1:3" x14ac:dyDescent="0.2">
      <c r="A570" t="s">
        <v>746</v>
      </c>
      <c r="B570" t="s">
        <v>746</v>
      </c>
      <c r="C570" t="s">
        <v>1261</v>
      </c>
    </row>
    <row r="571" spans="1:3" x14ac:dyDescent="0.2">
      <c r="A571" t="s">
        <v>741</v>
      </c>
      <c r="B571" t="s">
        <v>741</v>
      </c>
      <c r="C571" t="s">
        <v>1257</v>
      </c>
    </row>
    <row r="572" spans="1:3" x14ac:dyDescent="0.2">
      <c r="A572" t="s">
        <v>742</v>
      </c>
      <c r="B572" t="s">
        <v>1258</v>
      </c>
      <c r="C572" t="s">
        <v>1597</v>
      </c>
    </row>
    <row r="573" spans="1:3" x14ac:dyDescent="0.2">
      <c r="A573" t="s">
        <v>740</v>
      </c>
      <c r="B573" t="s">
        <v>740</v>
      </c>
      <c r="C573" t="s">
        <v>1592</v>
      </c>
    </row>
    <row r="574" spans="1:3" x14ac:dyDescent="0.2">
      <c r="A574" t="s">
        <v>733</v>
      </c>
      <c r="B574" t="s">
        <v>743</v>
      </c>
      <c r="C574" t="s">
        <v>1588</v>
      </c>
    </row>
    <row r="575" spans="1:3" x14ac:dyDescent="0.2">
      <c r="A575" t="s">
        <v>743</v>
      </c>
      <c r="B575" t="s">
        <v>743</v>
      </c>
      <c r="C575" t="s">
        <v>1588</v>
      </c>
    </row>
    <row r="576" spans="1:3" x14ac:dyDescent="0.2">
      <c r="A576" t="s">
        <v>747</v>
      </c>
      <c r="B576" t="s">
        <v>747</v>
      </c>
      <c r="C576" t="s">
        <v>1593</v>
      </c>
    </row>
    <row r="577" spans="1:3" x14ac:dyDescent="0.2">
      <c r="A577" t="s">
        <v>751</v>
      </c>
      <c r="B577" t="s">
        <v>751</v>
      </c>
      <c r="C577" t="s">
        <v>1262</v>
      </c>
    </row>
    <row r="578" spans="1:3" x14ac:dyDescent="0.2">
      <c r="A578" t="s">
        <v>752</v>
      </c>
      <c r="B578" t="s">
        <v>752</v>
      </c>
      <c r="C578" t="s">
        <v>1263</v>
      </c>
    </row>
    <row r="579" spans="1:3" x14ac:dyDescent="0.2">
      <c r="A579" t="s">
        <v>750</v>
      </c>
      <c r="B579" t="s">
        <v>750</v>
      </c>
      <c r="C579" t="s">
        <v>1594</v>
      </c>
    </row>
    <row r="580" spans="1:3" x14ac:dyDescent="0.2">
      <c r="A580" t="s">
        <v>732</v>
      </c>
      <c r="B580" t="s">
        <v>1587</v>
      </c>
      <c r="C580" t="s">
        <v>1264</v>
      </c>
    </row>
    <row r="581" spans="1:3" x14ac:dyDescent="0.2">
      <c r="A581" t="s">
        <v>753</v>
      </c>
      <c r="B581" t="s">
        <v>753</v>
      </c>
      <c r="C581" t="s">
        <v>1595</v>
      </c>
    </row>
    <row r="582" spans="1:3" x14ac:dyDescent="0.2">
      <c r="A582" t="s">
        <v>754</v>
      </c>
      <c r="B582" t="s">
        <v>754</v>
      </c>
      <c r="C582" t="s">
        <v>1265</v>
      </c>
    </row>
    <row r="583" spans="1:3" x14ac:dyDescent="0.2">
      <c r="A583" t="s">
        <v>758</v>
      </c>
      <c r="B583" t="s">
        <v>1602</v>
      </c>
      <c r="C583" t="s">
        <v>1603</v>
      </c>
    </row>
    <row r="584" spans="1:3" x14ac:dyDescent="0.2">
      <c r="A584" t="s">
        <v>759</v>
      </c>
      <c r="B584" t="s">
        <v>1604</v>
      </c>
      <c r="C584" t="s">
        <v>1605</v>
      </c>
    </row>
    <row r="585" spans="1:3" x14ac:dyDescent="0.2">
      <c r="A585" t="s">
        <v>760</v>
      </c>
      <c r="B585" t="s">
        <v>760</v>
      </c>
      <c r="C585" t="s">
        <v>1268</v>
      </c>
    </row>
    <row r="586" spans="1:3" x14ac:dyDescent="0.2">
      <c r="A586" t="s">
        <v>755</v>
      </c>
      <c r="B586" t="s">
        <v>755</v>
      </c>
      <c r="C586" t="s">
        <v>1596</v>
      </c>
    </row>
    <row r="587" spans="1:3" x14ac:dyDescent="0.2">
      <c r="A587" t="s">
        <v>756</v>
      </c>
      <c r="B587" t="s">
        <v>756</v>
      </c>
      <c r="C587" t="s">
        <v>1266</v>
      </c>
    </row>
    <row r="588" spans="1:3" x14ac:dyDescent="0.2">
      <c r="A588" t="s">
        <v>757</v>
      </c>
      <c r="B588" t="s">
        <v>757</v>
      </c>
      <c r="C588" t="s">
        <v>1267</v>
      </c>
    </row>
    <row r="589" spans="1:3" x14ac:dyDescent="0.2">
      <c r="A589" t="s">
        <v>761</v>
      </c>
      <c r="B589" t="s">
        <v>761</v>
      </c>
      <c r="C589" t="s">
        <v>1598</v>
      </c>
    </row>
    <row r="590" spans="1:3" x14ac:dyDescent="0.2">
      <c r="A590" t="s">
        <v>762</v>
      </c>
      <c r="B590" t="s">
        <v>762</v>
      </c>
      <c r="C590" t="s">
        <v>1269</v>
      </c>
    </row>
    <row r="591" spans="1:3" x14ac:dyDescent="0.2">
      <c r="A591" t="s">
        <v>763</v>
      </c>
      <c r="B591" t="s">
        <v>763</v>
      </c>
      <c r="C591" t="s">
        <v>1270</v>
      </c>
    </row>
    <row r="592" spans="1:3" x14ac:dyDescent="0.2">
      <c r="A592" t="s">
        <v>764</v>
      </c>
      <c r="B592" t="s">
        <v>764</v>
      </c>
      <c r="C592" t="s">
        <v>1271</v>
      </c>
    </row>
    <row r="593" spans="1:3" x14ac:dyDescent="0.2">
      <c r="A593" t="s">
        <v>765</v>
      </c>
      <c r="B593" t="s">
        <v>765</v>
      </c>
      <c r="C593" t="s">
        <v>1272</v>
      </c>
    </row>
    <row r="594" spans="1:3" x14ac:dyDescent="0.2">
      <c r="A594" t="s">
        <v>767</v>
      </c>
      <c r="B594" t="s">
        <v>767</v>
      </c>
      <c r="C594" t="s">
        <v>1273</v>
      </c>
    </row>
    <row r="595" spans="1:3" x14ac:dyDescent="0.2">
      <c r="A595" t="s">
        <v>768</v>
      </c>
      <c r="B595" t="s">
        <v>768</v>
      </c>
      <c r="C595" t="s">
        <v>1274</v>
      </c>
    </row>
    <row r="596" spans="1:3" x14ac:dyDescent="0.2">
      <c r="A596" t="s">
        <v>766</v>
      </c>
      <c r="B596" t="s">
        <v>766</v>
      </c>
      <c r="C596" t="s">
        <v>1601</v>
      </c>
    </row>
    <row r="597" spans="1:3" x14ac:dyDescent="0.2">
      <c r="A597" t="s">
        <v>770</v>
      </c>
      <c r="B597" t="s">
        <v>1610</v>
      </c>
      <c r="C597" t="s">
        <v>1275</v>
      </c>
    </row>
    <row r="598" spans="1:3" x14ac:dyDescent="0.2">
      <c r="A598" t="s">
        <v>769</v>
      </c>
      <c r="B598" t="s">
        <v>769</v>
      </c>
      <c r="C598" t="s">
        <v>1606</v>
      </c>
    </row>
    <row r="599" spans="1:3" x14ac:dyDescent="0.2">
      <c r="A599" t="s">
        <v>771</v>
      </c>
      <c r="B599" t="s">
        <v>771</v>
      </c>
      <c r="C599" t="s">
        <v>1276</v>
      </c>
    </row>
    <row r="600" spans="1:3" x14ac:dyDescent="0.2">
      <c r="A600" t="s">
        <v>773</v>
      </c>
      <c r="B600" t="s">
        <v>1611</v>
      </c>
      <c r="C600" t="s">
        <v>1278</v>
      </c>
    </row>
    <row r="601" spans="1:3" x14ac:dyDescent="0.2">
      <c r="A601" t="s">
        <v>772</v>
      </c>
      <c r="B601" t="s">
        <v>772</v>
      </c>
      <c r="C601" t="s">
        <v>1277</v>
      </c>
    </row>
    <row r="602" spans="1:3" x14ac:dyDescent="0.2">
      <c r="A602" t="s">
        <v>775</v>
      </c>
      <c r="B602" t="s">
        <v>775</v>
      </c>
      <c r="C602" t="s">
        <v>1279</v>
      </c>
    </row>
    <row r="603" spans="1:3" x14ac:dyDescent="0.2">
      <c r="A603" t="s">
        <v>774</v>
      </c>
      <c r="B603" t="s">
        <v>774</v>
      </c>
      <c r="C603" t="s">
        <v>1607</v>
      </c>
    </row>
    <row r="604" spans="1:3" x14ac:dyDescent="0.2">
      <c r="A604" t="s">
        <v>776</v>
      </c>
      <c r="B604" t="s">
        <v>776</v>
      </c>
      <c r="C604" t="s">
        <v>1280</v>
      </c>
    </row>
    <row r="605" spans="1:3" x14ac:dyDescent="0.2">
      <c r="A605" t="s">
        <v>778</v>
      </c>
      <c r="B605" t="s">
        <v>778</v>
      </c>
      <c r="C605" t="s">
        <v>1281</v>
      </c>
    </row>
    <row r="606" spans="1:3" x14ac:dyDescent="0.2">
      <c r="A606" t="s">
        <v>777</v>
      </c>
      <c r="B606" t="s">
        <v>777</v>
      </c>
      <c r="C606" t="s">
        <v>1608</v>
      </c>
    </row>
    <row r="607" spans="1:3" x14ac:dyDescent="0.2">
      <c r="A607" t="s">
        <v>779</v>
      </c>
      <c r="B607" t="s">
        <v>779</v>
      </c>
      <c r="C607" t="s">
        <v>1282</v>
      </c>
    </row>
    <row r="608" spans="1:3" x14ac:dyDescent="0.2">
      <c r="A608" t="s">
        <v>782</v>
      </c>
      <c r="B608" t="s">
        <v>782</v>
      </c>
      <c r="C608" t="s">
        <v>1284</v>
      </c>
    </row>
    <row r="609" spans="1:3" x14ac:dyDescent="0.2">
      <c r="A609" t="s">
        <v>780</v>
      </c>
      <c r="B609" t="s">
        <v>780</v>
      </c>
      <c r="C609" t="s">
        <v>1283</v>
      </c>
    </row>
    <row r="610" spans="1:3" x14ac:dyDescent="0.2">
      <c r="A610" t="s">
        <v>781</v>
      </c>
      <c r="B610" t="s">
        <v>780</v>
      </c>
      <c r="C610" t="s">
        <v>1283</v>
      </c>
    </row>
    <row r="611" spans="1:3" x14ac:dyDescent="0.2">
      <c r="A611" t="s">
        <v>783</v>
      </c>
      <c r="B611" t="s">
        <v>783</v>
      </c>
      <c r="C611" t="s">
        <v>1609</v>
      </c>
    </row>
    <row r="612" spans="1:3" x14ac:dyDescent="0.2">
      <c r="A612" t="s">
        <v>784</v>
      </c>
      <c r="B612" t="s">
        <v>784</v>
      </c>
      <c r="C612" t="s">
        <v>1285</v>
      </c>
    </row>
    <row r="613" spans="1:3" x14ac:dyDescent="0.2">
      <c r="A613" t="s">
        <v>785</v>
      </c>
      <c r="B613" t="s">
        <v>785</v>
      </c>
      <c r="C613" t="s">
        <v>1286</v>
      </c>
    </row>
    <row r="614" spans="1:3" x14ac:dyDescent="0.2">
      <c r="A614" t="s">
        <v>786</v>
      </c>
      <c r="B614" t="s">
        <v>786</v>
      </c>
      <c r="C614" t="s">
        <v>1287</v>
      </c>
    </row>
    <row r="615" spans="1:3" x14ac:dyDescent="0.2">
      <c r="A615" t="s">
        <v>787</v>
      </c>
      <c r="B615" t="s">
        <v>787</v>
      </c>
      <c r="C615" t="s">
        <v>1288</v>
      </c>
    </row>
    <row r="616" spans="1:3" x14ac:dyDescent="0.2">
      <c r="A616" t="s">
        <v>788</v>
      </c>
      <c r="B616" t="s">
        <v>788</v>
      </c>
      <c r="C616" t="s">
        <v>1289</v>
      </c>
    </row>
    <row r="617" spans="1:3" x14ac:dyDescent="0.2">
      <c r="A617" t="s">
        <v>789</v>
      </c>
      <c r="B617" t="s">
        <v>789</v>
      </c>
      <c r="C617" t="s">
        <v>1612</v>
      </c>
    </row>
    <row r="618" spans="1:3" x14ac:dyDescent="0.2">
      <c r="A618" t="s">
        <v>790</v>
      </c>
      <c r="B618" t="s">
        <v>790</v>
      </c>
      <c r="C618" t="s">
        <v>1290</v>
      </c>
    </row>
    <row r="619" spans="1:3" x14ac:dyDescent="0.2">
      <c r="A619" t="s">
        <v>791</v>
      </c>
      <c r="B619" t="s">
        <v>791</v>
      </c>
      <c r="C619" t="s">
        <v>1613</v>
      </c>
    </row>
    <row r="620" spans="1:3" x14ac:dyDescent="0.2">
      <c r="A620" t="s">
        <v>792</v>
      </c>
      <c r="B620" t="s">
        <v>792</v>
      </c>
      <c r="C620" t="s">
        <v>1291</v>
      </c>
    </row>
    <row r="621" spans="1:3" x14ac:dyDescent="0.2">
      <c r="A621" t="s">
        <v>794</v>
      </c>
      <c r="B621" t="s">
        <v>794</v>
      </c>
      <c r="C621" t="s">
        <v>1292</v>
      </c>
    </row>
    <row r="622" spans="1:3" x14ac:dyDescent="0.2">
      <c r="A622" t="s">
        <v>793</v>
      </c>
      <c r="B622" t="s">
        <v>793</v>
      </c>
      <c r="C622" t="s">
        <v>1614</v>
      </c>
    </row>
    <row r="623" spans="1:3" x14ac:dyDescent="0.2">
      <c r="A623" t="s">
        <v>297</v>
      </c>
      <c r="B623" t="s">
        <v>1395</v>
      </c>
      <c r="C623" t="s">
        <v>1396</v>
      </c>
    </row>
    <row r="624" spans="1:3" x14ac:dyDescent="0.2">
      <c r="A624" t="s">
        <v>298</v>
      </c>
      <c r="B624" t="s">
        <v>1393</v>
      </c>
      <c r="C624" t="s">
        <v>1394</v>
      </c>
    </row>
    <row r="625" spans="1:3" x14ac:dyDescent="0.2">
      <c r="A625" t="s">
        <v>796</v>
      </c>
      <c r="B625" t="s">
        <v>796</v>
      </c>
      <c r="C625" t="s">
        <v>1293</v>
      </c>
    </row>
    <row r="626" spans="1:3" x14ac:dyDescent="0.2">
      <c r="A626" t="s">
        <v>795</v>
      </c>
      <c r="B626" t="s">
        <v>795</v>
      </c>
      <c r="C626" t="s">
        <v>1615</v>
      </c>
    </row>
    <row r="627" spans="1:3" x14ac:dyDescent="0.2">
      <c r="A627" t="s">
        <v>797</v>
      </c>
      <c r="B627" t="s">
        <v>797</v>
      </c>
      <c r="C627" t="s">
        <v>1294</v>
      </c>
    </row>
    <row r="628" spans="1:3" x14ac:dyDescent="0.2">
      <c r="A628" t="s">
        <v>208</v>
      </c>
      <c r="B628" t="s">
        <v>890</v>
      </c>
      <c r="C628" t="s">
        <v>1358</v>
      </c>
    </row>
    <row r="629" spans="1:3" x14ac:dyDescent="0.2">
      <c r="A629" t="s">
        <v>799</v>
      </c>
      <c r="B629" t="s">
        <v>799</v>
      </c>
      <c r="C629" t="s">
        <v>1295</v>
      </c>
    </row>
    <row r="630" spans="1:3" x14ac:dyDescent="0.2">
      <c r="A630" t="s">
        <v>798</v>
      </c>
      <c r="B630" t="s">
        <v>798</v>
      </c>
      <c r="C630" t="s">
        <v>1616</v>
      </c>
    </row>
    <row r="631" spans="1:3" x14ac:dyDescent="0.2">
      <c r="A631" t="s">
        <v>800</v>
      </c>
      <c r="B631" t="s">
        <v>800</v>
      </c>
      <c r="C631" t="s">
        <v>1296</v>
      </c>
    </row>
    <row r="632" spans="1:3" x14ac:dyDescent="0.2">
      <c r="A632" t="s">
        <v>801</v>
      </c>
      <c r="B632" t="s">
        <v>801</v>
      </c>
      <c r="C632" t="s">
        <v>1297</v>
      </c>
    </row>
    <row r="633" spans="1:3" x14ac:dyDescent="0.2">
      <c r="A633" t="s">
        <v>802</v>
      </c>
      <c r="B633" t="s">
        <v>802</v>
      </c>
      <c r="C633" t="s">
        <v>1617</v>
      </c>
    </row>
    <row r="634" spans="1:3" x14ac:dyDescent="0.2">
      <c r="A634" t="s">
        <v>803</v>
      </c>
      <c r="B634" t="s">
        <v>803</v>
      </c>
      <c r="C634" t="s">
        <v>1298</v>
      </c>
    </row>
    <row r="635" spans="1:3" x14ac:dyDescent="0.2">
      <c r="A635" t="s">
        <v>477</v>
      </c>
      <c r="B635" t="s">
        <v>1475</v>
      </c>
      <c r="C635" t="s">
        <v>1299</v>
      </c>
    </row>
    <row r="636" spans="1:3" x14ac:dyDescent="0.2">
      <c r="A636" t="s">
        <v>804</v>
      </c>
      <c r="B636" t="s">
        <v>804</v>
      </c>
      <c r="C636" t="s">
        <v>1300</v>
      </c>
    </row>
    <row r="637" spans="1:3" x14ac:dyDescent="0.2">
      <c r="A637" t="s">
        <v>805</v>
      </c>
      <c r="B637" t="s">
        <v>805</v>
      </c>
      <c r="C637" t="s">
        <v>1301</v>
      </c>
    </row>
    <row r="638" spans="1:3" x14ac:dyDescent="0.2">
      <c r="A638" t="s">
        <v>807</v>
      </c>
      <c r="B638" t="s">
        <v>807</v>
      </c>
      <c r="C638" t="s">
        <v>1303</v>
      </c>
    </row>
    <row r="639" spans="1:3" x14ac:dyDescent="0.2">
      <c r="A639" t="s">
        <v>806</v>
      </c>
      <c r="B639" t="s">
        <v>806</v>
      </c>
      <c r="C639" t="s">
        <v>1302</v>
      </c>
    </row>
    <row r="640" spans="1:3" x14ac:dyDescent="0.2">
      <c r="A640" t="s">
        <v>808</v>
      </c>
      <c r="B640" t="s">
        <v>808</v>
      </c>
      <c r="C640" t="s">
        <v>1304</v>
      </c>
    </row>
    <row r="641" spans="1:3" x14ac:dyDescent="0.2">
      <c r="A641" t="s">
        <v>809</v>
      </c>
      <c r="B641" t="s">
        <v>809</v>
      </c>
      <c r="C641" t="s">
        <v>1305</v>
      </c>
    </row>
    <row r="642" spans="1:3" x14ac:dyDescent="0.2">
      <c r="A642" t="s">
        <v>400</v>
      </c>
      <c r="B642" t="s">
        <v>810</v>
      </c>
      <c r="C642" t="s">
        <v>1306</v>
      </c>
    </row>
    <row r="643" spans="1:3" x14ac:dyDescent="0.2">
      <c r="A643" t="s">
        <v>810</v>
      </c>
      <c r="B643" t="s">
        <v>810</v>
      </c>
      <c r="C643" t="s">
        <v>1306</v>
      </c>
    </row>
    <row r="644" spans="1:3" x14ac:dyDescent="0.2">
      <c r="A644" t="s">
        <v>811</v>
      </c>
      <c r="B644" t="s">
        <v>811</v>
      </c>
      <c r="C644" t="s">
        <v>1307</v>
      </c>
    </row>
    <row r="645" spans="1:3" x14ac:dyDescent="0.2">
      <c r="A645" t="s">
        <v>812</v>
      </c>
      <c r="B645" t="s">
        <v>812</v>
      </c>
      <c r="C645" t="s">
        <v>1618</v>
      </c>
    </row>
    <row r="646" spans="1:3" x14ac:dyDescent="0.2">
      <c r="A646" t="s">
        <v>819</v>
      </c>
      <c r="B646" t="s">
        <v>819</v>
      </c>
      <c r="C646" t="s">
        <v>1313</v>
      </c>
    </row>
    <row r="647" spans="1:3" x14ac:dyDescent="0.2">
      <c r="A647" t="s">
        <v>818</v>
      </c>
      <c r="B647" t="s">
        <v>1623</v>
      </c>
      <c r="C647" t="s">
        <v>1312</v>
      </c>
    </row>
    <row r="648" spans="1:3" x14ac:dyDescent="0.2">
      <c r="A648" t="s">
        <v>816</v>
      </c>
      <c r="B648" t="s">
        <v>816</v>
      </c>
      <c r="C648" t="s">
        <v>1311</v>
      </c>
    </row>
    <row r="649" spans="1:3" x14ac:dyDescent="0.2">
      <c r="A649" t="s">
        <v>815</v>
      </c>
      <c r="B649" t="s">
        <v>815</v>
      </c>
      <c r="C649" t="s">
        <v>1310</v>
      </c>
    </row>
    <row r="650" spans="1:3" x14ac:dyDescent="0.2">
      <c r="A650" t="s">
        <v>813</v>
      </c>
      <c r="B650" t="s">
        <v>813</v>
      </c>
      <c r="C650" t="s">
        <v>1308</v>
      </c>
    </row>
    <row r="651" spans="1:3" x14ac:dyDescent="0.2">
      <c r="A651" t="s">
        <v>817</v>
      </c>
      <c r="B651" t="s">
        <v>1621</v>
      </c>
      <c r="C651" t="s">
        <v>1622</v>
      </c>
    </row>
    <row r="652" spans="1:3" x14ac:dyDescent="0.2">
      <c r="A652" t="s">
        <v>814</v>
      </c>
      <c r="B652" t="s">
        <v>814</v>
      </c>
      <c r="C652" t="s">
        <v>1309</v>
      </c>
    </row>
    <row r="653" spans="1:3" x14ac:dyDescent="0.2">
      <c r="A653" t="s">
        <v>820</v>
      </c>
      <c r="B653" t="s">
        <v>820</v>
      </c>
      <c r="C653" t="s">
        <v>1314</v>
      </c>
    </row>
    <row r="654" spans="1:3" x14ac:dyDescent="0.2">
      <c r="A654" t="s">
        <v>821</v>
      </c>
      <c r="B654" t="s">
        <v>821</v>
      </c>
      <c r="C654" t="s">
        <v>1624</v>
      </c>
    </row>
    <row r="655" spans="1:3" x14ac:dyDescent="0.2">
      <c r="A655" t="s">
        <v>822</v>
      </c>
      <c r="B655" t="s">
        <v>822</v>
      </c>
      <c r="C655" t="s">
        <v>1315</v>
      </c>
    </row>
    <row r="656" spans="1:3" x14ac:dyDescent="0.2">
      <c r="A656" t="s">
        <v>823</v>
      </c>
      <c r="B656" t="s">
        <v>823</v>
      </c>
      <c r="C656" t="s">
        <v>1316</v>
      </c>
    </row>
    <row r="657" spans="1:3" x14ac:dyDescent="0.2">
      <c r="A657" t="s">
        <v>824</v>
      </c>
      <c r="B657" t="s">
        <v>1628</v>
      </c>
      <c r="C657" t="s">
        <v>1619</v>
      </c>
    </row>
    <row r="658" spans="1:3" x14ac:dyDescent="0.2">
      <c r="A658" t="s">
        <v>825</v>
      </c>
      <c r="B658" t="s">
        <v>825</v>
      </c>
      <c r="C658" t="s">
        <v>1317</v>
      </c>
    </row>
    <row r="659" spans="1:3" x14ac:dyDescent="0.2">
      <c r="A659" t="s">
        <v>170</v>
      </c>
      <c r="B659" t="s">
        <v>887</v>
      </c>
      <c r="C659" t="s">
        <v>892</v>
      </c>
    </row>
    <row r="660" spans="1:3" x14ac:dyDescent="0.2">
      <c r="A660" t="s">
        <v>169</v>
      </c>
      <c r="B660" t="s">
        <v>888</v>
      </c>
      <c r="C660" t="s">
        <v>1347</v>
      </c>
    </row>
    <row r="661" spans="1:3" x14ac:dyDescent="0.2">
      <c r="A661" t="s">
        <v>830</v>
      </c>
      <c r="B661" t="s">
        <v>830</v>
      </c>
      <c r="C661" t="s">
        <v>1321</v>
      </c>
    </row>
    <row r="662" spans="1:3" x14ac:dyDescent="0.2">
      <c r="A662" t="s">
        <v>831</v>
      </c>
      <c r="B662" t="s">
        <v>831</v>
      </c>
      <c r="C662" t="s">
        <v>1322</v>
      </c>
    </row>
    <row r="663" spans="1:3" x14ac:dyDescent="0.2">
      <c r="A663" t="s">
        <v>461</v>
      </c>
      <c r="B663" t="s">
        <v>826</v>
      </c>
      <c r="C663" t="s">
        <v>1466</v>
      </c>
    </row>
    <row r="664" spans="1:3" x14ac:dyDescent="0.2">
      <c r="A664" t="s">
        <v>826</v>
      </c>
      <c r="B664" t="s">
        <v>826</v>
      </c>
      <c r="C664" t="s">
        <v>1466</v>
      </c>
    </row>
    <row r="665" spans="1:3" x14ac:dyDescent="0.2">
      <c r="A665" t="s">
        <v>828</v>
      </c>
      <c r="B665" t="s">
        <v>828</v>
      </c>
      <c r="C665" t="s">
        <v>1320</v>
      </c>
    </row>
    <row r="666" spans="1:3" x14ac:dyDescent="0.2">
      <c r="A666" t="s">
        <v>829</v>
      </c>
      <c r="B666" t="s">
        <v>829</v>
      </c>
      <c r="C666" t="s">
        <v>1620</v>
      </c>
    </row>
    <row r="667" spans="1:3" x14ac:dyDescent="0.2">
      <c r="A667" t="s">
        <v>832</v>
      </c>
      <c r="B667" t="s">
        <v>832</v>
      </c>
      <c r="C667" t="s">
        <v>1323</v>
      </c>
    </row>
    <row r="668" spans="1:3" x14ac:dyDescent="0.2">
      <c r="A668" t="s">
        <v>827</v>
      </c>
      <c r="B668" t="s">
        <v>827</v>
      </c>
      <c r="C668" t="s">
        <v>1318</v>
      </c>
    </row>
    <row r="669" spans="1:3" x14ac:dyDescent="0.2">
      <c r="A669" t="s">
        <v>462</v>
      </c>
      <c r="B669" t="s">
        <v>1465</v>
      </c>
      <c r="C669" t="s">
        <v>1319</v>
      </c>
    </row>
    <row r="670" spans="1:3" x14ac:dyDescent="0.2">
      <c r="A670" t="s">
        <v>835</v>
      </c>
      <c r="B670" t="s">
        <v>835</v>
      </c>
      <c r="C670" t="s">
        <v>1625</v>
      </c>
    </row>
    <row r="671" spans="1:3" x14ac:dyDescent="0.2">
      <c r="A671" t="s">
        <v>836</v>
      </c>
      <c r="B671" t="s">
        <v>836</v>
      </c>
      <c r="C671" t="s">
        <v>1325</v>
      </c>
    </row>
    <row r="672" spans="1:3" x14ac:dyDescent="0.2">
      <c r="A672" t="s">
        <v>837</v>
      </c>
      <c r="B672" t="s">
        <v>837</v>
      </c>
      <c r="C672" t="s">
        <v>1626</v>
      </c>
    </row>
    <row r="673" spans="1:3" x14ac:dyDescent="0.2">
      <c r="A673" t="s">
        <v>839</v>
      </c>
      <c r="B673" t="s">
        <v>839</v>
      </c>
      <c r="C673" t="s">
        <v>1326</v>
      </c>
    </row>
    <row r="674" spans="1:3" x14ac:dyDescent="0.2">
      <c r="A674" t="s">
        <v>838</v>
      </c>
      <c r="B674" t="s">
        <v>838</v>
      </c>
      <c r="C674" t="s">
        <v>1627</v>
      </c>
    </row>
    <row r="675" spans="1:3" x14ac:dyDescent="0.2">
      <c r="A675" t="s">
        <v>843</v>
      </c>
      <c r="B675" t="s">
        <v>843</v>
      </c>
      <c r="C675" t="s">
        <v>1636</v>
      </c>
    </row>
    <row r="676" spans="1:3" x14ac:dyDescent="0.2">
      <c r="A676" t="s">
        <v>842</v>
      </c>
      <c r="B676" t="s">
        <v>842</v>
      </c>
      <c r="C676" t="s">
        <v>1629</v>
      </c>
    </row>
    <row r="677" spans="1:3" x14ac:dyDescent="0.2">
      <c r="A677" t="s">
        <v>844</v>
      </c>
      <c r="B677" t="s">
        <v>844</v>
      </c>
      <c r="C677" t="s">
        <v>1329</v>
      </c>
    </row>
    <row r="678" spans="1:3" x14ac:dyDescent="0.2">
      <c r="A678" t="s">
        <v>569</v>
      </c>
      <c r="B678" t="s">
        <v>845</v>
      </c>
      <c r="C678" t="s">
        <v>1330</v>
      </c>
    </row>
    <row r="679" spans="1:3" x14ac:dyDescent="0.2">
      <c r="A679" t="s">
        <v>845</v>
      </c>
      <c r="B679" t="s">
        <v>845</v>
      </c>
      <c r="C679" t="s">
        <v>1330</v>
      </c>
    </row>
    <row r="680" spans="1:3" x14ac:dyDescent="0.2">
      <c r="A680" t="s">
        <v>846</v>
      </c>
      <c r="B680" t="s">
        <v>1331</v>
      </c>
      <c r="C680" t="s">
        <v>1637</v>
      </c>
    </row>
    <row r="681" spans="1:3" x14ac:dyDescent="0.2">
      <c r="A681" t="s">
        <v>847</v>
      </c>
      <c r="B681" t="s">
        <v>847</v>
      </c>
      <c r="C681" t="s">
        <v>1332</v>
      </c>
    </row>
    <row r="682" spans="1:3" x14ac:dyDescent="0.2">
      <c r="A682" t="s">
        <v>848</v>
      </c>
      <c r="B682" t="s">
        <v>848</v>
      </c>
      <c r="C682" t="s">
        <v>1630</v>
      </c>
    </row>
    <row r="683" spans="1:3" x14ac:dyDescent="0.2">
      <c r="A683" t="s">
        <v>849</v>
      </c>
      <c r="B683" t="s">
        <v>849</v>
      </c>
      <c r="C683" t="s">
        <v>1333</v>
      </c>
    </row>
  </sheetData>
  <sortState xmlns:xlrd2="http://schemas.microsoft.com/office/spreadsheetml/2017/richdata2" ref="A2:C683">
    <sortCondition ref="C2:C6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</vt:lpstr>
      <vt:lpstr>parameter code key</vt:lpstr>
      <vt:lpstr>plant code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Bridget Turner</dc:creator>
  <cp:lastModifiedBy>Valerie Ramirez (Student)</cp:lastModifiedBy>
  <dcterms:created xsi:type="dcterms:W3CDTF">2015-06-05T18:17:20Z</dcterms:created>
  <dcterms:modified xsi:type="dcterms:W3CDTF">2026-04-30T00:22:43Z</dcterms:modified>
</cp:coreProperties>
</file>